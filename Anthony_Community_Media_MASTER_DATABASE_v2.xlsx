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8.xml.rels" ContentType="application/vnd.openxmlformats-package.relationships+xml"/>
  <Override PartName="/xl/worksheets/_rels/sheet6.xml.rels" ContentType="application/vnd.openxmlformats-package.relationships+xml"/>
  <Override PartName="/xl/worksheets/_rels/sheet3.xml.rels" ContentType="application/vnd.openxmlformats-package.relationships+xml"/>
  <Override PartName="/xl/worksheets/sheet8.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DASHBOARD" sheetId="1" state="visible" r:id="rId3"/>
    <sheet name="README" sheetId="2" state="visible" r:id="rId4"/>
    <sheet name="MASTER DATABASE" sheetId="3" state="visible" r:id="rId5"/>
    <sheet name="AREA SUMMARY" sheetId="4" state="visible" r:id="rId6"/>
    <sheet name="CATEGORY SUMMARY" sheetId="5" state="visible" r:id="rId7"/>
    <sheet name="RESEARCH MATRIX" sheetId="6" state="visible" r:id="rId8"/>
    <sheet name="SOURCE LOG" sheetId="7" state="visible" r:id="rId9"/>
    <sheet name="OUT-OF-AREA POOL" sheetId="8" state="visible" r:id="rId10"/>
  </sheets>
  <definedNames>
    <definedName function="false" hidden="true" localSheetId="2" name="_xlnm._FilterDatabase" vbProcedure="false">'MASTER DATABASE'!$A$1:$W$931</definedName>
    <definedName function="false" hidden="true" localSheetId="7" name="_xlnm._FilterDatabase" vbProcedure="false">'OUT-OF-AREA POOL'!$A$4:$H$935</definedName>
    <definedName function="false" hidden="true" localSheetId="5" name="_xlnm._FilterDatabase" vbProcedure="false">'RESEARCH MATRIX'!$A$4:$H$40</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<sst xmlns="http://schemas.openxmlformats.org/spreadsheetml/2006/main" count="18812" uniqueCount="6376">
  <si>
    <t xml:space="preserve">ANTHONY COMMUNITY MEDIA - BUSINESS DATABASE</t>
  </si>
  <si>
    <t xml:space="preserve">Anthony Village &amp; Maryland / Mende catchments  |  18-category taxonomy  |  Last refreshed 2026-09-16</t>
  </si>
  <si>
    <t xml:space="preserve">HEADLINE NUMBERS</t>
  </si>
  <si>
    <t xml:space="preserve">Total businesses in database</t>
  </si>
  <si>
    <t xml:space="preserve">Anthony / Anthony Village</t>
  </si>
  <si>
    <t xml:space="preserve">Maryland / Mende</t>
  </si>
  <si>
    <t xml:space="preserve">With a phone number</t>
  </si>
  <si>
    <t xml:space="preserve">Google-verified location</t>
  </si>
  <si>
    <t xml:space="preserve">Priority A prospects</t>
  </si>
  <si>
    <t xml:space="preserve">Priority B prospects</t>
  </si>
  <si>
    <t xml:space="preserve">Target range (client brief)</t>
  </si>
  <si>
    <t xml:space="preserve">700 - 1,000+</t>
  </si>
  <si>
    <t xml:space="preserve">Coverage vs. 700 minimum</t>
  </si>
  <si>
    <t xml:space="preserve">BUSINESSES BY CATEGORY</t>
  </si>
  <si>
    <t xml:space="preserve">Category</t>
  </si>
  <si>
    <t xml:space="preserve">Total</t>
  </si>
  <si>
    <t xml:space="preserve">Priority A</t>
  </si>
  <si>
    <t xml:space="preserve">% of database</t>
  </si>
  <si>
    <t xml:space="preserve">Restaurants</t>
  </si>
  <si>
    <t xml:space="preserve">Hotels</t>
  </si>
  <si>
    <t xml:space="preserve">Gyms</t>
  </si>
  <si>
    <t xml:space="preserve">Salons</t>
  </si>
  <si>
    <t xml:space="preserve">Barbers</t>
  </si>
  <si>
    <t xml:space="preserve">Medical Centres</t>
  </si>
  <si>
    <t xml:space="preserve">Dentists</t>
  </si>
  <si>
    <t xml:space="preserve">Pharmacies</t>
  </si>
  <si>
    <t xml:space="preserve">Schools</t>
  </si>
  <si>
    <t xml:space="preserve">Churches</t>
  </si>
  <si>
    <t xml:space="preserve">Supermarkets</t>
  </si>
  <si>
    <t xml:space="preserve">Boutiques</t>
  </si>
  <si>
    <t xml:space="preserve">Home Services</t>
  </si>
  <si>
    <t xml:space="preserve">Real Estate</t>
  </si>
  <si>
    <t xml:space="preserve">Professional Services</t>
  </si>
  <si>
    <t xml:space="preserve">Auto Services</t>
  </si>
  <si>
    <t xml:space="preserve">Event Businesses</t>
  </si>
  <si>
    <t xml:space="preserve">Caterers</t>
  </si>
  <si>
    <t xml:space="preserve">TOTAL</t>
  </si>
  <si>
    <t xml:space="preserve">Note</t>
  </si>
  <si>
    <t xml:space="preserve">Every figure on this sheet is a live formula over the MASTER DATABASE tab - add or edit rows there and these update automatically.</t>
  </si>
  <si>
    <t xml:space="preserve">HOW THIS DATABASE IS BUILT</t>
  </si>
  <si>
    <t xml:space="preserve">Purpose</t>
  </si>
  <si>
    <t xml:space="preserve">A sales-ready directory of businesses in the Anthony Village and Maryland / Mende catchments for Anthony Community Media.</t>
  </si>
  <si>
    <t xml:space="preserve">Catchments</t>
  </si>
  <si>
    <t xml:space="preserve">Two only: Anthony / Anthony Village, and Maryland / Mende (which includes Onigbongbo and the Maryland Mall cluster). Legacy Ajao Estate and Araromi records have been folded into Anthony; legacy Mende records into Maryland / Mende.</t>
  </si>
  <si>
    <t xml:space="preserve">Geographic rule</t>
  </si>
  <si>
    <t xml:space="preserve">A business is assigned to a catchment by its Google coordinates first, then its street address. Anthony is centred on 6.5595 / 3.3692; Maryland on 6.5700 / 3.3685. Records beyond ~1.2 km of either centre were excluded.</t>
  </si>
  <si>
    <t xml:space="preserve">Category taxonomy</t>
  </si>
  <si>
    <t xml:space="preserve">All records are mapped onto the client's 18 categories. The original label from the source (e.g. "Beauty Salons and Spas", "Dry cleaner") is preserved in the Source Category column so nothing is lost.</t>
  </si>
  <si>
    <t xml:space="preserve">Deduplication</t>
  </si>
  <si>
    <t xml:space="preserve">Records are matched on normalised phone number, then normalised name plus street, then normalised name. Where a legacy record and a Google record describe the same business, the two are merged and the richer value kept for each field.</t>
  </si>
  <si>
    <t xml:space="preserve">Prospect priority</t>
  </si>
  <si>
    <t xml:space="preserve">A = has a phone number and either a website or 10+ Google reviews (contactable and visible). B = has a phone number. C = no contact number captured yet.</t>
  </si>
  <si>
    <t xml:space="preserve">What is verified</t>
  </si>
  <si>
    <t xml:space="preserve">"Google-verified" means the business has a live Google Maps listing with coordinates as at the date above. "Directory listing only" means it came from a directory and has not yet been confirmed on Google.</t>
  </si>
  <si>
    <t xml:space="preserve">Honest limitation</t>
  </si>
  <si>
    <t xml:space="preserve">This is a strong working base, not a claim of exhaustive coverage. Street-level canvassing will still surface unlisted businesses, especially small shops without a Google presence.</t>
  </si>
  <si>
    <t xml:space="preserve">How to use it</t>
  </si>
  <si>
    <t xml:space="preserve">Filter MASTER DATABASE by Catchment, Category and Prospect Priority to build a call list. Record outcomes in Sales Status and Sales Notes. The DASHBOARD and summary tabs recalculate from whatever is in MASTER DATABASE.</t>
  </si>
  <si>
    <t xml:space="preserve">ID</t>
  </si>
  <si>
    <t xml:space="preserve">Business Name</t>
  </si>
  <si>
    <t xml:space="preserve">Catchment</t>
  </si>
  <si>
    <t xml:space="preserve">Street / Cluster</t>
  </si>
  <si>
    <t xml:space="preserve">Source Category</t>
  </si>
  <si>
    <t xml:space="preserve">Full Address</t>
  </si>
  <si>
    <t xml:space="preserve">Phone</t>
  </si>
  <si>
    <t xml:space="preserve">Website</t>
  </si>
  <si>
    <t xml:space="preserve">Google Maps</t>
  </si>
  <si>
    <t xml:space="preserve">Google Rating</t>
  </si>
  <si>
    <t xml:space="preserve">Google Reviews</t>
  </si>
  <si>
    <t xml:space="preserve">Has Phone</t>
  </si>
  <si>
    <t xml:space="preserve">Latitude</t>
  </si>
  <si>
    <t xml:space="preserve">Longitude</t>
  </si>
  <si>
    <t xml:space="preserve">Data Source</t>
  </si>
  <si>
    <t xml:space="preserve">Date Added</t>
  </si>
  <si>
    <t xml:space="preserve">Last Checked</t>
  </si>
  <si>
    <t xml:space="preserve">Verification</t>
  </si>
  <si>
    <t xml:space="preserve">Prospect Priority</t>
  </si>
  <si>
    <t xml:space="preserve">Suggested Package</t>
  </si>
  <si>
    <t xml:space="preserve">Sales Status</t>
  </si>
  <si>
    <t xml:space="preserve">Sales Notes</t>
  </si>
  <si>
    <t xml:space="preserve">Akwa Imah Restaurant &amp; Bar</t>
  </si>
  <si>
    <t xml:space="preserve">Onigbongbo</t>
  </si>
  <si>
    <t xml:space="preserve">Restaurant</t>
  </si>
  <si>
    <t xml:space="preserve">Onigbongbo, 14 Mobolaji Bank Anthony Way</t>
  </si>
  <si>
    <t xml:space="preserve">No</t>
  </si>
  <si>
    <t xml:space="preserve">Google Maps (verified search)</t>
  </si>
  <si>
    <t xml:space="preserve">2026-09-16</t>
  </si>
  <si>
    <t xml:space="preserve">Google-verified</t>
  </si>
  <si>
    <t xml:space="preserve">C - Listing only (no contact yet)</t>
  </si>
  <si>
    <t xml:space="preserve">Listing</t>
  </si>
  <si>
    <t xml:space="preserve">Not Contacted</t>
  </si>
  <si>
    <t xml:space="preserve">Alatasuesue Food Services Ltd, Purple Maryland Mall</t>
  </si>
  <si>
    <t xml:space="preserve">350 Ikorodu Rd</t>
  </si>
  <si>
    <t xml:space="preserve">Fast Food</t>
  </si>
  <si>
    <t xml:space="preserve">350 Ikorodu Rd, Anthony, Lagos 100211, Lagos</t>
  </si>
  <si>
    <t xml:space="preserve">Alubarika Foods and Agro-Allied Services</t>
  </si>
  <si>
    <t xml:space="preserve">Apostolic Faith Church</t>
  </si>
  <si>
    <t xml:space="preserve">Food Services</t>
  </si>
  <si>
    <t xml:space="preserve">Apostolic Faith Church, Anthony Village, Lagos</t>
  </si>
  <si>
    <t xml:space="preserve">+2348024878860</t>
  </si>
  <si>
    <t xml:space="preserve">Yes</t>
  </si>
  <si>
    <t xml:space="preserve">Legacy seed (Finelib / NGEX / Cybo)</t>
  </si>
  <si>
    <t xml:space="preserve">Directory listing only</t>
  </si>
  <si>
    <t xml:space="preserve">B - Potential advertiser</t>
  </si>
  <si>
    <t xml:space="preserve">Standard</t>
  </si>
  <si>
    <t xml:space="preserve">Amarissa Seafood Shop</t>
  </si>
  <si>
    <t xml:space="preserve">3 Bola Street</t>
  </si>
  <si>
    <t xml:space="preserve">3 Bola Street, Anthony Village, Kosofe Lagos</t>
  </si>
  <si>
    <t xml:space="preserve">+2348023144061</t>
  </si>
  <si>
    <t xml:space="preserve">https://www.google.com/maps/place/?q=place_id:ChIJzTFh8YWNOxARj40lqHNqF80</t>
  </si>
  <si>
    <t xml:space="preserve">Legacy seed + Google Maps</t>
  </si>
  <si>
    <t xml:space="preserve">Bukka Hut</t>
  </si>
  <si>
    <t xml:space="preserve">6 Anthony Village Rd</t>
  </si>
  <si>
    <t xml:space="preserve">Food / Restaurant</t>
  </si>
  <si>
    <t xml:space="preserve">6 Anthony Village Rd, Anthony, Lagos 105102</t>
  </si>
  <si>
    <t xml:space="preserve">+2347000550055</t>
  </si>
  <si>
    <t xml:space="preserve">https://www.google.com/maps/place/?q=place_id:ChIJu7XxIv2NOxARUbqFSQy1Z6Q</t>
  </si>
  <si>
    <t xml:space="preserve">A - High commercial relevance</t>
  </si>
  <si>
    <t xml:space="preserve">Premium</t>
  </si>
  <si>
    <t xml:space="preserve">Calabar Pot</t>
  </si>
  <si>
    <t xml:space="preserve">Bungalow</t>
  </si>
  <si>
    <t xml:space="preserve">African restaurant</t>
  </si>
  <si>
    <t xml:space="preserve">Bungalow, 10 Adebayo Mokuolu St, Anthony, Lagos 105102, Lagos, Nigeria</t>
  </si>
  <si>
    <t xml:space="preserve">+2348108688639</t>
  </si>
  <si>
    <t xml:space="preserve">https://www.google.com/maps/place/?q=place_id:ChIJiz2COLqVOxARBLzQp_HlOjs</t>
  </si>
  <si>
    <t xml:space="preserve">Google Maps (Apify scrape)</t>
  </si>
  <si>
    <t xml:space="preserve">Carol’s Confectioners Ltd</t>
  </si>
  <si>
    <t xml:space="preserve">12 Ayanboye Street</t>
  </si>
  <si>
    <t xml:space="preserve">12 Ayanboye Street, Anthony Village, Kosofe Lagos</t>
  </si>
  <si>
    <t xml:space="preserve">+2348033028774</t>
  </si>
  <si>
    <t xml:space="preserve">Chalice Gardens (Bar &amp; Restaurant)</t>
  </si>
  <si>
    <t xml:space="preserve">6 Olorunlogbon St</t>
  </si>
  <si>
    <t xml:space="preserve">6 Olorunlogbon St, Anthony, Lagos</t>
  </si>
  <si>
    <t xml:space="preserve">+2349074221080</t>
  </si>
  <si>
    <t xml:space="preserve">Charlice Restaurants</t>
  </si>
  <si>
    <t xml:space="preserve">1 Olorunlogbon St</t>
  </si>
  <si>
    <t xml:space="preserve">1 Olorunlogbon St, Anthony, Lagos</t>
  </si>
  <si>
    <t xml:space="preserve">+2349057342218</t>
  </si>
  <si>
    <t xml:space="preserve">Not contacted</t>
  </si>
  <si>
    <t xml:space="preserve">Source: Wikivoyage</t>
  </si>
  <si>
    <t xml:space="preserve">Dornelly Foods</t>
  </si>
  <si>
    <t xml:space="preserve">Odofin Oyero Dr</t>
  </si>
  <si>
    <t xml:space="preserve">Odofin Oyero Dr, Anthony, Lagos 105102, Lagos, Nigeria</t>
  </si>
  <si>
    <t xml:space="preserve">https://www.google.com/maps/place/?q=place_id:ChIJFxAb9IWNOxAR4weRI-RthPk</t>
  </si>
  <si>
    <t xml:space="preserve">Edichart Shopping Mall</t>
  </si>
  <si>
    <t xml:space="preserve">54 Olorunlogbon St</t>
  </si>
  <si>
    <t xml:space="preserve">Fifi's Oven</t>
  </si>
  <si>
    <t xml:space="preserve">3 Opeifa Street</t>
  </si>
  <si>
    <t xml:space="preserve">3 Opeifa Street, Ajao Estate, Anthony Village, Ikeja Lagos</t>
  </si>
  <si>
    <t xml:space="preserve">+2348034078227</t>
  </si>
  <si>
    <t xml:space="preserve">http://www.fifisoven.com/</t>
  </si>
  <si>
    <t xml:space="preserve">https://www.google.com/maps/place/?q=place_id:ChIJrygKPXOSOxARtkiXCb7ve8o</t>
  </si>
  <si>
    <t xml:space="preserve">Grillz 'N' Thingz</t>
  </si>
  <si>
    <t xml:space="preserve">3 Adekoya Sq</t>
  </si>
  <si>
    <t xml:space="preserve">Iya Monday</t>
  </si>
  <si>
    <t xml:space="preserve">7 Adebayo Mokuolu St</t>
  </si>
  <si>
    <t xml:space="preserve">7 Adebayo Mokuolu St, Anthony, Lagos</t>
  </si>
  <si>
    <t xml:space="preserve">Labe-ofe Pots</t>
  </si>
  <si>
    <t xml:space="preserve">1 Adejobi Crescent</t>
  </si>
  <si>
    <t xml:space="preserve">1 Adejobi Crescent, Anthony Village, Ikeja, Lagos</t>
  </si>
  <si>
    <t xml:space="preserve">+2347010055229</t>
  </si>
  <si>
    <t xml:space="preserve">Local restaurant</t>
  </si>
  <si>
    <t xml:space="preserve">H959+QV8</t>
  </si>
  <si>
    <t xml:space="preserve">H959+QV8, Anthony Village Rd, Anthony, Lagos 105102, Lagos, Nigeria</t>
  </si>
  <si>
    <t xml:space="preserve">https://www.google.com/maps/place/?q=place_id:ChIJayDwTwCNOxARFnnvk_cgnOw</t>
  </si>
  <si>
    <t xml:space="preserve">Mature Kitchen</t>
  </si>
  <si>
    <t xml:space="preserve">Anthony Village Road</t>
  </si>
  <si>
    <t xml:space="preserve">Anthony Village Road, Anthony, Lagos</t>
  </si>
  <si>
    <t xml:space="preserve">Source: OpenAlfa</t>
  </si>
  <si>
    <t xml:space="preserve">Meal Express</t>
  </si>
  <si>
    <t xml:space="preserve">Anthony</t>
  </si>
  <si>
    <t xml:space="preserve">Anthony, Ikeja 105102, Lagos, Nigeria</t>
  </si>
  <si>
    <t xml:space="preserve">https://www.google.com/maps/place/?q=place_id:ChIJ2dYKloWNOxAR1BBnIAyVZAc</t>
  </si>
  <si>
    <t xml:space="preserve">Mount Foodji</t>
  </si>
  <si>
    <t xml:space="preserve">No.6 Balogun Street</t>
  </si>
  <si>
    <t xml:space="preserve">No.6 Balogun Street, Ajao Estate, Anthony Village, Lagos</t>
  </si>
  <si>
    <t xml:space="preserve">+2347041377461</t>
  </si>
  <si>
    <t xml:space="preserve">Mr Krums</t>
  </si>
  <si>
    <t xml:space="preserve">2 Bamidele Adebule Street</t>
  </si>
  <si>
    <t xml:space="preserve">2 Bamidele Adebule Street, Anthony Village, Lagos</t>
  </si>
  <si>
    <t xml:space="preserve">+2347086365055</t>
  </si>
  <si>
    <t xml:space="preserve">Source: Finelib</t>
  </si>
  <si>
    <t xml:space="preserve">Mr. Mayas Refreshments</t>
  </si>
  <si>
    <t xml:space="preserve">17 Olorunlogbon Street</t>
  </si>
  <si>
    <t xml:space="preserve">17 Olorunlogbon Street, Anthony Village, Lagos</t>
  </si>
  <si>
    <t xml:space="preserve">+2348025946708</t>
  </si>
  <si>
    <t xml:space="preserve">Onlytoyourtaste (Grill's &amp; Fastfood)</t>
  </si>
  <si>
    <t xml:space="preserve">6 Olorunlogbon St, Anthony, Lagos 100232, Lagos, Nigeria</t>
  </si>
  <si>
    <t xml:space="preserve">https://www.google.com/maps/place/?q=place_id:ChIJb2K6o3eNOxARP3pz3Y6WshU</t>
  </si>
  <si>
    <t xml:space="preserve">Paulina's Eatery</t>
  </si>
  <si>
    <t xml:space="preserve">H959+C9R</t>
  </si>
  <si>
    <t xml:space="preserve">H959+C9R, Sylvia Cres, Anthony, Lagos 105102, Lagos, Nigeria</t>
  </si>
  <si>
    <t xml:space="preserve">+2348133185978</t>
  </si>
  <si>
    <t xml:space="preserve">https://www.google.com/maps/place/?q=place_id:ChIJT-rvmo-NOxAR4fAfJBqaoh8</t>
  </si>
  <si>
    <t xml:space="preserve">Precious Sweet bakes Confectionery in Maryland Lagos</t>
  </si>
  <si>
    <t xml:space="preserve">Printing</t>
  </si>
  <si>
    <t xml:space="preserve">Adebayo Mokuolu St</t>
  </si>
  <si>
    <t xml:space="preserve">Desktop publishing service</t>
  </si>
  <si>
    <t xml:space="preserve">Adebayo Mokuolu St, Anthony, Ikeja 105102, Lagos, Nigeria</t>
  </si>
  <si>
    <t xml:space="preserve">https://www.google.com/maps/place/?q=place_id:ChIJRUnLBwqNOxARu-zXxea_vMY</t>
  </si>
  <si>
    <t xml:space="preserve">Purple Spoon Shawarma</t>
  </si>
  <si>
    <t xml:space="preserve">15 Adebayo Mokuolu St</t>
  </si>
  <si>
    <t xml:space="preserve">15 Adebayo Mokuolu St, Anthony, Lagos</t>
  </si>
  <si>
    <t xml:space="preserve">+2348089017223</t>
  </si>
  <si>
    <t xml:space="preserve">https://www.google.com/maps/place/?q=place_id:ChIJu4RZHIWNOxARo1q3tuxxYHE</t>
  </si>
  <si>
    <t xml:space="preserve">Shawarma &amp; Ice Cream</t>
  </si>
  <si>
    <t xml:space="preserve">10 Anthony Village Rd</t>
  </si>
  <si>
    <t xml:space="preserve">Ice cream shop</t>
  </si>
  <si>
    <t xml:space="preserve">10 Anthony Village Rd, Anthony, Ikeja 105102, Lagos, Nigeria</t>
  </si>
  <si>
    <t xml:space="preserve">+2348034075919</t>
  </si>
  <si>
    <t xml:space="preserve">https://www.google.com/maps/place/?q=place_id:ChIJuTUugYWNOxAR6qpN0LGG9r0</t>
  </si>
  <si>
    <t xml:space="preserve">Shedu Chops</t>
  </si>
  <si>
    <t xml:space="preserve">16 Adebayo Mokuolu Street</t>
  </si>
  <si>
    <t xml:space="preserve">16 Adebayo Mokuolu Street, Anthony Village, Lagos</t>
  </si>
  <si>
    <t xml:space="preserve">+2347016737277</t>
  </si>
  <si>
    <t xml:space="preserve">https://www.google.com/maps/place/?q=place_id:ChIJUZZTe-uNOxARrLn_9x36e7c</t>
  </si>
  <si>
    <t xml:space="preserve">SNACKIT</t>
  </si>
  <si>
    <t xml:space="preserve">Food court</t>
  </si>
  <si>
    <t xml:space="preserve">10 Anthony Village Rd, Anthony, Lagos 105102, Lagos, Nigeria</t>
  </si>
  <si>
    <t xml:space="preserve">https://www.google.com/maps/place/?q=place_id:ChIJY-AOq5uNOxARL9gfqVP0Z78</t>
  </si>
  <si>
    <t xml:space="preserve">Taj Mahal Restaurant</t>
  </si>
  <si>
    <t xml:space="preserve">10 Mobolaji Bank Anthony Way</t>
  </si>
  <si>
    <t xml:space="preserve">Toptaste Food and Soups</t>
  </si>
  <si>
    <t xml:space="preserve">41 Olorunlogbon Street</t>
  </si>
  <si>
    <t xml:space="preserve">41 Olorunlogbon Street, Anthony Village, Lagos</t>
  </si>
  <si>
    <t xml:space="preserve">+2348099990846</t>
  </si>
  <si>
    <t xml:space="preserve">Yakoyo Food Canteen</t>
  </si>
  <si>
    <t xml:space="preserve">2 Odunlami St</t>
  </si>
  <si>
    <t xml:space="preserve">2 Odunlami St, Anthony, Lagos</t>
  </si>
  <si>
    <t xml:space="preserve">https://www.google.com/maps/place/?q=place_id:ChIJpwjpk92NOxAR2KTajENQSAU</t>
  </si>
  <si>
    <t xml:space="preserve">Zakari Umar</t>
  </si>
  <si>
    <t xml:space="preserve">16 Anthony Village Rd</t>
  </si>
  <si>
    <t xml:space="preserve">Fast food restaurant</t>
  </si>
  <si>
    <t xml:space="preserve">16 Anthony Village Rd, Anthony, Lagos 105102, Lagos, Nigeria</t>
  </si>
  <si>
    <t xml:space="preserve">https://www.google.com/maps/place/?q=place_id:ChIJlwoXgpeNOxARLpTvwUOLmcY</t>
  </si>
  <si>
    <t xml:space="preserve">Zhukkii's Delights Soups And Food</t>
  </si>
  <si>
    <t xml:space="preserve">126c Sylvia Cres</t>
  </si>
  <si>
    <t xml:space="preserve">126c Sylvia Cres, beside Zenith Bank, Anthony, Lagos 105102, Lagos, Nigeria</t>
  </si>
  <si>
    <t xml:space="preserve">+2348189509029</t>
  </si>
  <si>
    <t xml:space="preserve">https://www.google.com/maps/place/?q=place_id:ChIJf5zavZSNOxARJUJL0ehlJ6A</t>
  </si>
  <si>
    <t xml:space="preserve">Abramovich Hotels and Suites</t>
  </si>
  <si>
    <t xml:space="preserve">2 Sanni Lane</t>
  </si>
  <si>
    <t xml:space="preserve">2 Sanni Lane, Anthony Village, Lagos</t>
  </si>
  <si>
    <t xml:space="preserve">+2349154661572</t>
  </si>
  <si>
    <t xml:space="preserve">Banex Hotel And Suites</t>
  </si>
  <si>
    <t xml:space="preserve">Diamond Hotel</t>
  </si>
  <si>
    <t xml:space="preserve">5 Okunfolami Street</t>
  </si>
  <si>
    <t xml:space="preserve">5 Okunfolami Street, Anthony Village, Ikeja</t>
  </si>
  <si>
    <t xml:space="preserve">+23417920514</t>
  </si>
  <si>
    <t xml:space="preserve">Hotel Newcastle</t>
  </si>
  <si>
    <t xml:space="preserve">Plot 11 Adebayo Mokuolu Street</t>
  </si>
  <si>
    <t xml:space="preserve">Plot 11 Adebayo Mokuolu Street, Anthony Village, Ikeja Lagos</t>
  </si>
  <si>
    <t xml:space="preserve">+2341764666001</t>
  </si>
  <si>
    <t xml:space="preserve">Ivory Exclusive Hotel &amp; Suites</t>
  </si>
  <si>
    <t xml:space="preserve">60 Olorunlogbon Street</t>
  </si>
  <si>
    <t xml:space="preserve">60 Olorunlogbon Street, Anthony Village, Lagos</t>
  </si>
  <si>
    <t xml:space="preserve">+2347087355551</t>
  </si>
  <si>
    <t xml:space="preserve">Maryland Military Barracks Gate 1</t>
  </si>
  <si>
    <t xml:space="preserve">Mobolaji Bank Anthony Way</t>
  </si>
  <si>
    <t xml:space="preserve">Hostel</t>
  </si>
  <si>
    <t xml:space="preserve">Pholax Hotel &amp; Suites</t>
  </si>
  <si>
    <t xml:space="preserve">Prince Of Anthony Hotel</t>
  </si>
  <si>
    <t xml:space="preserve">27 Oyedele Ogunniyi Street</t>
  </si>
  <si>
    <t xml:space="preserve">27 Oyedele Ogunniyi Street, Anthony Village, Ikeja</t>
  </si>
  <si>
    <t xml:space="preserve">+2348134050925</t>
  </si>
  <si>
    <t xml:space="preserve">Queen Idia Hotel</t>
  </si>
  <si>
    <t xml:space="preserve">11 Sylvia Crescent</t>
  </si>
  <si>
    <t xml:space="preserve">11 Sylvia Crescent, Anthony Village, Lagos</t>
  </si>
  <si>
    <t xml:space="preserve">+2349031719594</t>
  </si>
  <si>
    <t xml:space="preserve">StayCation Suites &amp; Apartment</t>
  </si>
  <si>
    <t xml:space="preserve">12A Bode Peters Street</t>
  </si>
  <si>
    <t xml:space="preserve">12A Bode Peters Street, Anthony Village, Lagos</t>
  </si>
  <si>
    <t xml:space="preserve">+2348176576963</t>
  </si>
  <si>
    <t xml:space="preserve">Sylva Link Hotel Limited</t>
  </si>
  <si>
    <t xml:space="preserve">1 Kunle Adebowale Street</t>
  </si>
  <si>
    <t xml:space="preserve">1 Kunle Adebowale Street, Off Adebayo Mokuolu Street, Anthony Village, Lagos</t>
  </si>
  <si>
    <t xml:space="preserve">+2348032213140</t>
  </si>
  <si>
    <t xml:space="preserve">Anthony Village Recreation Center</t>
  </si>
  <si>
    <t xml:space="preserve">Sports / Recreation</t>
  </si>
  <si>
    <t xml:space="preserve">Adebayo Mokuolu St, Anthony Village, Lagos 105102</t>
  </si>
  <si>
    <t xml:space="preserve">Box2door Logistics</t>
  </si>
  <si>
    <t xml:space="preserve">4 Ayanboye Street</t>
  </si>
  <si>
    <t xml:space="preserve">Transportation</t>
  </si>
  <si>
    <t xml:space="preserve">4 Ayanboye Street, Anthony Village, Lagos</t>
  </si>
  <si>
    <t xml:space="preserve">+2349032490736</t>
  </si>
  <si>
    <t xml:space="preserve">Goldcard Spa and Fitness Centre</t>
  </si>
  <si>
    <t xml:space="preserve">2 Yusuf okunade close</t>
  </si>
  <si>
    <t xml:space="preserve">Fitness center</t>
  </si>
  <si>
    <t xml:space="preserve">2 Yusuf okunade close, Idiroko Est</t>
  </si>
  <si>
    <t xml:space="preserve">Gym Depot Nigeria Limited</t>
  </si>
  <si>
    <t xml:space="preserve">8B Faramobi Ajike</t>
  </si>
  <si>
    <t xml:space="preserve">Sports and Fitness</t>
  </si>
  <si>
    <t xml:space="preserve">8B Faramobi Ajike, Anthony Village, Kosofe Lagos</t>
  </si>
  <si>
    <t xml:space="preserve">+2348033664511</t>
  </si>
  <si>
    <t xml:space="preserve">https://www.google.com/maps/place/?q=place_id:ChIJK0ANgoWNOxARTTrq--gPQsk</t>
  </si>
  <si>
    <t xml:space="preserve">i-Fitness Gym Maryland</t>
  </si>
  <si>
    <t xml:space="preserve">350-360 Ikorodu Rd</t>
  </si>
  <si>
    <t xml:space="preserve">Sports / Fitness</t>
  </si>
  <si>
    <t xml:space="preserve">350-360 Ikorodu Rd, Anthony, Lagos 105102</t>
  </si>
  <si>
    <t xml:space="preserve">Google/local result</t>
  </si>
  <si>
    <t xml:space="preserve">INTERNATIONAL SPORTS INSTITUTE.</t>
  </si>
  <si>
    <t xml:space="preserve">11 Oseni St</t>
  </si>
  <si>
    <t xml:space="preserve">Sports school</t>
  </si>
  <si>
    <t xml:space="preserve">11 Oseni St, Anthony, Lagos 105102, Lagos, Nigeria</t>
  </si>
  <si>
    <t xml:space="preserve">http://isipro.org/</t>
  </si>
  <si>
    <t xml:space="preserve">https://www.google.com/maps/place/?q=place_id:ChIJH_RgZIWNOxARykBcTDCwM5c</t>
  </si>
  <si>
    <t xml:space="preserve">M &amp; Q Fitness And Wellness Centre</t>
  </si>
  <si>
    <t xml:space="preserve">53A Adediran Ajao Crescent</t>
  </si>
  <si>
    <t xml:space="preserve">53A Adediran Ajao Crescent, Ajao Estate, Anthony Village, Ikeja Lagos</t>
  </si>
  <si>
    <t xml:space="preserve">+2348027339122</t>
  </si>
  <si>
    <t xml:space="preserve">https://www.google.com/maps/place/?q=place_id:ChIJf9enoYGNOxARjM2mS-RVOuw</t>
  </si>
  <si>
    <t xml:space="preserve">MADOKA YOGA WELLBEING INITIATIVE</t>
  </si>
  <si>
    <t xml:space="preserve">27 Olorunlogbon St</t>
  </si>
  <si>
    <t xml:space="preserve">Yoga studio</t>
  </si>
  <si>
    <t xml:space="preserve">Mediterranean Spas and Swimming Pools Ltd</t>
  </si>
  <si>
    <t xml:space="preserve">Ground Floor</t>
  </si>
  <si>
    <t xml:space="preserve">Swimming pool contractor</t>
  </si>
  <si>
    <t xml:space="preserve">Ground Floor, Theodolite House, 306 Ikorodu Rd, Anthony, Lagos 105102, Lagos, Nigeria</t>
  </si>
  <si>
    <t xml:space="preserve">+2348023116254</t>
  </si>
  <si>
    <t xml:space="preserve">https://www.google.com/maps/place/?q=place_id:ChIJcxsVxEyNOxARg4aQlMWMh7g</t>
  </si>
  <si>
    <t xml:space="preserve">Moov Africa</t>
  </si>
  <si>
    <t xml:space="preserve">48 Oyedele Ogunniyi Street</t>
  </si>
  <si>
    <t xml:space="preserve">48 Oyedele Ogunniyi Street, Anthony Village, Lagos</t>
  </si>
  <si>
    <t xml:space="preserve">+2349132000666</t>
  </si>
  <si>
    <t xml:space="preserve">Multi-Scope Investment Limited</t>
  </si>
  <si>
    <t xml:space="preserve">1b Yahya Close</t>
  </si>
  <si>
    <t xml:space="preserve">1b Yahya Close, Off Adejobi Crescent, Anthony Village, Lagos</t>
  </si>
  <si>
    <t xml:space="preserve">+2348033029162</t>
  </si>
  <si>
    <t xml:space="preserve">Nigeria Health Finder</t>
  </si>
  <si>
    <t xml:space="preserve">711 Road</t>
  </si>
  <si>
    <t xml:space="preserve">711 Road, C close, House 2. Festac, Lagos state, Lagos 101233, Lagos, Nigeria</t>
  </si>
  <si>
    <t xml:space="preserve">+2347068092052</t>
  </si>
  <si>
    <t xml:space="preserve">https://www.google.com/maps/place/?q=place_id:ChIJPcKgcIWNOxARFIswrB3JYqI</t>
  </si>
  <si>
    <t xml:space="preserve">Royal Chantelle</t>
  </si>
  <si>
    <t xml:space="preserve">126A Sylvia Crescent</t>
  </si>
  <si>
    <t xml:space="preserve">126A Sylvia Crescent, Off Ikorodu Road, Anthony Village, Lagos</t>
  </si>
  <si>
    <t xml:space="preserve">+2348056260672</t>
  </si>
  <si>
    <t xml:space="preserve">Talod Ocean Freight Limited</t>
  </si>
  <si>
    <t xml:space="preserve">57 Adebayo Mokuolu Street</t>
  </si>
  <si>
    <t xml:space="preserve">57 Adebayo Mokuolu Street, Anthony Village, Ikeja</t>
  </si>
  <si>
    <t xml:space="preserve">+2348033065472</t>
  </si>
  <si>
    <t xml:space="preserve">Tropical Arctic Logistics Ltd</t>
  </si>
  <si>
    <t xml:space="preserve">72 Olorunlogbon Street</t>
  </si>
  <si>
    <t xml:space="preserve">72 Olorunlogbon Street, Anthony Village, Lagos</t>
  </si>
  <si>
    <t xml:space="preserve">+2341870906701</t>
  </si>
  <si>
    <t xml:space="preserve">Adeola Beauty Salon</t>
  </si>
  <si>
    <t xml:space="preserve">Anthony Village</t>
  </si>
  <si>
    <t xml:space="preserve">Beauty salon</t>
  </si>
  <si>
    <t xml:space="preserve">Anthony Village, 26 Olorunlogbon St</t>
  </si>
  <si>
    <t xml:space="preserve">Avi BeautySmith</t>
  </si>
  <si>
    <t xml:space="preserve">2 Idowu Ajao St</t>
  </si>
  <si>
    <t xml:space="preserve">Beauty / Salon</t>
  </si>
  <si>
    <t xml:space="preserve">2 Idowu Ajao St, Anthony Village, Lagos 100232</t>
  </si>
  <si>
    <t xml:space="preserve">+2347011038068</t>
  </si>
  <si>
    <t xml:space="preserve">BEAUTIPLY INTERNATIONAL</t>
  </si>
  <si>
    <t xml:space="preserve">2 LAGOS Mobolaji Bank Anthony Way</t>
  </si>
  <si>
    <t xml:space="preserve">Hair salon</t>
  </si>
  <si>
    <t xml:space="preserve">Beauvonne</t>
  </si>
  <si>
    <t xml:space="preserve">40 Oyedele Ogunniyi Street</t>
  </si>
  <si>
    <t xml:space="preserve">Beauty Salons and Spas</t>
  </si>
  <si>
    <t xml:space="preserve">40 Oyedele Ogunniyi Street, Anthony Village, Lagos</t>
  </si>
  <si>
    <t xml:space="preserve">+2347011635801</t>
  </si>
  <si>
    <t xml:space="preserve">Bimfem Natural Hair Salon</t>
  </si>
  <si>
    <t xml:space="preserve">7 Anthony Village Rd</t>
  </si>
  <si>
    <t xml:space="preserve">7 Anthony Village Rd, Anthony, Lagos 100232</t>
  </si>
  <si>
    <t xml:space="preserve">+2347032378915</t>
  </si>
  <si>
    <t xml:space="preserve">http://www.bimfemplus.com/</t>
  </si>
  <si>
    <t xml:space="preserve">https://www.google.com/maps/place/?q=place_id:ChIJ8U0FXqiROxAR01uM8Fhsuto</t>
  </si>
  <si>
    <t xml:space="preserve">Blessing Beauty Salon</t>
  </si>
  <si>
    <t xml:space="preserve">2 Oseni St</t>
  </si>
  <si>
    <t xml:space="preserve">2 Oseni St, Anthony, Lagos 100232, Lagos, Nigeria</t>
  </si>
  <si>
    <t xml:space="preserve">+2347057003780</t>
  </si>
  <si>
    <t xml:space="preserve">https://www.google.com/maps/place/?q=place_id:ChIJ00b0O9-NOxARWqvJkUyTxuY</t>
  </si>
  <si>
    <t xml:space="preserve">Bukkies Signature Salon</t>
  </si>
  <si>
    <t xml:space="preserve">24 Oseni Street</t>
  </si>
  <si>
    <t xml:space="preserve">24 Oseni Street, Anthony Village, Shomolu Lagos</t>
  </si>
  <si>
    <t xml:space="preserve">+2348034360209</t>
  </si>
  <si>
    <t xml:space="preserve">Chreg's Beauty Salon</t>
  </si>
  <si>
    <t xml:space="preserve">3 Oyedele Ogunniyi Street</t>
  </si>
  <si>
    <t xml:space="preserve">3 Oyedele Ogunniyi Street, behind St. Augustine's Anglican Church, Anthony Village, Lagos</t>
  </si>
  <si>
    <t xml:space="preserve">+2348038505421</t>
  </si>
  <si>
    <t xml:space="preserve">D D Vision Beauty Saloon</t>
  </si>
  <si>
    <t xml:space="preserve">24 Anthony Village Rd</t>
  </si>
  <si>
    <t xml:space="preserve">24 Anthony Village Rd, Anthony, Lagos 100232, Lagos, Nigeria</t>
  </si>
  <si>
    <t xml:space="preserve">+2348153002051</t>
  </si>
  <si>
    <t xml:space="preserve">https://www.google.com/maps/place/?q=place_id:ChIJ93Wig4WNOxARwb9H-4jgI2c</t>
  </si>
  <si>
    <t xml:space="preserve">Deeza Beauty Shop</t>
  </si>
  <si>
    <t xml:space="preserve">12 Thomas Laniyan Street</t>
  </si>
  <si>
    <t xml:space="preserve">12 Thomas Laniyan Street, Idiroko B/Stop, Anthony Village Ikeja, Lagos</t>
  </si>
  <si>
    <t xml:space="preserve">+2348033228414</t>
  </si>
  <si>
    <t xml:space="preserve">Demi beauty shop</t>
  </si>
  <si>
    <t xml:space="preserve">36 Ikorodu Rd</t>
  </si>
  <si>
    <t xml:space="preserve">36 Ikorodu Rd, mile12, Lagos 300001, Lagos, Nigeria</t>
  </si>
  <si>
    <t xml:space="preserve">+2348020706476</t>
  </si>
  <si>
    <t xml:space="preserve">https://www.google.com/maps/place/?q=place_id:ChIJG6aZx4-NOxARkAk--7V9F-E</t>
  </si>
  <si>
    <t xml:space="preserve">Dessynails Studio</t>
  </si>
  <si>
    <t xml:space="preserve">45 Oyedele Ogunniyi Street</t>
  </si>
  <si>
    <t xml:space="preserve">45 Oyedele Ogunniyi Street, Anthony Village, Lagos</t>
  </si>
  <si>
    <t xml:space="preserve">+2349031831903</t>
  </si>
  <si>
    <t xml:space="preserve">Divaray beauty Line</t>
  </si>
  <si>
    <t xml:space="preserve">6 Odofin Oyero Dr</t>
  </si>
  <si>
    <t xml:space="preserve">6 Odofin Oyero Dr, Anthony, Lagos 105102, Lagos, Nigeria</t>
  </si>
  <si>
    <t xml:space="preserve">https://www.google.com/maps/place/?q=place_id:ChIJ50iVXgCNOxARBa47HxVbm20</t>
  </si>
  <si>
    <t xml:space="preserve">DLM Studio</t>
  </si>
  <si>
    <t xml:space="preserve">1A Thomas Laniyan St</t>
  </si>
  <si>
    <t xml:space="preserve">Beauty / Hair</t>
  </si>
  <si>
    <t xml:space="preserve">1A Thomas Laniyan St, Anthony Village 100232, Lagos</t>
  </si>
  <si>
    <t xml:space="preserve">+2348033297168</t>
  </si>
  <si>
    <t xml:space="preserve">divinelooksng.com</t>
  </si>
  <si>
    <t xml:space="preserve">Eliana'elio Perfume Store</t>
  </si>
  <si>
    <t xml:space="preserve">21 Olorunlogbon street Anthony Village Lagos</t>
  </si>
  <si>
    <t xml:space="preserve">Cosmetics store</t>
  </si>
  <si>
    <t xml:space="preserve">21 Olorunlogbon street Anthony Village Lagos, Anthony, Village 100001, Lagos, Nigeria</t>
  </si>
  <si>
    <t xml:space="preserve">+2348029299178</t>
  </si>
  <si>
    <t xml:space="preserve">https://www.google.com/maps/place/?q=place_id:ChIJiSliTAeNOxARialrAEAXwL4</t>
  </si>
  <si>
    <t xml:space="preserve">Favour Beauty Salon</t>
  </si>
  <si>
    <t xml:space="preserve">Adediran Ajao Cres</t>
  </si>
  <si>
    <t xml:space="preserve">Adediran Ajao Cres, Anthony, Lagos 105102</t>
  </si>
  <si>
    <t xml:space="preserve">+2348151160872</t>
  </si>
  <si>
    <t xml:space="preserve">Funmi Beauty Salon</t>
  </si>
  <si>
    <t xml:space="preserve">Anthony Village, 16 Olorunlogbon St, Lagos, Nigeria</t>
  </si>
  <si>
    <t xml:space="preserve">+2348033074266</t>
  </si>
  <si>
    <t xml:space="preserve">https://www.google.com/maps/place/?q=place_id:ChIJMaKpl4WNOxARzKmGNfyu6Ys</t>
  </si>
  <si>
    <t xml:space="preserve">Ginny Beauty Salon</t>
  </si>
  <si>
    <t xml:space="preserve">16 Olorunlogbon St</t>
  </si>
  <si>
    <t xml:space="preserve">16 Olorunlogbon St, Anthony, Lagos 105102, Lagos, Nigeria</t>
  </si>
  <si>
    <t xml:space="preserve">https://www.google.com/maps/place/?q=place_id:ChIJAWb8loWNOxAROeqHgUQHGy4</t>
  </si>
  <si>
    <t xml:space="preserve">Glowtitude</t>
  </si>
  <si>
    <t xml:space="preserve">54 Olorunlogbon Street</t>
  </si>
  <si>
    <t xml:space="preserve">54 Olorunlogbon Street, Anthony Village, Lagos</t>
  </si>
  <si>
    <t xml:space="preserve">+2348187969047</t>
  </si>
  <si>
    <t xml:space="preserve">Hairifichairs.ng best hair vendor in Maryland</t>
  </si>
  <si>
    <t xml:space="preserve">60 Olorunlogbon St</t>
  </si>
  <si>
    <t xml:space="preserve">Hairdresser</t>
  </si>
  <si>
    <t xml:space="preserve">HOB1705 Salon</t>
  </si>
  <si>
    <t xml:space="preserve">3 Sunmola Street</t>
  </si>
  <si>
    <t xml:space="preserve">3 Sunmola Street, Anthony, Lagos 105102</t>
  </si>
  <si>
    <t xml:space="preserve">+2347039131764</t>
  </si>
  <si>
    <t xml:space="preserve">IB Signature Salon</t>
  </si>
  <si>
    <t xml:space="preserve">Anthony Village, 4 Olorunlogbon St, Maryland, Lagos, Nigeria</t>
  </si>
  <si>
    <t xml:space="preserve">+2348085873760</t>
  </si>
  <si>
    <t xml:space="preserve">https://www.google.com/maps/place/?q=place_id:ChIJleRy64WNOxAR_Nu1JXzW10k</t>
  </si>
  <si>
    <t xml:space="preserve">Inner Beauty Hair Shop</t>
  </si>
  <si>
    <t xml:space="preserve">Anthony Village, 14 Olorunlogbon St</t>
  </si>
  <si>
    <t xml:space="preserve">Jeremynailss</t>
  </si>
  <si>
    <t xml:space="preserve">40 Oyedele Ogunniyi St</t>
  </si>
  <si>
    <t xml:space="preserve">Nail salon</t>
  </si>
  <si>
    <t xml:space="preserve">Lady B Hair Dressing Salon</t>
  </si>
  <si>
    <t xml:space="preserve">21 Olorunlogbon St</t>
  </si>
  <si>
    <t xml:space="preserve">21 Olorunlogbon St, Anthony, Lagos 105102, Lagos, Nigeria</t>
  </si>
  <si>
    <t xml:space="preserve">+2348132594277</t>
  </si>
  <si>
    <t xml:space="preserve">https://www.google.com/maps/place/?q=place_id:ChIJq1rY5ayNOxARGk0tK5kAzeY</t>
  </si>
  <si>
    <t xml:space="preserve">Li-Labake Hair Salon</t>
  </si>
  <si>
    <t xml:space="preserve">17 Saji Ayangade St</t>
  </si>
  <si>
    <t xml:space="preserve">M &amp; M Beauty Palace</t>
  </si>
  <si>
    <t xml:space="preserve">H95C+P4M</t>
  </si>
  <si>
    <t xml:space="preserve">H95C+P4M, Anyony Village Road, Olorunlogbon St, Anthony Village, Lagos, Nigeria</t>
  </si>
  <si>
    <t xml:space="preserve">https://www.google.com/maps/place/?q=place_id:ChIJJYQTbzyNOxARlVMfyU1rzss</t>
  </si>
  <si>
    <t xml:space="preserve">Meg Braiding Centre</t>
  </si>
  <si>
    <t xml:space="preserve">9 Odofin Oyero Dr</t>
  </si>
  <si>
    <t xml:space="preserve">9 Odofin Oyero Dr, Kosofe, Lagos 105102, Lagos, Nigeria</t>
  </si>
  <si>
    <t xml:space="preserve">+2348088032077</t>
  </si>
  <si>
    <t xml:space="preserve">https://www.google.com/maps/place/?q=place_id:ChIJT2lHFuuNOxARCZgd5m3Jrz0</t>
  </si>
  <si>
    <t xml:space="preserve">Mohzaik Beauty Salon</t>
  </si>
  <si>
    <t xml:space="preserve">13 Sylvia Cres</t>
  </si>
  <si>
    <t xml:space="preserve">Nailz by Tm</t>
  </si>
  <si>
    <t xml:space="preserve">6 Oseni St</t>
  </si>
  <si>
    <t xml:space="preserve">6 Oseni St, Anthony, Lagos 105102, Lagos, Nigeria</t>
  </si>
  <si>
    <t xml:space="preserve">+2348147659860</t>
  </si>
  <si>
    <t xml:space="preserve">https://www.instagram.com/nailzbytm?igsh=MWUxbmVjbG54a204dA%3D%3D&amp;utm_source=qr</t>
  </si>
  <si>
    <t xml:space="preserve">https://www.google.com/maps/place/?q=place_id:ChIJmwEEbACNOxARYE85iN2qfvw</t>
  </si>
  <si>
    <t xml:space="preserve">Nene Hair Shop</t>
  </si>
  <si>
    <t xml:space="preserve">8 Oyedele Ogunniyi St</t>
  </si>
  <si>
    <t xml:space="preserve">8 Oyedele Ogunniyi St, Anthony, Lagos 100232</t>
  </si>
  <si>
    <t xml:space="preserve">+2348026068658</t>
  </si>
  <si>
    <t xml:space="preserve">business listing</t>
  </si>
  <si>
    <t xml:space="preserve">Nobel Afrik</t>
  </si>
  <si>
    <t xml:space="preserve">Wema Bank</t>
  </si>
  <si>
    <t xml:space="preserve">Wema Bank, Mr Biggs, 2 Mobolaji Bank Anthony Way</t>
  </si>
  <si>
    <t xml:space="preserve">Purple Beautician (BEAUTY, HAIR &amp; SPA)</t>
  </si>
  <si>
    <t xml:space="preserve">57B Faramobi Ajike St</t>
  </si>
  <si>
    <t xml:space="preserve">57B Faramobi Ajike St, Anthony, Lagos 100241</t>
  </si>
  <si>
    <t xml:space="preserve">+2347017237271</t>
  </si>
  <si>
    <t xml:space="preserve">https://purplebeautician.com/</t>
  </si>
  <si>
    <t xml:space="preserve">https://www.google.com/maps/place/?q=place_id:ChIJVVGVjC6NOxARj2RldlFx-vE</t>
  </si>
  <si>
    <t xml:space="preserve">Queen Unisex Salon</t>
  </si>
  <si>
    <t xml:space="preserve">Hair care service</t>
  </si>
  <si>
    <t xml:space="preserve">+2348182158497</t>
  </si>
  <si>
    <t xml:space="preserve">https://www.google.com/maps/place/?q=place_id:ChIJi0zkjoWNOxARceA4rchyYrU</t>
  </si>
  <si>
    <t xml:space="preserve">Rukky Beauty Salon</t>
  </si>
  <si>
    <t xml:space="preserve">1 Odofin Oyero Dr</t>
  </si>
  <si>
    <t xml:space="preserve">1 Odofin Oyero Dr, Anthony, Lagos 105102, Lagos, Nigeria</t>
  </si>
  <si>
    <t xml:space="preserve">+2348085108539</t>
  </si>
  <si>
    <t xml:space="preserve">https://www.google.com/maps/place/?q=place_id:ChIJzbvhhoWNOxAR9tx0ZhoXVh4</t>
  </si>
  <si>
    <t xml:space="preserve">Sammy Z Unisex Salon</t>
  </si>
  <si>
    <t xml:space="preserve">16 Odofin Oyero Dr</t>
  </si>
  <si>
    <t xml:space="preserve">16 Odofin Oyero Dr, Anthony, Lagos 105102, Lagos, Nigeria</t>
  </si>
  <si>
    <t xml:space="preserve">+2347013114446</t>
  </si>
  <si>
    <t xml:space="preserve">https://www.google.com/maps/place/?q=place_id:ChIJDQ-raAiNOxARrYBH7wSPdMI</t>
  </si>
  <si>
    <t xml:space="preserve">Spanache Day Spa</t>
  </si>
  <si>
    <t xml:space="preserve">22 Odunlami Street</t>
  </si>
  <si>
    <t xml:space="preserve">22 Odunlami Street, Anthony Village, Lagos</t>
  </si>
  <si>
    <t xml:space="preserve">+2348161824280</t>
  </si>
  <si>
    <t xml:space="preserve">Styledbykosii</t>
  </si>
  <si>
    <t xml:space="preserve">2 Odofin Oyero Dr</t>
  </si>
  <si>
    <t xml:space="preserve">2 Odofin Oyero Dr, Kosofe, Lagos 105102, Lagos, Nigeria</t>
  </si>
  <si>
    <t xml:space="preserve">+2347038271180</t>
  </si>
  <si>
    <t xml:space="preserve">https://www.google.com/maps/place/?q=place_id:ChIJ93gTrCyNOxARpcjdjVZnFEA</t>
  </si>
  <si>
    <t xml:space="preserve">Talking Faces</t>
  </si>
  <si>
    <t xml:space="preserve">1 Kunle Adebowale St</t>
  </si>
  <si>
    <t xml:space="preserve">Tfour Studio</t>
  </si>
  <si>
    <t xml:space="preserve">2 Alhaja oluwakemi Str</t>
  </si>
  <si>
    <t xml:space="preserve">2 Alhaja oluwakemi Str, off Faramobi Ajike Street</t>
  </si>
  <si>
    <t xml:space="preserve">The empire signature salon</t>
  </si>
  <si>
    <t xml:space="preserve">18 Odofin Oyero Dr</t>
  </si>
  <si>
    <t xml:space="preserve">18 Odofin Oyero Dr, Anthony, Lagos 105102</t>
  </si>
  <si>
    <t xml:space="preserve">+2348182795019</t>
  </si>
  <si>
    <t xml:space="preserve">https://mustaphabarakat243.wixsite.com/theempiresignature-1</t>
  </si>
  <si>
    <t xml:space="preserve">https://www.google.com/maps/place/?q=place_id:ChIJIZvOyRKNOxARTNeefc1HUHc</t>
  </si>
  <si>
    <t xml:space="preserve">Things and Stuff Cosmetics</t>
  </si>
  <si>
    <t xml:space="preserve">14 Odofin Oyero Dr</t>
  </si>
  <si>
    <t xml:space="preserve">14 Odofin Oyero Dr, Anthony, Lagos 100232, Lagos, Nigeria</t>
  </si>
  <si>
    <t xml:space="preserve">+2348171652543</t>
  </si>
  <si>
    <t xml:space="preserve">https://www.google.com/maps/place/?q=place_id:ChIJX5RaioWNOxARI0zMHaS3RBE</t>
  </si>
  <si>
    <t xml:space="preserve">Trineat Signature</t>
  </si>
  <si>
    <t xml:space="preserve">3 Bola St</t>
  </si>
  <si>
    <t xml:space="preserve">3 Bola St, off Odofin Oyero Drive, Anthony, Lagos 100232, Lagos, Nigeria</t>
  </si>
  <si>
    <t xml:space="preserve">http://www.kissfm989.com/</t>
  </si>
  <si>
    <t xml:space="preserve">https://www.google.com/maps/place/?q=place_id:ChIJs0MfV56NOxARIgm52JMPtCY</t>
  </si>
  <si>
    <t xml:space="preserve">Easy Look Salon</t>
  </si>
  <si>
    <t xml:space="preserve">23 Anthony Obe Street</t>
  </si>
  <si>
    <t xml:space="preserve">Barbing Salons</t>
  </si>
  <si>
    <t xml:space="preserve">23 Anthony Obe Street, Mafoluku, Anthony Village, Ikeja Lagos</t>
  </si>
  <si>
    <t xml:space="preserve">+2348035675744</t>
  </si>
  <si>
    <t xml:space="preserve">Gentleman's Barber</t>
  </si>
  <si>
    <t xml:space="preserve">20 Olorunlogbon St</t>
  </si>
  <si>
    <t xml:space="preserve">Barber</t>
  </si>
  <si>
    <t xml:space="preserve">20 Olorunlogbon St, Anthony, Lagos 105102</t>
  </si>
  <si>
    <t xml:space="preserve">Source: Google/local</t>
  </si>
  <si>
    <t xml:space="preserve">Good Barbers</t>
  </si>
  <si>
    <t xml:space="preserve">Barber shop</t>
  </si>
  <si>
    <t xml:space="preserve">Home Boy Barbing Salon</t>
  </si>
  <si>
    <t xml:space="preserve">15 Olorunlogbon St</t>
  </si>
  <si>
    <t xml:space="preserve">15 Olorunlogbon St, Anthony, Lagos 100211, Lagos, Nigeria</t>
  </si>
  <si>
    <t xml:space="preserve">+2348062777748</t>
  </si>
  <si>
    <t xml:space="preserve">https://www.google.com/maps/place/?q=place_id:ChIJrx6xK6CNOxAR-PNOfNZDFTE</t>
  </si>
  <si>
    <t xml:space="preserve">Neat Face Barbing Saloon</t>
  </si>
  <si>
    <t xml:space="preserve">Idiroko</t>
  </si>
  <si>
    <t xml:space="preserve">Idiroko, 32 Olorunlogbon St, Anthony, Ikeja</t>
  </si>
  <si>
    <t xml:space="preserve">Next Barbing Salon</t>
  </si>
  <si>
    <t xml:space="preserve">32 Olounlogbon Street</t>
  </si>
  <si>
    <t xml:space="preserve">32 Olounlogbon Street, Anthony Village, Ikeja</t>
  </si>
  <si>
    <t xml:space="preserve">+2348080216287</t>
  </si>
  <si>
    <t xml:space="preserve">Olbof Barbing Salon</t>
  </si>
  <si>
    <t xml:space="preserve">48 Adebowale Street</t>
  </si>
  <si>
    <t xml:space="preserve">48 Adebowale Street, Anthony Village, Lagos</t>
  </si>
  <si>
    <t xml:space="preserve">+2348134057581</t>
  </si>
  <si>
    <t xml:space="preserve">Wheels Barbers Shop</t>
  </si>
  <si>
    <t xml:space="preserve">7 Saji Ayangade Street</t>
  </si>
  <si>
    <t xml:space="preserve">7 Saji Ayangade Street, Anthony Village, Ikeja Lagos</t>
  </si>
  <si>
    <t xml:space="preserve">+2348033181271</t>
  </si>
  <si>
    <t xml:space="preserve">Adenike Adeshina Pharmacy</t>
  </si>
  <si>
    <t xml:space="preserve">2 Bola St</t>
  </si>
  <si>
    <t xml:space="preserve">Medical Center</t>
  </si>
  <si>
    <t xml:space="preserve">2 Bola St, Anthony, Lagos 105102, Lagos, Nigeria</t>
  </si>
  <si>
    <t xml:space="preserve">+2348033075900</t>
  </si>
  <si>
    <t xml:space="preserve">https://www.google.com/maps/place/?q=place_id:ChIJvar-AA6NOxARpbB0BZxqKJY</t>
  </si>
  <si>
    <t xml:space="preserve">Agnosys Health</t>
  </si>
  <si>
    <t xml:space="preserve">Deji Odunuga Street</t>
  </si>
  <si>
    <t xml:space="preserve">Health Services</t>
  </si>
  <si>
    <t xml:space="preserve">Deji Odunuga Street, Anthony Village, Lagos</t>
  </si>
  <si>
    <t xml:space="preserve">+2348181579000</t>
  </si>
  <si>
    <t xml:space="preserve">Biologix Support Services</t>
  </si>
  <si>
    <t xml:space="preserve">52 Olorunlogbon Street</t>
  </si>
  <si>
    <t xml:space="preserve">52 Olorunlogbon Street, beside Edichart supermarket, Anthony Village, Lagos</t>
  </si>
  <si>
    <t xml:space="preserve">+2348053072221</t>
  </si>
  <si>
    <t xml:space="preserve">Bloomcrest Clinic</t>
  </si>
  <si>
    <t xml:space="preserve">15 Oseni St</t>
  </si>
  <si>
    <t xml:space="preserve">Walk-in clinic</t>
  </si>
  <si>
    <t xml:space="preserve">15 Oseni St, Anthony, Lagos 100232, Lagos, Nigeria</t>
  </si>
  <si>
    <t xml:space="preserve">+2348038548617</t>
  </si>
  <si>
    <t xml:space="preserve">https://bloomcrestclinic.com.ng/</t>
  </si>
  <si>
    <t xml:space="preserve">https://www.google.com/maps/place/?q=place_id:ChIJeeFtGo_VY4MRZJ74wgZYd2Q</t>
  </si>
  <si>
    <t xml:space="preserve">BluMed Pharmacy</t>
  </si>
  <si>
    <t xml:space="preserve">17 Deji Odunuga Street</t>
  </si>
  <si>
    <t xml:space="preserve">17 Deji Odunuga Street, Anthony Village, Lagos</t>
  </si>
  <si>
    <t xml:space="preserve">+2348033785105</t>
  </si>
  <si>
    <t xml:space="preserve">Buena Salute Clinic</t>
  </si>
  <si>
    <t xml:space="preserve">10 Balogun Street</t>
  </si>
  <si>
    <t xml:space="preserve">Health / Medical</t>
  </si>
  <si>
    <t xml:space="preserve">10 Balogun Street, Ajao Estate, Anthony Village, Lagos</t>
  </si>
  <si>
    <t xml:space="preserve">+2349028333798</t>
  </si>
  <si>
    <t xml:space="preserve">Check-up Laboratory</t>
  </si>
  <si>
    <t xml:space="preserve">31 Olorulogbon Street by Alhaja Oluwkemi Street</t>
  </si>
  <si>
    <t xml:space="preserve">31 Olorulogbon Street by Alhaja Oluwkemi Street, Anthony Village, Lagos</t>
  </si>
  <si>
    <t xml:space="preserve">+2348087719781</t>
  </si>
  <si>
    <t xml:space="preserve">Clinix Healthcare</t>
  </si>
  <si>
    <t xml:space="preserve">Diagnostic center</t>
  </si>
  <si>
    <t xml:space="preserve">Block Xii, Plot B Alh. Adejumo Ave</t>
  </si>
  <si>
    <t xml:space="preserve">+2342013300343</t>
  </si>
  <si>
    <t xml:space="preserve">Concept One Medical Centre</t>
  </si>
  <si>
    <t xml:space="preserve">10 Kehinde Odusote St</t>
  </si>
  <si>
    <t xml:space="preserve">Psychiatric hospital</t>
  </si>
  <si>
    <t xml:space="preserve">+2349095555531</t>
  </si>
  <si>
    <t xml:space="preserve">Eha Clinic</t>
  </si>
  <si>
    <t xml:space="preserve">H959+V5X</t>
  </si>
  <si>
    <t xml:space="preserve">H959+V5X, Anthony, Lagos 105102, Lagos, Nigeria</t>
  </si>
  <si>
    <t xml:space="preserve">https://www.google.com/maps/place/?q=place_id:ChIJVaZ2co-NOxARBcXNn-yM-OY</t>
  </si>
  <si>
    <t xml:space="preserve">El Enfocado Health &amp; Wellness Fitness Center</t>
  </si>
  <si>
    <t xml:space="preserve">Ogba bus stop</t>
  </si>
  <si>
    <t xml:space="preserve">Physical therapist</t>
  </si>
  <si>
    <t xml:space="preserve">Ogba bus stop, 21 Adebayo Mokuolu St, off Ajayi road, opposite Maruwa park</t>
  </si>
  <si>
    <t xml:space="preserve">FD Naturales &amp; Essential Oils Ltd</t>
  </si>
  <si>
    <t xml:space="preserve">59 Adebayo Mokuolu St</t>
  </si>
  <si>
    <t xml:space="preserve">Health / Wellness</t>
  </si>
  <si>
    <t xml:space="preserve">59 Adebayo Mokuolu St, Anthony, Lagos 105102</t>
  </si>
  <si>
    <t xml:space="preserve">+2348025923911</t>
  </si>
  <si>
    <t xml:space="preserve">FF Trading Services Limited</t>
  </si>
  <si>
    <t xml:space="preserve">1A Akinmade St</t>
  </si>
  <si>
    <t xml:space="preserve">Health / Medical Equipment</t>
  </si>
  <si>
    <t xml:space="preserve">1A Akinmade St, beside NLPC Pensions, Anthony, Lagos 105102</t>
  </si>
  <si>
    <t xml:space="preserve">+2349130902608</t>
  </si>
  <si>
    <t xml:space="preserve">Finlab Nigeria Limited</t>
  </si>
  <si>
    <t xml:space="preserve">1 Sylvia Cres</t>
  </si>
  <si>
    <t xml:space="preserve">Laboratory equipment supplier</t>
  </si>
  <si>
    <t xml:space="preserve">1 Sylvia Cres, Anthony, Lagos 105102, Lagos, Nigeria</t>
  </si>
  <si>
    <t xml:space="preserve">+2348079792426</t>
  </si>
  <si>
    <t xml:space="preserve">http://www.finlabnigeria.com/</t>
  </si>
  <si>
    <t xml:space="preserve">https://www.google.com/maps/place/?q=place_id:ChIJk9HJKN6NOxARLsaCvTw1OLg</t>
  </si>
  <si>
    <t xml:space="preserve">Gloria Hospital</t>
  </si>
  <si>
    <t xml:space="preserve">9 Olasehinde Street</t>
  </si>
  <si>
    <t xml:space="preserve">9 Olasehinde Street, Anthony Village, Lagos</t>
  </si>
  <si>
    <t xml:space="preserve">+2347028557559</t>
  </si>
  <si>
    <t xml:space="preserve">Gloria Medical Centre</t>
  </si>
  <si>
    <t xml:space="preserve">9 Oladeinde St</t>
  </si>
  <si>
    <t xml:space="preserve">+2348023093312</t>
  </si>
  <si>
    <t xml:space="preserve">Heda Hospital</t>
  </si>
  <si>
    <t xml:space="preserve">2 Nwabueze Close</t>
  </si>
  <si>
    <t xml:space="preserve">2 Nwabueze Close, Ajao Estate, Anthony Village, Lagos</t>
  </si>
  <si>
    <t xml:space="preserve">+2348033270656</t>
  </si>
  <si>
    <t xml:space="preserve">Hospital Assit Nigeria</t>
  </si>
  <si>
    <t xml:space="preserve">21 Sylvia Crescent</t>
  </si>
  <si>
    <t xml:space="preserve">21 Sylvia Crescent, Anthony Village, Lagos</t>
  </si>
  <si>
    <t xml:space="preserve">+2348051444457</t>
  </si>
  <si>
    <t xml:space="preserve">Immanuel M Hospital</t>
  </si>
  <si>
    <t xml:space="preserve">20 Adebayo Mokuolu Street</t>
  </si>
  <si>
    <t xml:space="preserve">20 Adebayo Mokuolu Street, Anthony Village, Lagos</t>
  </si>
  <si>
    <t xml:space="preserve">+2348033226432</t>
  </si>
  <si>
    <t xml:space="preserve">JCP MAX Medical Diagnostics &amp; Laboratory</t>
  </si>
  <si>
    <t xml:space="preserve">63C Adebayo Mokuolu Street</t>
  </si>
  <si>
    <t xml:space="preserve">63C Adebayo Mokuolu Street, Off Newcastle Hotel, Anthony Village, Lagos</t>
  </si>
  <si>
    <t xml:space="preserve">+2349032282732</t>
  </si>
  <si>
    <t xml:space="preserve">https://www.google.com/maps/place/?q=place_id:ChIJlzUQLVSNOxARKQjT55vB8mU</t>
  </si>
  <si>
    <t xml:space="preserve">King Solomon Hospital &amp; Diagnostic Centre</t>
  </si>
  <si>
    <t xml:space="preserve">4B Bola Adegboro Cres</t>
  </si>
  <si>
    <t xml:space="preserve">Hospital</t>
  </si>
  <si>
    <t xml:space="preserve">4B Bola Adegboro Cres, Anthony, Lagos 105102, Lagos, Nigeria</t>
  </si>
  <si>
    <t xml:space="preserve">+2347040916044</t>
  </si>
  <si>
    <t xml:space="preserve">https://www.google.com/maps/place/?q=place_id:ChIJuVIwZ4-NOxARudu4alw2G4I</t>
  </si>
  <si>
    <t xml:space="preserve">Life Fountain Medical Clinic</t>
  </si>
  <si>
    <t xml:space="preserve">+2348023383495</t>
  </si>
  <si>
    <t xml:space="preserve">Luxury skin fix</t>
  </si>
  <si>
    <t xml:space="preserve">21 Olorunlogbon street</t>
  </si>
  <si>
    <t xml:space="preserve">Skin care clinic</t>
  </si>
  <si>
    <t xml:space="preserve">21 Olorunlogbon street, Anthony Lagos, Ikeja 100282, Lagos, Nigeria</t>
  </si>
  <si>
    <t xml:space="preserve">+2348038168505</t>
  </si>
  <si>
    <t xml:space="preserve">http://www.instagram.com/luxuryskinfix</t>
  </si>
  <si>
    <t xml:space="preserve">https://www.google.com/maps/place/?q=place_id:ChIJZxBB6sWNOxARa0DBSCy92kc</t>
  </si>
  <si>
    <t xml:space="preserve">Narl Specialist Clinic</t>
  </si>
  <si>
    <t xml:space="preserve">44 Oyedele Ogunniyi St</t>
  </si>
  <si>
    <t xml:space="preserve">+2348022593802</t>
  </si>
  <si>
    <t xml:space="preserve">Nelpharm Nigeria Limited</t>
  </si>
  <si>
    <t xml:space="preserve">13 Okunfolami Street</t>
  </si>
  <si>
    <t xml:space="preserve">13 Okunfolami Street, Anthony Village, Kosofe Lagos</t>
  </si>
  <si>
    <t xml:space="preserve">+2348033244143</t>
  </si>
  <si>
    <t xml:space="preserve">ORB Women's Clinic</t>
  </si>
  <si>
    <t xml:space="preserve">23a Sylvia Cres</t>
  </si>
  <si>
    <t xml:space="preserve">Women's health clinic</t>
  </si>
  <si>
    <t xml:space="preserve">23a Sylvia Cres, Anthony, Lagos 100001, Lagos, Nigeria</t>
  </si>
  <si>
    <t xml:space="preserve">+2347068623586</t>
  </si>
  <si>
    <t xml:space="preserve">http://www.orbwomensclinic.com/</t>
  </si>
  <si>
    <t xml:space="preserve">https://www.google.com/maps/place/?q=place_id:ChIJb2L3CLCNOxARrkrot3Ro-cA</t>
  </si>
  <si>
    <t xml:space="preserve">PCQ</t>
  </si>
  <si>
    <t xml:space="preserve">21 Sylvia Cres</t>
  </si>
  <si>
    <t xml:space="preserve">Public medical center</t>
  </si>
  <si>
    <t xml:space="preserve">21 Sylvia Cres, Anthony, Ikeja 105102, Lagos, Nigeria</t>
  </si>
  <si>
    <t xml:space="preserve">https://www.google.com/maps/place/?q=place_id:ChIJWbodf4WNOxARcqnofid_tfY</t>
  </si>
  <si>
    <t xml:space="preserve">Pharmacy 2 U</t>
  </si>
  <si>
    <t xml:space="preserve">14 Oseni Street</t>
  </si>
  <si>
    <t xml:space="preserve">14 Oseni Street, Anthony Village, Kosofe</t>
  </si>
  <si>
    <t xml:space="preserve">+2347041054616</t>
  </si>
  <si>
    <t xml:space="preserve">RDC Pharmacy</t>
  </si>
  <si>
    <t xml:space="preserve">7 Bush Street</t>
  </si>
  <si>
    <t xml:space="preserve">7 Bush Street, Anthony Village, Lagos</t>
  </si>
  <si>
    <t xml:space="preserve">+2348188112626</t>
  </si>
  <si>
    <t xml:space="preserve">Seagreen Pharmaceuticals Ltd</t>
  </si>
  <si>
    <t xml:space="preserve">3 Okunfolami Street</t>
  </si>
  <si>
    <t xml:space="preserve">3 Okunfolami Street, Anthony Village, Lagos</t>
  </si>
  <si>
    <t xml:space="preserve">+2348032107970</t>
  </si>
  <si>
    <t xml:space="preserve">Tunadel Medical Tours Limited</t>
  </si>
  <si>
    <t xml:space="preserve">4b Bola St</t>
  </si>
  <si>
    <t xml:space="preserve">4b Bola St, Kosofe, Lagos 105102, Lagos, Nigeria</t>
  </si>
  <si>
    <t xml:space="preserve">+2348033503920</t>
  </si>
  <si>
    <t xml:space="preserve">https://www.google.com/maps/place/?q=place_id:ChIJ9_liYI-NOxARS5re9C_qz2Q</t>
  </si>
  <si>
    <t xml:space="preserve">Best Dental Clinic In Lagos</t>
  </si>
  <si>
    <t xml:space="preserve">Alhaji Adejumo Avenue</t>
  </si>
  <si>
    <t xml:space="preserve">Alhaji Adejumo Avenue, PLOT B, BLOCK XII</t>
  </si>
  <si>
    <t xml:space="preserve">+2348022827105</t>
  </si>
  <si>
    <t xml:space="preserve">Dental Plus</t>
  </si>
  <si>
    <t xml:space="preserve">2 Deji Odunuga Street</t>
  </si>
  <si>
    <t xml:space="preserve">General / Top-level</t>
  </si>
  <si>
    <t xml:space="preserve">2 Deji Odunuga Street, Anthony Village, Lagos</t>
  </si>
  <si>
    <t xml:space="preserve">+2348092177973</t>
  </si>
  <si>
    <t xml:space="preserve">Havila Dental Clinic</t>
  </si>
  <si>
    <t xml:space="preserve">2b Ladipo Olukoya St</t>
  </si>
  <si>
    <t xml:space="preserve">Dental clinic</t>
  </si>
  <si>
    <t xml:space="preserve">+2348033463251</t>
  </si>
  <si>
    <t xml:space="preserve">Independent Ventures</t>
  </si>
  <si>
    <t xml:space="preserve">348 Anthony Village Lagos Maryland</t>
  </si>
  <si>
    <t xml:space="preserve">Auto repair shop</t>
  </si>
  <si>
    <t xml:space="preserve">348 Anthony Village Lagos Maryland, Lagos, Nigeria</t>
  </si>
  <si>
    <t xml:space="preserve">+2348033152383</t>
  </si>
  <si>
    <t xml:space="preserve">https://www.google.com/maps/place/?q=place_id:ChIJv1ekzIyNOxARI-g07RRvtf0</t>
  </si>
  <si>
    <t xml:space="preserve">Orthoplus Dental Specialists</t>
  </si>
  <si>
    <t xml:space="preserve">+2348099238888</t>
  </si>
  <si>
    <t xml:space="preserve">Parah Julius Dentist</t>
  </si>
  <si>
    <t xml:space="preserve">50 Faramobi Ajike St</t>
  </si>
  <si>
    <t xml:space="preserve">50 Faramobi Ajike St, Anthony, Lagos 105102, Lagos, Nigeria</t>
  </si>
  <si>
    <t xml:space="preserve">+2348036127553</t>
  </si>
  <si>
    <t xml:space="preserve">https://www.google.com/maps/place/?q=place_id:ChIJy6WqVcONOxAR8ZX2ttbeiIc</t>
  </si>
  <si>
    <t xml:space="preserve">Caresville Pharmaceutical Limited</t>
  </si>
  <si>
    <t xml:space="preserve">3 Anthony Village Rd</t>
  </si>
  <si>
    <t xml:space="preserve">Health / Pharmacy</t>
  </si>
  <si>
    <t xml:space="preserve">3 Anthony Village Rd, Anthony, Lagos 100232</t>
  </si>
  <si>
    <t xml:space="preserve">+2347038368790</t>
  </si>
  <si>
    <t xml:space="preserve">bandbpremium.com</t>
  </si>
  <si>
    <t xml:space="preserve">City of David Pharmacy And Store</t>
  </si>
  <si>
    <t xml:space="preserve">Anthony Village Rd</t>
  </si>
  <si>
    <t xml:space="preserve">Pharmacy</t>
  </si>
  <si>
    <t xml:space="preserve">Anthony Village Rd, Anthony, Lagos 105102, Lagos, Nigeria</t>
  </si>
  <si>
    <t xml:space="preserve">https://www.google.com/maps/place/?q=place_id:ChIJUQTueY-NOxAR_2NruCyQ570</t>
  </si>
  <si>
    <t xml:space="preserve">Flexipharma Pharmacy (a mutti Pharmacy)</t>
  </si>
  <si>
    <t xml:space="preserve">1 Thomas Laniyan St</t>
  </si>
  <si>
    <t xml:space="preserve">1 Thomas Laniyan St, Anthony, Lagos 100232</t>
  </si>
  <si>
    <t xml:space="preserve">+2349081468000</t>
  </si>
  <si>
    <t xml:space="preserve">pharmacy</t>
  </si>
  <si>
    <t xml:space="preserve">Franksville Pharmacy</t>
  </si>
  <si>
    <t xml:space="preserve">18 Oseni St</t>
  </si>
  <si>
    <t xml:space="preserve">18 Oseni St, Anthony, Lagos 105102, Lagos, Nigeria</t>
  </si>
  <si>
    <t xml:space="preserve">https://www.google.com/maps/place/?q=place_id:ChIJGzebhsONOxARtoOnfhn-6cg</t>
  </si>
  <si>
    <t xml:space="preserve">GoJac Pharmacy</t>
  </si>
  <si>
    <t xml:space="preserve">Anthony Village, 16 Olorunlogbon St, Maryland, Lagos, Nigeria</t>
  </si>
  <si>
    <t xml:space="preserve">+2348033013680</t>
  </si>
  <si>
    <t xml:space="preserve">https://www.google.com/maps/place/?q=place_id:ChIJYU1Hl4WNOxARmRpfHStebhU</t>
  </si>
  <si>
    <t xml:space="preserve">HEALTHMAX PHARMACY, ANTHONY BRANCH</t>
  </si>
  <si>
    <t xml:space="preserve">1/3 Alade Lawal St</t>
  </si>
  <si>
    <t xml:space="preserve">1/3 Alade Lawal St, Anthony, Lagos 105102</t>
  </si>
  <si>
    <t xml:space="preserve">+2348083429934</t>
  </si>
  <si>
    <t xml:space="preserve">Healthserveplus Pharmacy Limited</t>
  </si>
  <si>
    <t xml:space="preserve">4 Alhaja Oluwakemi St</t>
  </si>
  <si>
    <t xml:space="preserve">4 Alhaja Oluwakemi St, Anthony Village, Lagos</t>
  </si>
  <si>
    <t xml:space="preserve">+2347038041309</t>
  </si>
  <si>
    <t xml:space="preserve">Ife Pharmacy and Store</t>
  </si>
  <si>
    <t xml:space="preserve">H969+5PH</t>
  </si>
  <si>
    <t xml:space="preserve">H969+5PH, Odofin Oyero Dr, Anthony, Lagos 105102, Lagos, Nigeria</t>
  </si>
  <si>
    <t xml:space="preserve">https://www.google.com/maps/place/?q=place_id:ChIJwYm1jIWNOxARpA3_Te1RU-I</t>
  </si>
  <si>
    <t xml:space="preserve">Medvault Pharmacy</t>
  </si>
  <si>
    <t xml:space="preserve">36 Oyedele Ogunniyi St</t>
  </si>
  <si>
    <t xml:space="preserve">+2348027202272</t>
  </si>
  <si>
    <t xml:space="preserve">Miab Pharmacy</t>
  </si>
  <si>
    <t xml:space="preserve">4 Anthony Village Rd</t>
  </si>
  <si>
    <t xml:space="preserve">Pharmaceutical products wholesaler</t>
  </si>
  <si>
    <t xml:space="preserve">4 Anthony Village Rd, Anthony, Lagos 105102, Lagos, Nigeria</t>
  </si>
  <si>
    <t xml:space="preserve">+2348023163550</t>
  </si>
  <si>
    <t xml:space="preserve">https://www.google.com/maps/place/?q=place_id:ChIJZZ_jg4WNOxARa4pGq2S-LUo</t>
  </si>
  <si>
    <t xml:space="preserve">PHARM AFFAIRS</t>
  </si>
  <si>
    <t xml:space="preserve">28 Oyedele Ogunniyi St</t>
  </si>
  <si>
    <t xml:space="preserve">28 Oyedele Ogunniyi St, Anthony, Ikeja 105102</t>
  </si>
  <si>
    <t xml:space="preserve">+2348141546928</t>
  </si>
  <si>
    <t xml:space="preserve">Pharmaceutical Products Sere. Ltd Pharmacy</t>
  </si>
  <si>
    <t xml:space="preserve">14 Oseni St</t>
  </si>
  <si>
    <t xml:space="preserve">14 Oseni St, Anthony, Vill 105102, Lagos, Nigeria</t>
  </si>
  <si>
    <t xml:space="preserve">+2348066420722</t>
  </si>
  <si>
    <t xml:space="preserve">https://www.google.com/maps/place/?q=place_id:ChIJKc3SqiONOxARxUXCewQbp24</t>
  </si>
  <si>
    <t xml:space="preserve">PharmBrook Pharmacy</t>
  </si>
  <si>
    <t xml:space="preserve">2 Mobolaji Bank Anthony Way</t>
  </si>
  <si>
    <t xml:space="preserve">Aladura Comprehensive High School</t>
  </si>
  <si>
    <t xml:space="preserve">Primate Adejobi Cres</t>
  </si>
  <si>
    <t xml:space="preserve">Education</t>
  </si>
  <si>
    <t xml:space="preserve">Primate Adejobi Cres, Anthony, Lagos 105102</t>
  </si>
  <si>
    <t xml:space="preserve">+2348037269452</t>
  </si>
  <si>
    <t xml:space="preserve">Anthony Model Primary School</t>
  </si>
  <si>
    <t xml:space="preserve">Anthony Village, Lagos 105102</t>
  </si>
  <si>
    <t xml:space="preserve">+2348034742909</t>
  </si>
  <si>
    <t xml:space="preserve">Apostolic Faith Secondary School</t>
  </si>
  <si>
    <t xml:space="preserve">1</t>
  </si>
  <si>
    <t xml:space="preserve">1, Apostolic Faith Campground Road, Anthony Village, Lagos</t>
  </si>
  <si>
    <t xml:space="preserve">+2348037130271</t>
  </si>
  <si>
    <t xml:space="preserve">Aptech Computer Education Maryland Centre</t>
  </si>
  <si>
    <t xml:space="preserve">Capital Building</t>
  </si>
  <si>
    <t xml:space="preserve">Computer training school</t>
  </si>
  <si>
    <t xml:space="preserve">Capital Building, 332 Ikorodu-Ososun Rd</t>
  </si>
  <si>
    <t xml:space="preserve">Creative Tailoring Class</t>
  </si>
  <si>
    <t xml:space="preserve">Fashion design school</t>
  </si>
  <si>
    <t xml:space="preserve">DIGITAL AGE TRAINING AND EVENT CENTRE, ANTHONY, MARYLAND</t>
  </si>
  <si>
    <t xml:space="preserve">Capital Building: 332 Ikorodu Road</t>
  </si>
  <si>
    <t xml:space="preserve">Training center</t>
  </si>
  <si>
    <t xml:space="preserve">Capital Building: 332 Ikorodu Road, Idiroko Bus stop, Anthony, Maryland</t>
  </si>
  <si>
    <t xml:space="preserve">+2348036351549</t>
  </si>
  <si>
    <t xml:space="preserve">Grace Shore School</t>
  </si>
  <si>
    <t xml:space="preserve">2 Sylvia Cres</t>
  </si>
  <si>
    <t xml:space="preserve">Elementary school</t>
  </si>
  <si>
    <t xml:space="preserve">2 Sylvia Cres, Anthony, Lagos 105102, Lagos, Nigeria</t>
  </si>
  <si>
    <t xml:space="preserve">https://www.google.com/maps/place/?q=place_id:ChIJ80PtmR-NOxARbImalasdAWQ</t>
  </si>
  <si>
    <t xml:space="preserve">Greensprings School, Anthony Campus</t>
  </si>
  <si>
    <t xml:space="preserve">32 Olatunde Ayoola Ave</t>
  </si>
  <si>
    <t xml:space="preserve">Education / School</t>
  </si>
  <si>
    <t xml:space="preserve">32 Olatunde Ayoola Ave, Anthony, Lagos 102216</t>
  </si>
  <si>
    <t xml:space="preserve">+2349087171700</t>
  </si>
  <si>
    <t xml:space="preserve">https://www.greenspringsschool.com/</t>
  </si>
  <si>
    <t xml:space="preserve">https://www.google.com/maps/place/?q=place_id:ChIJXYKw64-NOxARMsAOqG2XHY4</t>
  </si>
  <si>
    <t xml:space="preserve">Maryland Primary School</t>
  </si>
  <si>
    <t xml:space="preserve">H989+G98</t>
  </si>
  <si>
    <t xml:space="preserve">Primary school</t>
  </si>
  <si>
    <t xml:space="preserve">H989+G98, Anthony Village</t>
  </si>
  <si>
    <t xml:space="preserve">Millhouse Schools, Anthony Village</t>
  </si>
  <si>
    <t xml:space="preserve">6A Deji Odunuga St</t>
  </si>
  <si>
    <t xml:space="preserve">6A Deji Odunuga St, Anthony, Lagos 101001</t>
  </si>
  <si>
    <t xml:space="preserve">+2347039376826</t>
  </si>
  <si>
    <t xml:space="preserve">Pembroke House School Lagos</t>
  </si>
  <si>
    <t xml:space="preserve">111b Sylvia Cres</t>
  </si>
  <si>
    <t xml:space="preserve">111b Sylvia Cres, Anthony, Lagos 105102, Lagos, Nigeria</t>
  </si>
  <si>
    <t xml:space="preserve">https://www.google.com/maps/place/?q=place_id:ChIJtQtsAQCNOxARScinZJnWULk</t>
  </si>
  <si>
    <t xml:space="preserve">Redeemer's International Secondary School</t>
  </si>
  <si>
    <t xml:space="preserve">Eden Place</t>
  </si>
  <si>
    <t xml:space="preserve">International school</t>
  </si>
  <si>
    <t xml:space="preserve">Eden Place, 9 Mobolaji Bank Anthony Way</t>
  </si>
  <si>
    <t xml:space="preserve">CCC Odunlami Parish</t>
  </si>
  <si>
    <t xml:space="preserve">H969+2VC</t>
  </si>
  <si>
    <t xml:space="preserve">Abundant Life church</t>
  </si>
  <si>
    <t xml:space="preserve">H969+2VC, Odofin Oyero Dr, Anthony, Lagos 105102, Lagos, Nigeria</t>
  </si>
  <si>
    <t xml:space="preserve">https://www.google.com/maps/place/?q=place_id:ChIJY8yRi4WNOxARKS4uWEfsLq0</t>
  </si>
  <si>
    <t xml:space="preserve">Foursquare Gospel Church, Anthony</t>
  </si>
  <si>
    <t xml:space="preserve">1-3 Adeteju Adeyeye St</t>
  </si>
  <si>
    <t xml:space="preserve">Foursquare church</t>
  </si>
  <si>
    <t xml:space="preserve">1-3 Adeteju Adeyeye St, Anthony, Lagos 105102, Lagos, Nigeria</t>
  </si>
  <si>
    <t xml:space="preserve">http://www.foursquare.org.ng/</t>
  </si>
  <si>
    <t xml:space="preserve">https://www.google.com/maps/place/?q=place_id:ChIJx3Z_DoWNOxARkumTbVA0bCY</t>
  </si>
  <si>
    <t xml:space="preserve">Harvesters International Christian Centre Anthony Campus</t>
  </si>
  <si>
    <t xml:space="preserve">308/310 Ikorodu Rd</t>
  </si>
  <si>
    <t xml:space="preserve">Church</t>
  </si>
  <si>
    <t xml:space="preserve">308/310 Ikorodu Rd, Anthony, Lagos 105102, Lagos, Nigeria</t>
  </si>
  <si>
    <t xml:space="preserve">+2348170890678</t>
  </si>
  <si>
    <t xml:space="preserve">http://www.harvestersng.org/</t>
  </si>
  <si>
    <t xml:space="preserve">https://www.google.com/maps/place/?q=place_id:ChIJi1fuzSqNOxARvgrVPjQtGbY</t>
  </si>
  <si>
    <t xml:space="preserve">North Gate Arena</t>
  </si>
  <si>
    <t xml:space="preserve">308 Ikorodu Rd</t>
  </si>
  <si>
    <t xml:space="preserve">308 Ikorodu Rd, Anthony, Lagos 105102, Lagos, Nigeria</t>
  </si>
  <si>
    <t xml:space="preserve">http://harvestersng.org/</t>
  </si>
  <si>
    <t xml:space="preserve">https://www.google.com/maps/place/?q=place_id:ChIJF9i8TbmNOxAR1uvYxOMys5U</t>
  </si>
  <si>
    <t xml:space="preserve">The Apostolic Church Anthony Assembly</t>
  </si>
  <si>
    <t xml:space="preserve">10 Oseni St</t>
  </si>
  <si>
    <t xml:space="preserve">Place of worship</t>
  </si>
  <si>
    <t xml:space="preserve">10 Oseni St, Anthony, Lagos 105102, Lagos, Nigeria</t>
  </si>
  <si>
    <t xml:space="preserve">https://www.google.com/maps/place/?q=place_id:ChIJbxEe7XqNOxARAb51mmG91Sg</t>
  </si>
  <si>
    <t xml:space="preserve">The Apostolic Church Anthony District Centre</t>
  </si>
  <si>
    <t xml:space="preserve">District office</t>
  </si>
  <si>
    <t xml:space="preserve">https://www.google.com/maps/place/?q=place_id:ChIJ9w929DiNOxARqYjg9-9-LqM</t>
  </si>
  <si>
    <t xml:space="preserve">The Fifth Community</t>
  </si>
  <si>
    <t xml:space="preserve">https://www.google.com/maps/place/?q=place_id:ChIJoXmM4raNOxARi7wILHJw-ts</t>
  </si>
  <si>
    <t xml:space="preserve">The Helper's House</t>
  </si>
  <si>
    <t xml:space="preserve">40 Faramobi Ajike St</t>
  </si>
  <si>
    <t xml:space="preserve">40 Faramobi Ajike St, Anthony, Lagos 105102, Lagos, Nigeria</t>
  </si>
  <si>
    <t xml:space="preserve">+2348087854854</t>
  </si>
  <si>
    <t xml:space="preserve">http://www.thehelpershouse.org/</t>
  </si>
  <si>
    <t xml:space="preserve">https://www.google.com/maps/place/?q=place_id:ChIJu7tMZ4-NOxAR0QL2MBbIQLY</t>
  </si>
  <si>
    <t xml:space="preserve">The PowerPoint Tribe (PPT)</t>
  </si>
  <si>
    <t xml:space="preserve">300 Ikorodu-Ososun Rd</t>
  </si>
  <si>
    <t xml:space="preserve">300 Ikorodu-Ososun Rd, Anthony, Lagos 102216, Lagos, Nigeria</t>
  </si>
  <si>
    <t xml:space="preserve">+2349161137116</t>
  </si>
  <si>
    <t xml:space="preserve">https://www.powerpointtribe.org/</t>
  </si>
  <si>
    <t xml:space="preserve">https://www.google.com/maps/place/?q=place_id:ChIJsf-jqOONOxAR9cqzyZZdnu0</t>
  </si>
  <si>
    <t xml:space="preserve">Tribes Church</t>
  </si>
  <si>
    <t xml:space="preserve">H959+JRC</t>
  </si>
  <si>
    <t xml:space="preserve">H959+JRC, Anthony Village Rd, Anthony, Lagos 105102, Lagos, Nigeria</t>
  </si>
  <si>
    <t xml:space="preserve">+2347062704873</t>
  </si>
  <si>
    <t xml:space="preserve">https://www.google.com/maps/place/?q=place_id:ChIJ21CheIWNOxARdWnA7a4qONs</t>
  </si>
  <si>
    <t xml:space="preserve">uzziel Ade</t>
  </si>
  <si>
    <t xml:space="preserve">H968+3X5 Northgate Arena</t>
  </si>
  <si>
    <t xml:space="preserve">H968+3X5 Northgate Arena, Anthony, Lagos 105102, Lagos, Nigeria</t>
  </si>
  <si>
    <t xml:space="preserve">https://www.google.com/maps/place/?q=place_id:ChIJvc5QW4SNOxARkVcI87oqAgY</t>
  </si>
  <si>
    <t xml:space="preserve">2A Supermarket</t>
  </si>
  <si>
    <t xml:space="preserve">Supermarket</t>
  </si>
  <si>
    <t xml:space="preserve">Anthony Village, 11 Olorunlogbon St, Lagos, Nigeria</t>
  </si>
  <si>
    <t xml:space="preserve">+2348165143649</t>
  </si>
  <si>
    <t xml:space="preserve">https://www.google.com/maps/place/?q=place_id:ChIJUW0pmoWNOxARiwaOfL7uxGA</t>
  </si>
  <si>
    <t xml:space="preserve">94'techs phones and gadgets world wide</t>
  </si>
  <si>
    <t xml:space="preserve">Electronics store</t>
  </si>
  <si>
    <t xml:space="preserve">https://www.google.com/maps/place/?q=place_id:ChIJ_Zq6X9GNOxARADBj42-F-KY</t>
  </si>
  <si>
    <t xml:space="preserve">Anason Motors Nigeria Enterprises</t>
  </si>
  <si>
    <t xml:space="preserve">H959+VQ6</t>
  </si>
  <si>
    <t xml:space="preserve">Auto parts store</t>
  </si>
  <si>
    <t xml:space="preserve">H959+VQ6, Anthony, Lagos 105102, Lagos, Nigeria</t>
  </si>
  <si>
    <t xml:space="preserve">+2348023131020</t>
  </si>
  <si>
    <t xml:space="preserve">https://www.google.com/maps/place/?q=place_id:ChIJQYQUhoWNOxARjqR_RQBxu8A</t>
  </si>
  <si>
    <t xml:space="preserve">Axcess Hosting Nigeria Limited</t>
  </si>
  <si>
    <t xml:space="preserve">12 Odofin Oyero Dr</t>
  </si>
  <si>
    <t xml:space="preserve">Computer store</t>
  </si>
  <si>
    <t xml:space="preserve">12 Odofin Oyero Dr, Anthony, Lagos 100232, Lagos, Nigeria</t>
  </si>
  <si>
    <t xml:space="preserve">+2347033918333</t>
  </si>
  <si>
    <t xml:space="preserve">https://www.google.com/maps/place/?q=place_id:ChIJ5ZMV28WNOxARGDVkRXX7Yno</t>
  </si>
  <si>
    <t xml:space="preserve">Biddy's Mondo</t>
  </si>
  <si>
    <t xml:space="preserve">57A Faramobi Ajike St</t>
  </si>
  <si>
    <t xml:space="preserve">Clothing store</t>
  </si>
  <si>
    <t xml:space="preserve">57A Faramobi Ajike St, Anthony, Lagos 105102, Lagos, Nigeria</t>
  </si>
  <si>
    <t xml:space="preserve">https://www.google.com/maps/place/?q=place_id:ChIJX36uYo-NOxARoVTi6a7HT7Q</t>
  </si>
  <si>
    <t xml:space="preserve">BOSEMART STORES</t>
  </si>
  <si>
    <t xml:space="preserve">48 Ogunleye Ogunniyi Street</t>
  </si>
  <si>
    <t xml:space="preserve">Retail / Grocery</t>
  </si>
  <si>
    <t xml:space="preserve">48 Ogunleye Ogunniyi Street, Anthony, Lagos</t>
  </si>
  <si>
    <t xml:space="preserve">Source: Ikeja Electric</t>
  </si>
  <si>
    <t xml:space="preserve">Car Dealers Auto</t>
  </si>
  <si>
    <t xml:space="preserve">Smart Car dealer</t>
  </si>
  <si>
    <t xml:space="preserve">N0, 11 Oseni St, Anthony, Lagos 234567, Lagos, Nigeria</t>
  </si>
  <si>
    <t xml:space="preserve">https://www.google.com/maps/place/?q=place_id:ChIJC_Tirf-NOxARigSXR-ZKfAo</t>
  </si>
  <si>
    <t xml:space="preserve">Cherie's Village Market</t>
  </si>
  <si>
    <t xml:space="preserve">Zenith Bank</t>
  </si>
  <si>
    <t xml:space="preserve">Zenith Bank, 3 Sylvia Cres, Anthony, Lagos 100246, Lagos, Nigeria</t>
  </si>
  <si>
    <t xml:space="preserve">+2347025560000</t>
  </si>
  <si>
    <t xml:space="preserve">https://www.google.com/maps/place/?q=place_id:ChIJ_W4FTeqNOxARVkDZ8QMaHXk</t>
  </si>
  <si>
    <t xml:space="preserve">Chinedu Spare Parts</t>
  </si>
  <si>
    <t xml:space="preserve">+2348066526097</t>
  </si>
  <si>
    <t xml:space="preserve">https://www.google.com/maps/place/?q=place_id:ChIJX3CNnIWNOxAR5LXHt6GQlnk</t>
  </si>
  <si>
    <t xml:space="preserve">Dee Shopzone Supermarket</t>
  </si>
  <si>
    <t xml:space="preserve">Grocery store</t>
  </si>
  <si>
    <t xml:space="preserve">+2349133184190</t>
  </si>
  <si>
    <t xml:space="preserve">https://www.google.com/maps/place/?q=place_id:ChIJk9rIOEqNOxARH6M112Y77BY</t>
  </si>
  <si>
    <t xml:space="preserve">Dekato Outfit</t>
  </si>
  <si>
    <t xml:space="preserve">30a Oseni Street Anthony village lagos</t>
  </si>
  <si>
    <t xml:space="preserve">30a Oseni Street Anthony village lagos, Kosofe, Ikorodu 104101, Lagos, Nigeria</t>
  </si>
  <si>
    <t xml:space="preserve">+2348064737122</t>
  </si>
  <si>
    <t xml:space="preserve">https://www.google.com/maps/place/?q=place_id:ChIJCcuYD6CNOxARgrLmEBj-QyM</t>
  </si>
  <si>
    <t xml:space="preserve">Divine Appeals Designs</t>
  </si>
  <si>
    <t xml:space="preserve">Oseni St</t>
  </si>
  <si>
    <t xml:space="preserve">Oseni St, Anthony, Lagos 105102, Lagos, Nigeria</t>
  </si>
  <si>
    <t xml:space="preserve">+2348033556166</t>
  </si>
  <si>
    <t xml:space="preserve">https://www.google.com/maps/place/?q=place_id:ChIJiS3zgYWNOxARa4XP5sS0yu4</t>
  </si>
  <si>
    <t xml:space="preserve">Ebili Food Stuff Centre</t>
  </si>
  <si>
    <t xml:space="preserve">H959+VXQ</t>
  </si>
  <si>
    <t xml:space="preserve">H959+VXQ, 13 Olorunlogbon St, Anthony, Lagos 105102, Lagos, Nigeria</t>
  </si>
  <si>
    <t xml:space="preserve">+2348021057390</t>
  </si>
  <si>
    <t xml:space="preserve">https://www.google.com/maps/place/?q=place_id:ChIJ947tmYWNOxARgvBI50PnoxU</t>
  </si>
  <si>
    <t xml:space="preserve">EJSS Ebili Junior Stores And Supermarket</t>
  </si>
  <si>
    <t xml:space="preserve">18 Olorunlogbon St</t>
  </si>
  <si>
    <t xml:space="preserve">18 Olorunlogbon St, Anthony, Lagos 100001, Lagos, Nigeria</t>
  </si>
  <si>
    <t xml:space="preserve">+2347089097003</t>
  </si>
  <si>
    <t xml:space="preserve">https://www.google.com/maps/place/?q=place_id:ChIJeUV3lIWNOxARwpTKYjAyxTQ</t>
  </si>
  <si>
    <t xml:space="preserve">Emeka Ventures</t>
  </si>
  <si>
    <t xml:space="preserve">H959+MPQ</t>
  </si>
  <si>
    <t xml:space="preserve">H959+MPQ, Anthony Village Rd, Anthony, Lagos 105102, Lagos, Nigeria</t>
  </si>
  <si>
    <t xml:space="preserve">https://www.google.com/maps/place/?q=place_id:ChIJmZeUg4WNOxARP_nDLwP_3CQ</t>
  </si>
  <si>
    <t xml:space="preserve">Fezek Supermarket</t>
  </si>
  <si>
    <t xml:space="preserve">9 Odofin Oyero Dr, Anthony, Lagos 105102, Lagos, Nigeria</t>
  </si>
  <si>
    <t xml:space="preserve">+2348028102619</t>
  </si>
  <si>
    <t xml:space="preserve">https://www.google.com/maps/place/?q=place_id:ChIJV-YjwkCDOxARY_SZDonwo2Y</t>
  </si>
  <si>
    <t xml:space="preserve">FRECOMART</t>
  </si>
  <si>
    <t xml:space="preserve">2 Folashade Ajayi Street</t>
  </si>
  <si>
    <t xml:space="preserve">2 Folashade Ajayi Street, Anthony Village</t>
  </si>
  <si>
    <t xml:space="preserve">Glolive Collection Enterprise</t>
  </si>
  <si>
    <t xml:space="preserve">H969+3MG</t>
  </si>
  <si>
    <t xml:space="preserve">H969+3MG, Odofin Oyero Dr, Anthony, Lagos 105102, Lagos, Nigeria</t>
  </si>
  <si>
    <t xml:space="preserve">+2348033794967</t>
  </si>
  <si>
    <t xml:space="preserve">https://www.google.com/maps/place/?q=place_id:ChIJBaBCioWNOxAR4hAcyZX2OkE</t>
  </si>
  <si>
    <t xml:space="preserve">GLORIOUS HAT AND BEADS</t>
  </si>
  <si>
    <t xml:space="preserve">19 Sylvia Cres</t>
  </si>
  <si>
    <t xml:space="preserve">19 Sylvia Cres, Anthony, Lagos 105102, Lagos, Nigeria</t>
  </si>
  <si>
    <t xml:space="preserve">https://www.google.com/maps/place/?q=place_id:ChIJe4L65JCNOxAR16gAjGJmUH4</t>
  </si>
  <si>
    <t xml:space="preserve">HEALTHVILLE STORE</t>
  </si>
  <si>
    <t xml:space="preserve">2 Adejobi Crescent</t>
  </si>
  <si>
    <t xml:space="preserve">2 Adejobi Crescent, Anthony, Lagos</t>
  </si>
  <si>
    <t xml:space="preserve">House of Kings Creations.</t>
  </si>
  <si>
    <t xml:space="preserve">11 Olorunlogbon St</t>
  </si>
  <si>
    <t xml:space="preserve">11 Olorunlogbon St, Anthony, Lagos 100232, Lagos, Nigeria</t>
  </si>
  <si>
    <t xml:space="preserve">+2349169373203</t>
  </si>
  <si>
    <t xml:space="preserve">https://houseofkingscreations.com/</t>
  </si>
  <si>
    <t xml:space="preserve">https://www.google.com/maps/place/?q=place_id:ChIJ_euTO1KNOxARU4nxOhyy2e4</t>
  </si>
  <si>
    <t xml:space="preserve">Joeddy Supermarket</t>
  </si>
  <si>
    <t xml:space="preserve">23 Olorunlogbon St</t>
  </si>
  <si>
    <t xml:space="preserve">+2348033184278</t>
  </si>
  <si>
    <t xml:space="preserve">JoveClothiers</t>
  </si>
  <si>
    <t xml:space="preserve">St 42</t>
  </si>
  <si>
    <t xml:space="preserve">Fashion accessories store</t>
  </si>
  <si>
    <t xml:space="preserve">St 42, Anthony Village Rd, Lagos, Nigeria</t>
  </si>
  <si>
    <t xml:space="preserve">+2348057248621</t>
  </si>
  <si>
    <t xml:space="preserve">https://www.google.com/maps/place/?q=place_id:ChIJI-KZC4-NOxARyXs7JSWoLRs</t>
  </si>
  <si>
    <t xml:space="preserve">Kabiru Enterprises</t>
  </si>
  <si>
    <t xml:space="preserve">+2347026766834</t>
  </si>
  <si>
    <t xml:space="preserve">https://www.google.com/maps/place/?q=place_id:ChIJV7F3l4WNOxARBAwAY5wlFag</t>
  </si>
  <si>
    <t xml:space="preserve">KAYLA BEAU FASHION AND BEAUTY PALACE</t>
  </si>
  <si>
    <t xml:space="preserve">30 Oseni St</t>
  </si>
  <si>
    <t xml:space="preserve">30 Oseni St, adjacent GTB, Anthony, Lagos 105102, Lagos, Nigeria</t>
  </si>
  <si>
    <t xml:space="preserve">+2348034720216</t>
  </si>
  <si>
    <t xml:space="preserve">https://instagram.com/beau_collections?igshid=12pm35yxyfq8h</t>
  </si>
  <si>
    <t xml:space="preserve">https://www.google.com/maps/place/?q=place_id:ChIJoyM0PX-NOxAR0VH7SoX09Q0</t>
  </si>
  <si>
    <t xml:space="preserve">Key Verticals</t>
  </si>
  <si>
    <t xml:space="preserve">306 Ikorodu Road</t>
  </si>
  <si>
    <t xml:space="preserve">Marketing / Advertising</t>
  </si>
  <si>
    <t xml:space="preserve">306 Ikorodu Road, The Penthouse, Anthony Village, Lagos</t>
  </si>
  <si>
    <t xml:space="preserve">+2347089996189</t>
  </si>
  <si>
    <t xml:space="preserve">Source: NGEX</t>
  </si>
  <si>
    <t xml:space="preserve">Kids City</t>
  </si>
  <si>
    <t xml:space="preserve">H969+4W6</t>
  </si>
  <si>
    <t xml:space="preserve">H969+4W6, Olorunlogbon St, Anthony, Lagos 105102, Lagos, Nigeria</t>
  </si>
  <si>
    <t xml:space="preserve">+2347058068370</t>
  </si>
  <si>
    <t xml:space="preserve">https://www.google.com/maps/place/?q=place_id:ChIJu3D2koWNOxARFut8MleUqKc</t>
  </si>
  <si>
    <t xml:space="preserve">Laura Clothing</t>
  </si>
  <si>
    <t xml:space="preserve">H95C+M2X</t>
  </si>
  <si>
    <t xml:space="preserve">H95C+M2X, Olorunlogbon St, Anthony, Lagos 105102, Lagos, Nigeria</t>
  </si>
  <si>
    <t xml:space="preserve">https://www.google.com/maps/place/?q=place_id:ChIJBd0tlIWNOxARulIDvxSju3k</t>
  </si>
  <si>
    <t xml:space="preserve">Market Square Maryland</t>
  </si>
  <si>
    <t xml:space="preserve">Supermarket / Retail</t>
  </si>
  <si>
    <t xml:space="preserve">350-360 Ikorodu Rd, Anthony, Lagos 100211</t>
  </si>
  <si>
    <t xml:space="preserve">ConnectCiti / Google locality</t>
  </si>
  <si>
    <t xml:space="preserve">Mimis Haute Couture</t>
  </si>
  <si>
    <t xml:space="preserve">5 Anthony Village Rd</t>
  </si>
  <si>
    <t xml:space="preserve">Women's clothing store</t>
  </si>
  <si>
    <t xml:space="preserve">5 Anthony Village Rd, Anthony, Lagos 105102, Lagos, Nigeria</t>
  </si>
  <si>
    <t xml:space="preserve">+2348034768248</t>
  </si>
  <si>
    <t xml:space="preserve">https://www.google.com/maps/place/?q=place_id:ChIJ3wUqvH2NOxARkC11t7CpNZY</t>
  </si>
  <si>
    <t xml:space="preserve">Mrs. D D Stores</t>
  </si>
  <si>
    <t xml:space="preserve">9 Anthony Village Rd</t>
  </si>
  <si>
    <t xml:space="preserve">9 Anthony Village Rd, Anthony, Lagos 105102, Lagos, Nigeria</t>
  </si>
  <si>
    <t xml:space="preserve">https://www.google.com/maps/place/?q=place_id:ChIJxWpJgoWNOxARsOnrWxsmsbw</t>
  </si>
  <si>
    <t xml:space="preserve">Naked Phobia</t>
  </si>
  <si>
    <t xml:space="preserve">17 Deji Odunuga St</t>
  </si>
  <si>
    <t xml:space="preserve">17 Deji Odunuga St, Anthony Village Rd, Anthony, Lagos 105102, Lagos, Nigeria</t>
  </si>
  <si>
    <t xml:space="preserve">+2347081029148</t>
  </si>
  <si>
    <t xml:space="preserve">https://www.google.com/maps/place/?q=place_id:ChIJK-8Eeo-NOxARnlQQiuB37NQ</t>
  </si>
  <si>
    <t xml:space="preserve">Omolaso</t>
  </si>
  <si>
    <t xml:space="preserve">H969+467</t>
  </si>
  <si>
    <t xml:space="preserve">Children's clothing store</t>
  </si>
  <si>
    <t xml:space="preserve">H969+467, Sylvia Cres, Anthony, Lagos 105102, Lagos, Nigeria</t>
  </si>
  <si>
    <t xml:space="preserve">+2348098555728</t>
  </si>
  <si>
    <t xml:space="preserve">https://www.google.com/maps/place/?q=place_id:ChIJacOXaY-NOxARDTR8t3uaK4Y</t>
  </si>
  <si>
    <t xml:space="preserve">Ona-Eve Enterprise</t>
  </si>
  <si>
    <t xml:space="preserve">H969+3P5</t>
  </si>
  <si>
    <t xml:space="preserve">H969+3P5, Odofin Oyero Dr, Anthony, Lagos 105102, Lagos, Nigeria</t>
  </si>
  <si>
    <t xml:space="preserve">+2348023711746</t>
  </si>
  <si>
    <t xml:space="preserve">https://www.google.com/maps/place/?q=place_id:ChIJ__k0ioWNOxARb6tlGWaaHwg</t>
  </si>
  <si>
    <t xml:space="preserve">Oseni Toyin Stores</t>
  </si>
  <si>
    <t xml:space="preserve">+2348023530932</t>
  </si>
  <si>
    <t xml:space="preserve">https://www.google.com/maps/place/?q=place_id:ChIJV9QFnIWNOxARS2s_UE9II5Q</t>
  </si>
  <si>
    <t xml:space="preserve">Parts Direct</t>
  </si>
  <si>
    <t xml:space="preserve">+2347014580763</t>
  </si>
  <si>
    <t xml:space="preserve">https://www.google.com/maps/place/?q=place_id:ChIJswKdco-NOxARSKHsibx1HSo</t>
  </si>
  <si>
    <t xml:space="preserve">Penny</t>
  </si>
  <si>
    <t xml:space="preserve">https://www.google.com/maps/place/?q=place_id:ChIJtVzhjoWNOxARxNRVFPObiMA</t>
  </si>
  <si>
    <t xml:space="preserve">PetShop Plus Anthony Village, Lagos, Nigeria</t>
  </si>
  <si>
    <t xml:space="preserve">306 Ikorodu Rd</t>
  </si>
  <si>
    <t xml:space="preserve">306 Ikorodu Rd, Anthony, Lagos 100232, Lagos, Nigeria</t>
  </si>
  <si>
    <t xml:space="preserve">+2348055025945</t>
  </si>
  <si>
    <t xml:space="preserve">https://www.petshopplus.ng/</t>
  </si>
  <si>
    <t xml:space="preserve">https://www.google.com/maps/place/?q=place_id:ChIJ63x2_neSOxARpSKomOugdOw</t>
  </si>
  <si>
    <t xml:space="preserve">Qwik Supermarket</t>
  </si>
  <si>
    <t xml:space="preserve">+2348121023991</t>
  </si>
  <si>
    <t xml:space="preserve">https://www.google.com/maps/place/?q=place_id:ChIJZ-DQOwCNOxARQc82AjKM3eE</t>
  </si>
  <si>
    <t xml:space="preserve">SCC Clothing</t>
  </si>
  <si>
    <t xml:space="preserve">29 Sylvia Cres</t>
  </si>
  <si>
    <t xml:space="preserve">29 Sylvia Cres, Anthony, Lagos 105102, Lagos, Nigeria</t>
  </si>
  <si>
    <t xml:space="preserve">https://www.google.com/maps/place/?q=place_id:ChIJi9mhnACNOxARdyneDJc_zyA</t>
  </si>
  <si>
    <t xml:space="preserve">SEEDOR FASHION</t>
  </si>
  <si>
    <t xml:space="preserve">32 Oseni St</t>
  </si>
  <si>
    <t xml:space="preserve">32 Oseni St, Anthony, Lagos 105102, Lagos, Nigeria</t>
  </si>
  <si>
    <t xml:space="preserve">https://www.google.com/maps/place/?q=place_id:ChIJf_om9FKNOxARv65CZAvlOK8</t>
  </si>
  <si>
    <t xml:space="preserve">Shade Provision Store</t>
  </si>
  <si>
    <t xml:space="preserve">20 Odofin Oyero Dr</t>
  </si>
  <si>
    <t xml:space="preserve">General store</t>
  </si>
  <si>
    <t xml:space="preserve">20 Odofin Oyero Dr, Anthony, Lagos 105102, Lagos, Nigeria</t>
  </si>
  <si>
    <t xml:space="preserve">+2348030836090</t>
  </si>
  <si>
    <t xml:space="preserve">https://www.google.com/maps/place/?q=place_id:ChIJO6v8rSuNOxARKCKGs_uZWuk</t>
  </si>
  <si>
    <t xml:space="preserve">Shoprite Usave at Maryland Mall</t>
  </si>
  <si>
    <t xml:space="preserve">2 Akin Adekomaya Cl</t>
  </si>
  <si>
    <t xml:space="preserve">2 Akin Adekomaya Cl, Anthony, Ikeja</t>
  </si>
  <si>
    <t xml:space="preserve">https://shoprite.com.ng/</t>
  </si>
  <si>
    <t xml:space="preserve">Directory listing / Maryland Mall</t>
  </si>
  <si>
    <t xml:space="preserve">SooperMart</t>
  </si>
  <si>
    <t xml:space="preserve">37 Adebayo Mokuolu St</t>
  </si>
  <si>
    <t xml:space="preserve">37 Adebayo Mokuolu St, Anthony, Lagos 105102</t>
  </si>
  <si>
    <t xml:space="preserve">+2348061787063</t>
  </si>
  <si>
    <t xml:space="preserve">Sophie Collections</t>
  </si>
  <si>
    <t xml:space="preserve">10 Olorunlogbon St</t>
  </si>
  <si>
    <t xml:space="preserve">10 Olorunlogbon St, Anthony, Lagos 100282, Lagos, Nigeria</t>
  </si>
  <si>
    <t xml:space="preserve">+2348141996120</t>
  </si>
  <si>
    <t xml:space="preserve">https://www.google.com/maps/place/?q=place_id:ChIJvdbSBI6NOxARv950W9pt2eI</t>
  </si>
  <si>
    <t xml:space="preserve">Store1673</t>
  </si>
  <si>
    <t xml:space="preserve">+2348028376115</t>
  </si>
  <si>
    <t xml:space="preserve">https://www.google.com/maps/place/?q=place_id:ChIJX3sC0XWSOxARLZTWppmDfQ4</t>
  </si>
  <si>
    <t xml:space="preserve">tabeetah Collections</t>
  </si>
  <si>
    <t xml:space="preserve">Anthony Village Rd, Anthony, Ikeja 105102, Lagos, Nigeria</t>
  </si>
  <si>
    <t xml:space="preserve">+2348173121779</t>
  </si>
  <si>
    <t xml:space="preserve">https://www.google.com/maps/place/?q=place_id:ChIJdxwJzDqNOxARl2uQNwP5RwI</t>
  </si>
  <si>
    <t xml:space="preserve">The Grocers Stores</t>
  </si>
  <si>
    <t xml:space="preserve">9 Adediran Ajao Crescent</t>
  </si>
  <si>
    <t xml:space="preserve">9 Adediran Ajao Crescent, Ajao Estate, Anthony, Lagos</t>
  </si>
  <si>
    <t xml:space="preserve">The Pantry</t>
  </si>
  <si>
    <t xml:space="preserve">https://www.google.com/maps/place/?q=place_id:ChIJ6VIQch-NOxARj4CzsGevZM4</t>
  </si>
  <si>
    <t xml:space="preserve">Titi Stores</t>
  </si>
  <si>
    <t xml:space="preserve">4 Odofin Oyero Dr</t>
  </si>
  <si>
    <t xml:space="preserve">4 Odofin Oyero Dr, Anthony, Lagos 105102, Lagos, Nigeria</t>
  </si>
  <si>
    <t xml:space="preserve">+2348073027354</t>
  </si>
  <si>
    <t xml:space="preserve">https://www.google.com/maps/place/?q=place_id:ChIJUQTueY-NOxARgPHfuefRDlQ</t>
  </si>
  <si>
    <t xml:space="preserve">Toys Palace</t>
  </si>
  <si>
    <t xml:space="preserve">8B Anthony Village Rd</t>
  </si>
  <si>
    <t xml:space="preserve">Hobby store</t>
  </si>
  <si>
    <t xml:space="preserve">8B Anthony Village Rd, Ilupeju, Lagos 105102, Lagos, Nigeria</t>
  </si>
  <si>
    <t xml:space="preserve">https://www.google.com/maps/place/?q=place_id:ChIJ9Rg3gYWNOxAR3evTdGqpwh0</t>
  </si>
  <si>
    <t xml:space="preserve">Update</t>
  </si>
  <si>
    <t xml:space="preserve">Ogba</t>
  </si>
  <si>
    <t xml:space="preserve">Men's clothing store</t>
  </si>
  <si>
    <t xml:space="preserve">Ogba, 10 Mokuolu St, Ikeja, Lagos, Nigeria</t>
  </si>
  <si>
    <t xml:space="preserve">+2348039094686</t>
  </si>
  <si>
    <t xml:space="preserve">https://www.google.com/maps/place/?q=place_id:ChIJ01VTPuGTOxARJpuv8NK94mQ</t>
  </si>
  <si>
    <t xml:space="preserve">Vas2Nets Technologies Limited</t>
  </si>
  <si>
    <t xml:space="preserve">233 Aret Adams House</t>
  </si>
  <si>
    <t xml:space="preserve">233 Aret Adams House, Ikorodu Rd, Lagos, Nigeria</t>
  </si>
  <si>
    <t xml:space="preserve">+2348039003030</t>
  </si>
  <si>
    <t xml:space="preserve">http://www.vas2nets.com/</t>
  </si>
  <si>
    <t xml:space="preserve">https://www.google.com/maps/place/?q=place_id:ChIJLef3A5GNOxARLURBPh4rUqA</t>
  </si>
  <si>
    <t xml:space="preserve">Village Market</t>
  </si>
  <si>
    <t xml:space="preserve">2 Faramobi Ajike St</t>
  </si>
  <si>
    <t xml:space="preserve">2 Faramobi Ajike St, Anthony, Lagos 105102, Lagos, Nigeria</t>
  </si>
  <si>
    <t xml:space="preserve">https://www.google.com/maps/place/?q=place_id:ChIJcbWXX_WNOxARL2dJ7ZBqk74</t>
  </si>
  <si>
    <t xml:space="preserve">Vogueviskahub</t>
  </si>
  <si>
    <t xml:space="preserve">No30a Oseni St, Anthony, Lagos 101232, Lagos, Nigeria</t>
  </si>
  <si>
    <t xml:space="preserve">+2347084644994</t>
  </si>
  <si>
    <t xml:space="preserve">https://vogueviskahub.bumpa.shop/</t>
  </si>
  <si>
    <t xml:space="preserve">https://www.google.com/maps/place/?q=place_id:ChIJmdoXCwCNOxARNmK3Gti4shM</t>
  </si>
  <si>
    <t xml:space="preserve">Zenab _collections</t>
  </si>
  <si>
    <t xml:space="preserve">4 Access Rd</t>
  </si>
  <si>
    <t xml:space="preserve">Perfume store</t>
  </si>
  <si>
    <t xml:space="preserve">4 Access Rd, beside greensprings school, opposite corona, Anthony, Lagos 102216, Lagos, Nigeria</t>
  </si>
  <si>
    <t xml:space="preserve">https://www.google.com/maps/place/?q=place_id:ChIJifiWrlObOxARpIvJBuTh7Xo</t>
  </si>
  <si>
    <t xml:space="preserve">1stDelightsome Fabrics</t>
  </si>
  <si>
    <t xml:space="preserve">A1 &amp; C2 Victory Plaza</t>
  </si>
  <si>
    <t xml:space="preserve">Fashion</t>
  </si>
  <si>
    <t xml:space="preserve">A1 &amp; C2 Victory Plaza, 24 Abibatu Oseni St, Anthony, Lagos 100232</t>
  </si>
  <si>
    <t xml:space="preserve">Source: Cybo</t>
  </si>
  <si>
    <t xml:space="preserve">4ten Solutions</t>
  </si>
  <si>
    <t xml:space="preserve">19 Busayo Adebayo Close</t>
  </si>
  <si>
    <t xml:space="preserve">Computer Services</t>
  </si>
  <si>
    <t xml:space="preserve">19 Busayo Adebayo Close, Anthony Village, Lagos</t>
  </si>
  <si>
    <t xml:space="preserve">+2348164014867</t>
  </si>
  <si>
    <t xml:space="preserve">Anthony Clothing Store</t>
  </si>
  <si>
    <t xml:space="preserve">4 Adebayo Mokuolu St</t>
  </si>
  <si>
    <t xml:space="preserve">4 Adebayo Mokuolu St, Anthony, Lagos 105102</t>
  </si>
  <si>
    <t xml:space="preserve">Averywise Limited / BG Mart</t>
  </si>
  <si>
    <t xml:space="preserve">Retail</t>
  </si>
  <si>
    <t xml:space="preserve">Mobolaji Bank Anthony Way, Anthony, Lagos</t>
  </si>
  <si>
    <t xml:space="preserve">Azetahabis stores</t>
  </si>
  <si>
    <t xml:space="preserve">2 Oseni St, Kosofe, Lagos 100232</t>
  </si>
  <si>
    <t xml:space="preserve">+2348034006577</t>
  </si>
  <si>
    <t xml:space="preserve">business.site</t>
  </si>
  <si>
    <t xml:space="preserve">Beelay Prints Concept</t>
  </si>
  <si>
    <t xml:space="preserve">2 Anthony Village Rd</t>
  </si>
  <si>
    <t xml:space="preserve">Print shop</t>
  </si>
  <si>
    <t xml:space="preserve">2 Anthony Village Rd, Anthony, Lagos 105102, Lagos, Nigeria</t>
  </si>
  <si>
    <t xml:space="preserve">+2348126487400</t>
  </si>
  <si>
    <t xml:space="preserve">https://www.google.com/maps/place/?q=place_id:ChIJdQUNhIWNOxARqqGm06TPvyg</t>
  </si>
  <si>
    <t xml:space="preserve">COM24</t>
  </si>
  <si>
    <t xml:space="preserve">Retail / Services</t>
  </si>
  <si>
    <t xml:space="preserve">Creacion Tech Inc.</t>
  </si>
  <si>
    <t xml:space="preserve">33 Saji Ayangade St</t>
  </si>
  <si>
    <t xml:space="preserve">Computer / IT</t>
  </si>
  <si>
    <t xml:space="preserve">33 Saji Ayangade St, Anthony, Lagos 100232</t>
  </si>
  <si>
    <t xml:space="preserve">+2348073463933</t>
  </si>
  <si>
    <t xml:space="preserve">creaciontech.com</t>
  </si>
  <si>
    <t xml:space="preserve">DeGlobal Technologies Ltd</t>
  </si>
  <si>
    <t xml:space="preserve">1 Odofin Oyero Dr, Anthony Village 100232, Lagos</t>
  </si>
  <si>
    <t xml:space="preserve">+2348023254851</t>
  </si>
  <si>
    <t xml:space="preserve">Dereona Plaza</t>
  </si>
  <si>
    <t xml:space="preserve">H969+3RX</t>
  </si>
  <si>
    <t xml:space="preserve">Shopping mall</t>
  </si>
  <si>
    <t xml:space="preserve">H969+3RX, Odofin Oyero Dr, Anthony, Lagos 105102, Lagos, Nigeria</t>
  </si>
  <si>
    <t xml:space="preserve">https://www.google.com/maps/place/?q=place_id:ChIJSdJ5i4WNOxARqGdiyQkWhQA</t>
  </si>
  <si>
    <t xml:space="preserve">DEVINEM</t>
  </si>
  <si>
    <t xml:space="preserve">33 Saji Ayangade Street</t>
  </si>
  <si>
    <t xml:space="preserve">33 Saji Ayangade Street, Anthony Village, Lagos</t>
  </si>
  <si>
    <t xml:space="preserve">Dlor Angel Exclusive</t>
  </si>
  <si>
    <t xml:space="preserve">Boutique</t>
  </si>
  <si>
    <t xml:space="preserve">18 Olorunlogbon St, Anthony, Lagos 105102, Lagos, Nigeria</t>
  </si>
  <si>
    <t xml:space="preserve">+2348033193976</t>
  </si>
  <si>
    <t xml:space="preserve">https://www.google.com/maps/place/?q=place_id:ChIJBeXrmYWNOxAR5EdXgbP0jT8</t>
  </si>
  <si>
    <t xml:space="preserve">Dress Cute Boutique</t>
  </si>
  <si>
    <t xml:space="preserve">36 Olorunlogbon St</t>
  </si>
  <si>
    <t xml:space="preserve">36 Olorunlogbon St, Anthony, Lagos 105102, Lagos, Nigeria</t>
  </si>
  <si>
    <t xml:space="preserve">+2348033268230</t>
  </si>
  <si>
    <t xml:space="preserve">https://www.google.com/maps/place/?q=place_id:ChIJRxkYlIWNOxARL2OivFtru-s</t>
  </si>
  <si>
    <t xml:space="preserve">Eso Oge Collections</t>
  </si>
  <si>
    <t xml:space="preserve">34 Olorunlogbon St</t>
  </si>
  <si>
    <t xml:space="preserve">Fashion / Retail</t>
  </si>
  <si>
    <t xml:space="preserve">34 Olorunlogbon St, Anthony Village, Lagos 100232</t>
  </si>
  <si>
    <t xml:space="preserve">+2348033932578</t>
  </si>
  <si>
    <t xml:space="preserve">Favour Boutique</t>
  </si>
  <si>
    <t xml:space="preserve">Idiroko, 6 Sylvia Cres, Anthony, Ikeja 105102, Lagos, Nigeria</t>
  </si>
  <si>
    <t xml:space="preserve">+2348032387269</t>
  </si>
  <si>
    <t xml:space="preserve">https://www.google.com/maps/place/?q=place_id:ChIJRdU2v4iNOxARfQs8deBuIvs</t>
  </si>
  <si>
    <t xml:space="preserve">Gloze Prints</t>
  </si>
  <si>
    <t xml:space="preserve">18 Olorunlogbon St, Anthony Village, Lagos 100232, Lagos, Nigeria</t>
  </si>
  <si>
    <t xml:space="preserve">+2348029080224</t>
  </si>
  <si>
    <t xml:space="preserve">https://www.google.com/maps/place/?q=place_id:ChIJDcyykIWNOxARwT3OCMbbbcw</t>
  </si>
  <si>
    <t xml:space="preserve">God's Favour Store</t>
  </si>
  <si>
    <t xml:space="preserve">3 Adekunle Adebowale Street</t>
  </si>
  <si>
    <t xml:space="preserve">3 Adekunle Adebowale Street, Anthony, Lagos 100232</t>
  </si>
  <si>
    <t xml:space="preserve">+2348023071879</t>
  </si>
  <si>
    <t xml:space="preserve">Grace Fashion and Styles</t>
  </si>
  <si>
    <t xml:space="preserve">1 Adebayo Mokuolu St</t>
  </si>
  <si>
    <t xml:space="preserve">1 Adebayo Mokuolu St, off New Castle, Anthony Village, Lagos 100232</t>
  </si>
  <si>
    <t xml:space="preserve">+2348023233295</t>
  </si>
  <si>
    <t xml:space="preserve">Gracious store</t>
  </si>
  <si>
    <t xml:space="preserve">25 Sunmola Street</t>
  </si>
  <si>
    <t xml:space="preserve">25 Sunmola Street, Anthony, Lagos 105102</t>
  </si>
  <si>
    <t xml:space="preserve">+2348135422835</t>
  </si>
  <si>
    <t xml:space="preserve">Huntsville Technology Limited</t>
  </si>
  <si>
    <t xml:space="preserve">4 Ayanboye Street, Off Faramobi Ajike Street, Anthony Village, Ikeja Lagos</t>
  </si>
  <si>
    <t xml:space="preserve">+2348023130727</t>
  </si>
  <si>
    <t xml:space="preserve">IBROCOM</t>
  </si>
  <si>
    <t xml:space="preserve">21 Olorunlogbon Street</t>
  </si>
  <si>
    <t xml:space="preserve">21 Olorunlogbon Street, Anthony Village</t>
  </si>
  <si>
    <t xml:space="preserve">Kemi Fashion Designing</t>
  </si>
  <si>
    <t xml:space="preserve">Fashion designer</t>
  </si>
  <si>
    <t xml:space="preserve">https://www.google.com/maps/place/?q=place_id:ChIJBd0tlIWNOxARYRfxhGPwGIQ</t>
  </si>
  <si>
    <t xml:space="preserve">Koza Invitation Cards</t>
  </si>
  <si>
    <t xml:space="preserve">10 Anthony Village Rd, opp. Gt.bank, Anthony, Lagos 105102, Lagos, Nigeria</t>
  </si>
  <si>
    <t xml:space="preserve">+2347098003897</t>
  </si>
  <si>
    <t xml:space="preserve">https://www.google.com/maps/place/?q=place_id:ChIJNUgRY9uNOxARSWY_1oanYXc</t>
  </si>
  <si>
    <t xml:space="preserve">Laparel Designer</t>
  </si>
  <si>
    <t xml:space="preserve">Anthony Village, 10 Olorunlogbon St, Lagos, Nigeria</t>
  </si>
  <si>
    <t xml:space="preserve">+2348060219966</t>
  </si>
  <si>
    <t xml:space="preserve">https://www.google.com/maps/place/?q=place_id:ChIJYY2UnYWNOxARsSo7zXn0MFY</t>
  </si>
  <si>
    <t xml:space="preserve">LesGilles Limited</t>
  </si>
  <si>
    <t xml:space="preserve">2/5 Idowu Ajao Street</t>
  </si>
  <si>
    <t xml:space="preserve">2/5 Idowu Ajao Street, Ajao Estate, Anthony Village, Lagos State Nigeria</t>
  </si>
  <si>
    <t xml:space="preserve">+2348098445537</t>
  </si>
  <si>
    <t xml:space="preserve">Lima Imaging Center</t>
  </si>
  <si>
    <t xml:space="preserve">10 Anthony Village Rd, Anthony, Asaba 105102, Delta, Nigeria</t>
  </si>
  <si>
    <t xml:space="preserve">+2348077043314</t>
  </si>
  <si>
    <t xml:space="preserve">https://www.google.com/maps/place/?q=place_id:ChIJL81Vj12LQBARD7SYlATZfug</t>
  </si>
  <si>
    <t xml:space="preserve">Lohisa Clothing</t>
  </si>
  <si>
    <t xml:space="preserve">+2348037582441</t>
  </si>
  <si>
    <t xml:space="preserve">https://www.google.com/maps/place/?q=place_id:ChIJC-Y3Xo-NOxARc9A8nrlfniU</t>
  </si>
  <si>
    <t xml:space="preserve">Metalgate Solutions</t>
  </si>
  <si>
    <t xml:space="preserve">1st Floor</t>
  </si>
  <si>
    <t xml:space="preserve">1st Floor, 23 Olorungbon Street, Anthony Village, Lagos</t>
  </si>
  <si>
    <t xml:space="preserve">+2347032224464</t>
  </si>
  <si>
    <t xml:space="preserve">Norak Tech Ltd</t>
  </si>
  <si>
    <t xml:space="preserve">7 Sylvia Crescent</t>
  </si>
  <si>
    <t xml:space="preserve">7 Sylvia Crescent, Anthony Village, Lagos</t>
  </si>
  <si>
    <t xml:space="preserve">+2348062439476</t>
  </si>
  <si>
    <t xml:space="preserve">https://www.google.com/maps/place/?q=place_id:ChIJdVw6hjGNOxARJ5QKrgcCOVE</t>
  </si>
  <si>
    <t xml:space="preserve">Posh N Sassy</t>
  </si>
  <si>
    <t xml:space="preserve">Adebayo Mokuolu Street</t>
  </si>
  <si>
    <t xml:space="preserve">Adebayo Mokuolu Street, Anthony, Lagos</t>
  </si>
  <si>
    <t xml:space="preserve">Posh n Sassy Anthony</t>
  </si>
  <si>
    <t xml:space="preserve">20A Adebayo Mokuolu St</t>
  </si>
  <si>
    <t xml:space="preserve">20A Adebayo Mokuolu St, Anthony, Lagos 105102</t>
  </si>
  <si>
    <t xml:space="preserve">+2348091387308</t>
  </si>
  <si>
    <t xml:space="preserve">http://www.poshandsassy.com/</t>
  </si>
  <si>
    <t xml:space="preserve">https://www.google.com/maps/place/?q=place_id:ChIJFXX-foaNOxARGsO-iHaGto0</t>
  </si>
  <si>
    <t xml:space="preserve">Printfactory</t>
  </si>
  <si>
    <t xml:space="preserve">26 Faramobi Ajike St</t>
  </si>
  <si>
    <t xml:space="preserve">26 Faramobi Ajike St, Anthony, Lagos 105102, Lagos, Nigeria</t>
  </si>
  <si>
    <t xml:space="preserve">+2349056871858</t>
  </si>
  <si>
    <t xml:space="preserve">https://www.printfactory.com.ng/</t>
  </si>
  <si>
    <t xml:space="preserve">https://www.google.com/maps/place/?q=place_id:ChIJsRGLaYaNOxARizja0h_r5lA</t>
  </si>
  <si>
    <t xml:space="preserve">Promo - plus Corporate Ventures</t>
  </si>
  <si>
    <t xml:space="preserve">.04</t>
  </si>
  <si>
    <t xml:space="preserve">Suite 1.04, Uche Ayoola Plaza, 11 Olorunlogbon St, Anthony, Lagos 105102, Lagos, Nigeria</t>
  </si>
  <si>
    <t xml:space="preserve">+2348024169831</t>
  </si>
  <si>
    <t xml:space="preserve">https://www.google.com/maps/place/?q=place_id:ChIJg1IddoWNOxARsZpy0ty7DeA</t>
  </si>
  <si>
    <t xml:space="preserve">Seun K.</t>
  </si>
  <si>
    <t xml:space="preserve">2 Sunny Oyekunle Street</t>
  </si>
  <si>
    <t xml:space="preserve">2 Sunny Oyekunle Street, Ajao Estate, Anthony, Lagos</t>
  </si>
  <si>
    <t xml:space="preserve">Sophisticat Boutique</t>
  </si>
  <si>
    <t xml:space="preserve">3b Mobolaji Bank Anthony Way</t>
  </si>
  <si>
    <t xml:space="preserve">Soyeb Enterprises</t>
  </si>
  <si>
    <t xml:space="preserve">21 Balogus Street</t>
  </si>
  <si>
    <t xml:space="preserve">21 Balogus Street, Ajao Estate, Anthony Village</t>
  </si>
  <si>
    <t xml:space="preserve">The Truck Arena</t>
  </si>
  <si>
    <t xml:space="preserve">4th Floor</t>
  </si>
  <si>
    <t xml:space="preserve">Truck repair shop</t>
  </si>
  <si>
    <t xml:space="preserve">4th Floor, Niger Insurance House, 302, 304 Ikorodu Rd, Anthony, Lagos, Nigeria</t>
  </si>
  <si>
    <t xml:space="preserve">+2348083779882</t>
  </si>
  <si>
    <t xml:space="preserve">http://thetruckarena.com/</t>
  </si>
  <si>
    <t xml:space="preserve">https://www.google.com/maps/place/?q=place_id:ChIJqapeuI-NOxARthx-mUGROeY</t>
  </si>
  <si>
    <t xml:space="preserve">Triple A World Of Fashion</t>
  </si>
  <si>
    <t xml:space="preserve">18 Oseni St, Anthony Village, Brigade 105102, Lagos, Nigeria</t>
  </si>
  <si>
    <t xml:space="preserve">+2348032254339</t>
  </si>
  <si>
    <t xml:space="preserve">https://www.google.com/maps/place/?q=place_id:ChIJlUNutRKNOxARsYczK0pa09c</t>
  </si>
  <si>
    <t xml:space="preserve">WatchWorldPro</t>
  </si>
  <si>
    <t xml:space="preserve">Alh. Oluwakemi St</t>
  </si>
  <si>
    <t xml:space="preserve">Retail / Watches</t>
  </si>
  <si>
    <t xml:space="preserve">Alh. Oluwakemi St, opposite HealthServe Pharmacy, Anthony, Lagos 100232</t>
  </si>
  <si>
    <t xml:space="preserve">+2347066338258</t>
  </si>
  <si>
    <t xml:space="preserve">Wellmond Link</t>
  </si>
  <si>
    <t xml:space="preserve">17 Deji Odunuga Street, Anthony Village, Ikeja</t>
  </si>
  <si>
    <t xml:space="preserve">+2347066111646</t>
  </si>
  <si>
    <t xml:space="preserve">Xavi Moore</t>
  </si>
  <si>
    <t xml:space="preserve">57B Faramobi Ajike St, Anthony, Lagos 100241, Lagos, Nigeria</t>
  </si>
  <si>
    <t xml:space="preserve">+2348093572058</t>
  </si>
  <si>
    <t xml:space="preserve">https://xavimoore.com/</t>
  </si>
  <si>
    <t xml:space="preserve">https://www.google.com/maps/place/?q=place_id:ChIJXaBwWcKNOxARkmjXJJHDEVs</t>
  </si>
  <si>
    <t xml:space="preserve">Yin Quad Imagination Computers</t>
  </si>
  <si>
    <t xml:space="preserve">Computer repair service</t>
  </si>
  <si>
    <t xml:space="preserve">Anthony Village, 14 Olorunlogbon St, Lagos, Nigeria</t>
  </si>
  <si>
    <t xml:space="preserve">+2348023430924</t>
  </si>
  <si>
    <t xml:space="preserve">https://www.google.com/maps/place/?q=place_id:ChIJQ3LVmYWNOxARhoKhngabDaU</t>
  </si>
  <si>
    <t xml:space="preserve">ZoomPlus Creations</t>
  </si>
  <si>
    <t xml:space="preserve">3 Ayanboye Street</t>
  </si>
  <si>
    <t xml:space="preserve">3 Ayanboye Street, Anthony Village, Ikeja, Lagos</t>
  </si>
  <si>
    <t xml:space="preserve">+2348035011173</t>
  </si>
  <si>
    <t xml:space="preserve">Aforclean laundry and dry-cleaning</t>
  </si>
  <si>
    <t xml:space="preserve">37 Oyedele Ogunniyi St</t>
  </si>
  <si>
    <t xml:space="preserve">Laundry service</t>
  </si>
  <si>
    <t xml:space="preserve">+2347086805351</t>
  </si>
  <si>
    <t xml:space="preserve">Aforclean Laundry Service</t>
  </si>
  <si>
    <t xml:space="preserve">37 Oyedele Ogunniyi Street</t>
  </si>
  <si>
    <t xml:space="preserve">Cleaning Services</t>
  </si>
  <si>
    <t xml:space="preserve">37 Oyedele Ogunniyi Street, Anthony Village, Lagos</t>
  </si>
  <si>
    <t xml:space="preserve">+2348062852189</t>
  </si>
  <si>
    <t xml:space="preserve">Akins Elect Nig Limited</t>
  </si>
  <si>
    <t xml:space="preserve">Electrician</t>
  </si>
  <si>
    <t xml:space="preserve">16 Odofin Oyero Dr, Anthony, Lagos 100001, Lagos, Nigeria</t>
  </si>
  <si>
    <t xml:space="preserve">+2348077293719</t>
  </si>
  <si>
    <t xml:space="preserve">https://www.google.com/maps/place/?q=place_id:ChIJlQw1DSWNOxARBPFeo_4L_p0</t>
  </si>
  <si>
    <t xml:space="preserve">Alwaysthanks Cleaning Services</t>
  </si>
  <si>
    <t xml:space="preserve">shodi</t>
  </si>
  <si>
    <t xml:space="preserve">Cleaning service</t>
  </si>
  <si>
    <t xml:space="preserve">shodi, Lagos, Nigeria</t>
  </si>
  <si>
    <t xml:space="preserve">+2348066490776</t>
  </si>
  <si>
    <t xml:space="preserve">https://www.google.com/maps/place/?q=place_id:ChIJfYuMdPeNOxARmuKEybjV4AY</t>
  </si>
  <si>
    <t xml:space="preserve">Bertola Machine Tool</t>
  </si>
  <si>
    <t xml:space="preserve">Ikorodu Road</t>
  </si>
  <si>
    <t xml:space="preserve">Hardware / Industrial</t>
  </si>
  <si>
    <t xml:space="preserve">Ikorodu Road, Anthony, Lagos</t>
  </si>
  <si>
    <t xml:space="preserve">Blue Breeze Electronics</t>
  </si>
  <si>
    <t xml:space="preserve">9 Sylvia Crescent</t>
  </si>
  <si>
    <t xml:space="preserve">Home and Living</t>
  </si>
  <si>
    <t xml:space="preserve">9 Sylvia Crescent, Anthony Village, Lagos</t>
  </si>
  <si>
    <t xml:space="preserve">+2348022218447</t>
  </si>
  <si>
    <t xml:space="preserve">Chabrus Koncept</t>
  </si>
  <si>
    <t xml:space="preserve">28 Araromi St</t>
  </si>
  <si>
    <t xml:space="preserve">Construction / Services</t>
  </si>
  <si>
    <t xml:space="preserve">28 Araromi St, Kosofe, Lagos 100001</t>
  </si>
  <si>
    <t xml:space="preserve">+2348063005289</t>
  </si>
  <si>
    <t xml:space="preserve">https://chabrus-koncept.business.site/</t>
  </si>
  <si>
    <t xml:space="preserve">Boundary review</t>
  </si>
  <si>
    <t xml:space="preserve">Araromi locality not sufficiently confirmed as our Anthony catchment</t>
  </si>
  <si>
    <t xml:space="preserve">Clean Planet</t>
  </si>
  <si>
    <t xml:space="preserve">43B Olorunlogbon St</t>
  </si>
  <si>
    <t xml:space="preserve">43B Olorunlogbon St, beside Anthony Police Station</t>
  </si>
  <si>
    <t xml:space="preserve">+2348190401149</t>
  </si>
  <si>
    <t xml:space="preserve">Danvilo Drycleaners</t>
  </si>
  <si>
    <t xml:space="preserve">24 Oseni St</t>
  </si>
  <si>
    <t xml:space="preserve">24 Oseni St, Anthony, Lagos 105102, Lagos, Nigeria</t>
  </si>
  <si>
    <t xml:space="preserve">+2349166838575</t>
  </si>
  <si>
    <t xml:space="preserve">https://www.google.com/maps/place/?q=place_id:ChIJ1SiX4H6TOxARD6JnWMH3VVg</t>
  </si>
  <si>
    <t xml:space="preserve">Dulux Colour Centre Gbagada</t>
  </si>
  <si>
    <t xml:space="preserve">175 Gbagada Expressway</t>
  </si>
  <si>
    <t xml:space="preserve">Home / Building</t>
  </si>
  <si>
    <t xml:space="preserve">175 Gbagada Expressway, opposite UPS Pedro bus stop, Gbagada, Lagos 100232</t>
  </si>
  <si>
    <t xml:space="preserve">+2348033067964</t>
  </si>
  <si>
    <t xml:space="preserve">Eclat Limited</t>
  </si>
  <si>
    <t xml:space="preserve">34 Olorunlogbon Street</t>
  </si>
  <si>
    <t xml:space="preserve">34 Olorunlogbon Street, Anthony Village, Lagos</t>
  </si>
  <si>
    <t xml:space="preserve">+2347065073887</t>
  </si>
  <si>
    <t xml:space="preserve">Ev and Jay Plumbing</t>
  </si>
  <si>
    <t xml:space="preserve">New 15</t>
  </si>
  <si>
    <t xml:space="preserve">Plumber</t>
  </si>
  <si>
    <t xml:space="preserve">New 15, Saji Ayangade St, Anthony, Lagos 100232, Lagos, Nigeria</t>
  </si>
  <si>
    <t xml:space="preserve">+2349120420141</t>
  </si>
  <si>
    <t xml:space="preserve">https://plumbing.evandjayservices.com.ng/</t>
  </si>
  <si>
    <t xml:space="preserve">https://www.google.com/maps/place/?q=place_id:ChIJReG7wxqNOxARcDdUOeJFr4s</t>
  </si>
  <si>
    <t xml:space="preserve">FAOCON</t>
  </si>
  <si>
    <t xml:space="preserve">11A Kehinde Odusote St</t>
  </si>
  <si>
    <t xml:space="preserve">Construction</t>
  </si>
  <si>
    <t xml:space="preserve">11A Kehinde Odusote St, Anthony, Lagos 105102</t>
  </si>
  <si>
    <t xml:space="preserve">+2347086756170</t>
  </si>
  <si>
    <t xml:space="preserve">FSML Integrated Services Limited</t>
  </si>
  <si>
    <t xml:space="preserve">2a</t>
  </si>
  <si>
    <t xml:space="preserve">Electrical installation service</t>
  </si>
  <si>
    <t xml:space="preserve">2a, Anthony Village Road, Off Ikorodu Rd, Anthony, Lagos 100232, Lagos, Nigeria</t>
  </si>
  <si>
    <t xml:space="preserve">+2348112493234</t>
  </si>
  <si>
    <t xml:space="preserve">https://fsml.com.ng/</t>
  </si>
  <si>
    <t xml:space="preserve">https://www.google.com/maps/place/?q=place_id:ChIJ15vI2EiNOxARpyhhiqh6Qdc</t>
  </si>
  <si>
    <t xml:space="preserve">Fumigaclean Limited</t>
  </si>
  <si>
    <t xml:space="preserve">251-253 Ikorodu Road</t>
  </si>
  <si>
    <t xml:space="preserve">251-253 Ikorodu Road, Anthony Village, Ikeja</t>
  </si>
  <si>
    <t xml:space="preserve">+2348038888791</t>
  </si>
  <si>
    <t xml:space="preserve">Home Space Ideas, Interior Project &amp; Designs, Kitchen, Wardrobe, Furniture and Curtains</t>
  </si>
  <si>
    <t xml:space="preserve">Interior designer</t>
  </si>
  <si>
    <t xml:space="preserve">5 Anthony Village Rd, Anthony, Ikeja 100232, Lagos, Nigeria</t>
  </si>
  <si>
    <t xml:space="preserve">+2348102605641</t>
  </si>
  <si>
    <t xml:space="preserve">https://www.google.com/maps/place/?q=place_id:ChIJ591JkbyNOxARkXcWfGrlmjA</t>
  </si>
  <si>
    <t xml:space="preserve">Jeen Drycleaning</t>
  </si>
  <si>
    <t xml:space="preserve">45 Oyedele Ogunniyi Street, Anthony Village, Kosofe Lagos</t>
  </si>
  <si>
    <t xml:space="preserve">+2348066722326</t>
  </si>
  <si>
    <t xml:space="preserve">Jocrison Laundry and Drycleaning</t>
  </si>
  <si>
    <t xml:space="preserve">No 4 Alhaja Oluwakemi Street</t>
  </si>
  <si>
    <t xml:space="preserve">No 4 Alhaja Oluwakemi Street, off Olorunlogbon Street, Anthony Village, Lagos</t>
  </si>
  <si>
    <t xml:space="preserve">+2348092379111</t>
  </si>
  <si>
    <t xml:space="preserve">JohnnieFits</t>
  </si>
  <si>
    <t xml:space="preserve">42 Olorunlogbon Street Anthony</t>
  </si>
  <si>
    <t xml:space="preserve">Custom tailor</t>
  </si>
  <si>
    <t xml:space="preserve">K-Unique Dry Cleaning And Laundry Services</t>
  </si>
  <si>
    <t xml:space="preserve">+2348137264925</t>
  </si>
  <si>
    <t xml:space="preserve">https://www.google.com/maps/place/?q=place_id:ChIJ0bxTjoWNOxARMg-Ln_XjuEY</t>
  </si>
  <si>
    <t xml:space="preserve">KLEENSPEC</t>
  </si>
  <si>
    <t xml:space="preserve">House cleaning service</t>
  </si>
  <si>
    <t xml:space="preserve">+2348023441791</t>
  </si>
  <si>
    <t xml:space="preserve">https://www.google.com/maps/place/?q=place_id:ChIJhSomj1ONOxARBd4KAWx2Tj8</t>
  </si>
  <si>
    <t xml:space="preserve">Komplete Kitchen Limited</t>
  </si>
  <si>
    <t xml:space="preserve">14 Odunlami Street</t>
  </si>
  <si>
    <t xml:space="preserve">14 Odunlami Street, Anthony Village, Ikeja Lagos</t>
  </si>
  <si>
    <t xml:space="preserve">+2348023571134</t>
  </si>
  <si>
    <t xml:space="preserve">Lans Consult</t>
  </si>
  <si>
    <t xml:space="preserve">20A Adebayo Mokuolu Street</t>
  </si>
  <si>
    <t xml:space="preserve">20A Adebayo Mokuolu Street, Anthony Village, Ikeja, Lagos</t>
  </si>
  <si>
    <t xml:space="preserve">+2341790900701</t>
  </si>
  <si>
    <t xml:space="preserve">Laundry Village Nigeria</t>
  </si>
  <si>
    <t xml:space="preserve">Cleaning / Laundry</t>
  </si>
  <si>
    <t xml:space="preserve">4 Adebayo Mokuolu St, Araromi, Lagos 105102</t>
  </si>
  <si>
    <t xml:space="preserve">+2349130151777</t>
  </si>
  <si>
    <t xml:space="preserve">https://www.google.com/maps/place/?q=place_id:ChIJy47cy52NOxARnsuZclJMP0M</t>
  </si>
  <si>
    <t xml:space="preserve">LONI</t>
  </si>
  <si>
    <t xml:space="preserve">128 Adejobi Crescent</t>
  </si>
  <si>
    <t xml:space="preserve">128 Adejobi Crescent, Anthony Village, Lagos</t>
  </si>
  <si>
    <t xml:space="preserve">+2348023026233</t>
  </si>
  <si>
    <t xml:space="preserve">Mackleenlaundry</t>
  </si>
  <si>
    <t xml:space="preserve">3 Thomas Laniyan street idiroko</t>
  </si>
  <si>
    <t xml:space="preserve">+2348169695254</t>
  </si>
  <si>
    <t xml:space="preserve">McDon Security Ltd</t>
  </si>
  <si>
    <t xml:space="preserve">18 Bola St</t>
  </si>
  <si>
    <t xml:space="preserve">Security service</t>
  </si>
  <si>
    <t xml:space="preserve">18 Bola St, Anthony, Lagos 105102, Lagos, Nigeria</t>
  </si>
  <si>
    <t xml:space="preserve">https://www.mcdonsecurity.com/</t>
  </si>
  <si>
    <t xml:space="preserve">https://www.google.com/maps/place/?q=place_id:ChIJbTJiYI-NOxARyLUG56AUE9o</t>
  </si>
  <si>
    <t xml:space="preserve">My Home Et Al Ltd</t>
  </si>
  <si>
    <t xml:space="preserve">57 Adebayo Mokuolu Street, Anthony Village, Lagos</t>
  </si>
  <si>
    <t xml:space="preserve">+2349060002626</t>
  </si>
  <si>
    <t xml:space="preserve">Neat Face Imagination</t>
  </si>
  <si>
    <t xml:space="preserve">+2348023399064</t>
  </si>
  <si>
    <t xml:space="preserve">https://www.google.com/maps/place/?q=place_id:ChIJxR0okYWNOxARvtYeyJHn9R4</t>
  </si>
  <si>
    <t xml:space="preserve">Octagon Security Limited</t>
  </si>
  <si>
    <t xml:space="preserve">68B Olorunlogbon Street</t>
  </si>
  <si>
    <t xml:space="preserve">68B Olorunlogbon Street, Anthony Village, Ikeja, Lagos</t>
  </si>
  <si>
    <t xml:space="preserve">+2348033375179</t>
  </si>
  <si>
    <t xml:space="preserve">Pine &amp; Ivory Ltd</t>
  </si>
  <si>
    <t xml:space="preserve">48B Faramobi Ajike St</t>
  </si>
  <si>
    <t xml:space="preserve">Home / Furniture</t>
  </si>
  <si>
    <t xml:space="preserve">48B Faramobi Ajike St, Anthony, Lagos 100232</t>
  </si>
  <si>
    <t xml:space="preserve">+2349056898336</t>
  </si>
  <si>
    <t xml:space="preserve">pineandivory.com</t>
  </si>
  <si>
    <t xml:space="preserve">https://www.google.com/maps/place/?q=place_id:ChIJV24nFJaNOxARtQWGTsXip9I</t>
  </si>
  <si>
    <t xml:space="preserve">Pleroma Drycleaners</t>
  </si>
  <si>
    <t xml:space="preserve">19A Opeifa Crescent</t>
  </si>
  <si>
    <t xml:space="preserve">19A Opeifa Crescent, Ajao Estate, Anthony Village, Lagos</t>
  </si>
  <si>
    <t xml:space="preserve">+2348029702741</t>
  </si>
  <si>
    <t xml:space="preserve">Quintessential Interiors &amp; Designs</t>
  </si>
  <si>
    <t xml:space="preserve">5 Anthony Village Rd, Anthony, Lagos 100232, Lagos, Nigeria</t>
  </si>
  <si>
    <t xml:space="preserve">+2348032389168</t>
  </si>
  <si>
    <t xml:space="preserve">https://www.google.com/maps/place/?q=place_id:ChIJl_xQmTqNOxAR0to9J8H6LSk</t>
  </si>
  <si>
    <t xml:space="preserve">Seltop technology and communication satellite ,lands andlanded property management and development services</t>
  </si>
  <si>
    <t xml:space="preserve">Number 2</t>
  </si>
  <si>
    <t xml:space="preserve">Satellite communication service</t>
  </si>
  <si>
    <t xml:space="preserve">Number 2, 4 ayoola avenue, ogunyemi street, itaoshin, Abeokuta, Ogun State, Nigeria</t>
  </si>
  <si>
    <t xml:space="preserve">+2347038972946</t>
  </si>
  <si>
    <t xml:space="preserve">https://www.google.com/maps/place/?q=place_id:ChIJZ4ezRoJNOhAR_d_zm7jNcZ8</t>
  </si>
  <si>
    <t xml:space="preserve">T9 LAUNDRY AND PREMIUM DRYCLEANERS</t>
  </si>
  <si>
    <t xml:space="preserve">141A</t>
  </si>
  <si>
    <t xml:space="preserve">Dry cleaner</t>
  </si>
  <si>
    <t xml:space="preserve">141A,Gbagada Expressway,Anthony, Obanikoro, Lagos 100234, Lagos, Nigeria</t>
  </si>
  <si>
    <t xml:space="preserve">+2349124564225</t>
  </si>
  <si>
    <t xml:space="preserve">https://www.google.com/maps/place/?q=place_id:ChIJv6V8PpuNOxAR6SUmBZdDnRA</t>
  </si>
  <si>
    <t xml:space="preserve">TaureanMax</t>
  </si>
  <si>
    <t xml:space="preserve">7 Imaria St</t>
  </si>
  <si>
    <t xml:space="preserve">7 Imaria St, Anthony, Lagos 100001</t>
  </si>
  <si>
    <t xml:space="preserve">+2347034981775</t>
  </si>
  <si>
    <t xml:space="preserve">Trooworths</t>
  </si>
  <si>
    <t xml:space="preserve">Plot 141B Gbagada Express Way</t>
  </si>
  <si>
    <t xml:space="preserve">Retail / Home</t>
  </si>
  <si>
    <t xml:space="preserve">Plot 141B Gbagada Express Way, Anthony, Lagos 100232</t>
  </si>
  <si>
    <t xml:space="preserve">+2348180004118</t>
  </si>
  <si>
    <t xml:space="preserve">trooworthsgroup.com</t>
  </si>
  <si>
    <t xml:space="preserve">https://www.google.com/maps/place/?q=place_id:ChIJpwMd43SNOxARw7m9sQtrj7A</t>
  </si>
  <si>
    <t xml:space="preserve">Whiteice Laundry and Dry Cleaning</t>
  </si>
  <si>
    <t xml:space="preserve">Plot 1</t>
  </si>
  <si>
    <t xml:space="preserve">Plot 1, Thomas Laniyan Street, Anthony Village, Lagos</t>
  </si>
  <si>
    <t xml:space="preserve">+2348027034082</t>
  </si>
  <si>
    <t xml:space="preserve">Woodtec Blinds</t>
  </si>
  <si>
    <t xml:space="preserve">2 Oseni Street</t>
  </si>
  <si>
    <t xml:space="preserve">2 Oseni Street, Anthony Village, Shomolu, Lagos</t>
  </si>
  <si>
    <t xml:space="preserve">+2348023190108</t>
  </si>
  <si>
    <t xml:space="preserve">Zero Stain Drycleaners</t>
  </si>
  <si>
    <t xml:space="preserve">Laundry</t>
  </si>
  <si>
    <t xml:space="preserve">Zero Stain Drycleaners &amp; Laundrers</t>
  </si>
  <si>
    <t xml:space="preserve">4 Olorunlogbon St</t>
  </si>
  <si>
    <t xml:space="preserve">4 Olorunlogbon St, Anthony, Lagos 105102, Lagos, Nigeria</t>
  </si>
  <si>
    <t xml:space="preserve">+2348177775806</t>
  </si>
  <si>
    <t xml:space="preserve">https://wa.me/message/J7ILX6YA2ETRA1</t>
  </si>
  <si>
    <t xml:space="preserve">https://www.google.com/maps/place/?q=place_id:ChIJRcX0b1KNOxARoWOyo-X50Nw</t>
  </si>
  <si>
    <t xml:space="preserve">Arc View Investments</t>
  </si>
  <si>
    <t xml:space="preserve">314 Ikorodu Rd</t>
  </si>
  <si>
    <t xml:space="preserve">Property investment company</t>
  </si>
  <si>
    <t xml:space="preserve">314 Ikorodu Rd, Anthony, Lagos 105102, Lagos, Nigeria</t>
  </si>
  <si>
    <t xml:space="preserve">+2348086430326</t>
  </si>
  <si>
    <t xml:space="preserve">https://www.google.com/maps/place/?q=place_id:ChIJMaKLOo-NOxARNz6GPHfcxPw</t>
  </si>
  <si>
    <t xml:space="preserve">ArcView Property Consultant</t>
  </si>
  <si>
    <t xml:space="preserve">314 Ikorodu Road</t>
  </si>
  <si>
    <t xml:space="preserve">314 Ikorodu Road, Anthony Village Lagos Mainland, Lagos State, Nigeria</t>
  </si>
  <si>
    <t xml:space="preserve">+2348098300981</t>
  </si>
  <si>
    <t xml:space="preserve">Bayo Oyedeji &amp; Co</t>
  </si>
  <si>
    <t xml:space="preserve">4Th Floor</t>
  </si>
  <si>
    <t xml:space="preserve">Real estate agency</t>
  </si>
  <si>
    <t xml:space="preserve">4Th Floor, Niger Insurance House 234, 302/304 Ikorodu Rd, Anthony, Lagos, Nigeria</t>
  </si>
  <si>
    <t xml:space="preserve">https://www.google.com/maps/place/?q=place_id:ChIJKxPFpbyNOxARim_gM-z0aCg</t>
  </si>
  <si>
    <t xml:space="preserve">Calvary Properties &amp; Co</t>
  </si>
  <si>
    <t xml:space="preserve">304 Ikorodu Rd</t>
  </si>
  <si>
    <t xml:space="preserve">304 Ikorodu Rd, Anthony Village, Lagos 105102, Lagos, Nigeria</t>
  </si>
  <si>
    <t xml:space="preserve">https://www.google.com/maps/place/?q=place_id:ChIJ9ZeoCo-NOxARS2dIbPQJ3qc</t>
  </si>
  <si>
    <t xml:space="preserve">CrownHomes lnternational &amp; Co Ltd</t>
  </si>
  <si>
    <t xml:space="preserve">Ste 207</t>
  </si>
  <si>
    <t xml:space="preserve">Real estate agent</t>
  </si>
  <si>
    <t xml:space="preserve">Ste 207, Uche Ayoola Plaza, 11 Olorunlogbon St, Anthony, Lagos 105102, Lagos, Nigeria</t>
  </si>
  <si>
    <t xml:space="preserve">+2348034092265</t>
  </si>
  <si>
    <t xml:space="preserve">https://www.google.com/maps/place/?q=place_id:ChIJuYBplYWNOxARqNoiZ1VE45o</t>
  </si>
  <si>
    <t xml:space="preserve">CULMINATE PROPERTY</t>
  </si>
  <si>
    <t xml:space="preserve">2nd Floor</t>
  </si>
  <si>
    <t xml:space="preserve">2nd Floor, King Solomon House, 4b Bola St, Anthony, Lagos 105102, Lagos, Nigeria</t>
  </si>
  <si>
    <t xml:space="preserve">+2347084065801</t>
  </si>
  <si>
    <t xml:space="preserve">http://culminateproperty.com/</t>
  </si>
  <si>
    <t xml:space="preserve">https://www.google.com/maps/place/?q=place_id:ChIJB-KrYY-NOxAR3tjtgbQTsSI</t>
  </si>
  <si>
    <t xml:space="preserve">Dazal Consultant Ltd(1083469)</t>
  </si>
  <si>
    <t xml:space="preserve">Property management company</t>
  </si>
  <si>
    <t xml:space="preserve">1 Olorunlogbon St, Anthony, Lagos 105102, Lagos, Nigeria</t>
  </si>
  <si>
    <t xml:space="preserve">+2348032988926</t>
  </si>
  <si>
    <t xml:space="preserve">https://www.google.com/maps/place/?q=place_id:ChIJ6c8FzqONOxARdqPXtOy3Hws</t>
  </si>
  <si>
    <t xml:space="preserve">De Auto Car Repairs, Maintenance and Technical services Maryland Lagos</t>
  </si>
  <si>
    <t xml:space="preserve">5A Mobolaji Bank Anthony Way</t>
  </si>
  <si>
    <t xml:space="preserve">Car dealer</t>
  </si>
  <si>
    <t xml:space="preserve">+2348033011366</t>
  </si>
  <si>
    <t xml:space="preserve">Ebyproperty consultant</t>
  </si>
  <si>
    <t xml:space="preserve">Bus Stop</t>
  </si>
  <si>
    <t xml:space="preserve">Real estate consultant</t>
  </si>
  <si>
    <t xml:space="preserve">Bus Stop, 314 Ikorodu Rd, Anthony, Lagos 105102, Lagos, Nigeria</t>
  </si>
  <si>
    <t xml:space="preserve">+2348169184026</t>
  </si>
  <si>
    <t xml:space="preserve">https://www.google.com/maps/place/?q=place_id:ChIJH4Zi9iWNOxARl3oQ5vll-5Y</t>
  </si>
  <si>
    <t xml:space="preserve">Emmsam investment</t>
  </si>
  <si>
    <t xml:space="preserve">by Anthony b/s</t>
  </si>
  <si>
    <t xml:space="preserve">Industrial real estate agency</t>
  </si>
  <si>
    <t xml:space="preserve">by Anthony b/s, 314 Ikorodu Rd, Anthony, Lagos 105102, Lagos, Nigeria</t>
  </si>
  <si>
    <t xml:space="preserve">+2347031923360</t>
  </si>
  <si>
    <t xml:space="preserve">https://www.google.com/maps/place/?q=place_id:ChIJgbyviEiNOxARODUx86r0YRA</t>
  </si>
  <si>
    <t xml:space="preserve">GolDee Concepts</t>
  </si>
  <si>
    <t xml:space="preserve">Local government area</t>
  </si>
  <si>
    <t xml:space="preserve">Local government area, 21 Sylvia Cres, Anthony, Lagos 100232, Lagos, Nigeria</t>
  </si>
  <si>
    <t xml:space="preserve">+2347063018124</t>
  </si>
  <si>
    <t xml:space="preserve">https://www.google.com/maps/place/?q=place_id:ChIJHVY-HXuNOxARc1gRYYbD5bU</t>
  </si>
  <si>
    <t xml:space="preserve">H O 'Kay Property Venture</t>
  </si>
  <si>
    <t xml:space="preserve">Bus-Stop</t>
  </si>
  <si>
    <t xml:space="preserve">Bus-Stop, 314 Ikorodu Rd, Anthony, Lagos 105102, Lagos, Nigeria</t>
  </si>
  <si>
    <t xml:space="preserve">+2348189309601</t>
  </si>
  <si>
    <t xml:space="preserve">https://www.google.com/maps/place/?q=place_id:ChIJmXpezy-NOxARRUnpxX9vGYw</t>
  </si>
  <si>
    <t xml:space="preserve">HomesBudget</t>
  </si>
  <si>
    <t xml:space="preserve">2A Anthony Village Rd</t>
  </si>
  <si>
    <t xml:space="preserve">2A Anthony Village Rd, Anthony, Lagos 100232, Lagos, Nigeria</t>
  </si>
  <si>
    <t xml:space="preserve">+2348025299591</t>
  </si>
  <si>
    <t xml:space="preserve">http://homesbudget.wordpress.com/</t>
  </si>
  <si>
    <t xml:space="preserve">https://www.google.com/maps/place/?q=place_id:ChIJP1RByOqNOxARk45wp1oDPEo</t>
  </si>
  <si>
    <t xml:space="preserve">Honeyland Homes Ltd</t>
  </si>
  <si>
    <t xml:space="preserve">20 Olorunlogbon St, Anthony, Lagos 105102, Lagos, Nigeria</t>
  </si>
  <si>
    <t xml:space="preserve">+2348106468521</t>
  </si>
  <si>
    <t xml:space="preserve">https://honeylandhomesinvestmentltd.com/</t>
  </si>
  <si>
    <t xml:space="preserve">https://www.google.com/maps/place/?q=place_id:ChIJXdx_XceTOxARuGp40Wz43QQ</t>
  </si>
  <si>
    <t xml:space="preserve">JIDE AJALA Associates</t>
  </si>
  <si>
    <t xml:space="preserve">Local Government Area</t>
  </si>
  <si>
    <t xml:space="preserve">Local Government Area, 14 Odofin Oyero Dr, Anthony, Lagos 105102, Lagos, Nigeria</t>
  </si>
  <si>
    <t xml:space="preserve">+2348188177663</t>
  </si>
  <si>
    <t xml:space="preserve">https://www.google.com/maps/place/?q=place_id:ChIJ6zoLrfyNOxARiy1sJ5oDVwc</t>
  </si>
  <si>
    <t xml:space="preserve">Jurassic consult and properties</t>
  </si>
  <si>
    <t xml:space="preserve">bus stop</t>
  </si>
  <si>
    <t xml:space="preserve">bus stop, 314, Anthony bus stop, Lagos 314, Anthony bus stop, Lagos 314, Ikorodu Rd, Anthony, Lagos 100232, Lagos, Nigeria</t>
  </si>
  <si>
    <t xml:space="preserve">+2349020800980</t>
  </si>
  <si>
    <t xml:space="preserve">https://www.google.com/maps/place/?q=place_id:ChIJ5WEuVNyNOxARrBKrDr3aFpk</t>
  </si>
  <si>
    <t xml:space="preserve">makemorepropertiesinnigerial</t>
  </si>
  <si>
    <t xml:space="preserve">number 314 anthony bus stop ikorodu road lagos number 314 an</t>
  </si>
  <si>
    <t xml:space="preserve">number 314 anthony bus stop ikorodu road lagos number 314 anthony bus stop ikorodu road ikeja oyingbo, Lagos, Nigeria</t>
  </si>
  <si>
    <t xml:space="preserve">+2348050201853</t>
  </si>
  <si>
    <t xml:space="preserve">https://makemoreproperties.com/</t>
  </si>
  <si>
    <t xml:space="preserve">https://www.google.com/maps/place/?q=place_id:ChIJjzX4f3iNOxARFWmiQYp70kQ</t>
  </si>
  <si>
    <t xml:space="preserve">MandG Properties</t>
  </si>
  <si>
    <t xml:space="preserve">32 Olorunlogbon Street</t>
  </si>
  <si>
    <t xml:space="preserve">32 Olorunlogbon Street, Anthony Village, Lagos</t>
  </si>
  <si>
    <t xml:space="preserve">+2348180189494</t>
  </si>
  <si>
    <t xml:space="preserve">Meaningful Realtors</t>
  </si>
  <si>
    <t xml:space="preserve">6 Deji Odunuga Street</t>
  </si>
  <si>
    <t xml:space="preserve">6 Deji Odunuga Street, Anthony Village, Lagos</t>
  </si>
  <si>
    <t xml:space="preserve">+2347030910000</t>
  </si>
  <si>
    <t xml:space="preserve">Metu Francis &amp; CO</t>
  </si>
  <si>
    <t xml:space="preserve">3rd floor</t>
  </si>
  <si>
    <t xml:space="preserve">3rd floor, Doreona Plaza, 12 Odofin Oyero Dr, Anthony, Lagos 105102, Lagos, Nigeria</t>
  </si>
  <si>
    <t xml:space="preserve">https://www.google.com/maps/place/?q=place_id:ChIJ9yKQ8YWNOxAR01w4a9AEuTo</t>
  </si>
  <si>
    <t xml:space="preserve">Neve Shalom Limited (NSL-properties)</t>
  </si>
  <si>
    <t xml:space="preserve">3 Deji Odunuga Street</t>
  </si>
  <si>
    <t xml:space="preserve">3 Deji Odunuga Street, Off Adebayo Mokuolu Street, Anthony Village, Lagos</t>
  </si>
  <si>
    <t xml:space="preserve">+2348028841717</t>
  </si>
  <si>
    <t xml:space="preserve">Nobility Estates</t>
  </si>
  <si>
    <t xml:space="preserve">7</t>
  </si>
  <si>
    <t xml:space="preserve">7,odunlami street, Anthony Village Rd, Maryland, Lagos 100001, Lagos, Nigeria</t>
  </si>
  <si>
    <t xml:space="preserve">https://www.google.com/maps/place/?q=place_id:ChIJ7XM2BCWNOxARnPstUqeoFyQ</t>
  </si>
  <si>
    <t xml:space="preserve">Oxford Millennium ltd</t>
  </si>
  <si>
    <t xml:space="preserve">1 Bola St</t>
  </si>
  <si>
    <t xml:space="preserve">1 Bola St, Anthony, Lagos 105102, Lagos, Nigeria</t>
  </si>
  <si>
    <t xml:space="preserve">+2349029632779</t>
  </si>
  <si>
    <t xml:space="preserve">https://www.google.com/maps/place/?q=place_id:ChIJpfiKJNiNOxAR5Hux_zSDR6k</t>
  </si>
  <si>
    <t xml:space="preserve">Pated Cubes Property</t>
  </si>
  <si>
    <t xml:space="preserve">Oyedele Ogunniyi St</t>
  </si>
  <si>
    <t xml:space="preserve">No 3 Oyedele Ogunniyi St, Anthony, Lagos 105102, Lagos, Nigeria</t>
  </si>
  <si>
    <t xml:space="preserve">https://www.google.com/maps/place/?q=place_id:ChIJt3DFqz6NOxAR-QeuW6uj7qY</t>
  </si>
  <si>
    <t xml:space="preserve">Perfection Assets</t>
  </si>
  <si>
    <t xml:space="preserve">+2348037280004</t>
  </si>
  <si>
    <t xml:space="preserve">https://www.google.com/maps/place/?q=place_id:ChIJQ_Pd3SWMOxARpb459agbaA8</t>
  </si>
  <si>
    <t xml:space="preserve">Properties Everywhere</t>
  </si>
  <si>
    <t xml:space="preserve">2 Akinmade St</t>
  </si>
  <si>
    <t xml:space="preserve">2 Akinmade St, beside NLPC pensions, Anthony, Lagos 105102, Lagos, Nigeria</t>
  </si>
  <si>
    <t xml:space="preserve">+2348056116478</t>
  </si>
  <si>
    <t xml:space="preserve">http://propertieseverywhereltd.com/</t>
  </si>
  <si>
    <t xml:space="preserve">https://www.google.com/maps/place/?q=place_id:ChIJn_tMO4-NOxARcCQDgg0-fnM</t>
  </si>
  <si>
    <t xml:space="preserve">Propertysmiths Agency | Real Estate Development Company in Lagos</t>
  </si>
  <si>
    <t xml:space="preserve">b/stop</t>
  </si>
  <si>
    <t xml:space="preserve">b/stop, 314 Ikorodu Rd, beside NLPC building Local Government, adjacent Elizade motors Anthony b/stop, Anthony, Lagos 100242, Lagos, Nigeria</t>
  </si>
  <si>
    <t xml:space="preserve">+2347084824414</t>
  </si>
  <si>
    <t xml:space="preserve">https://www.propertysmiths.com.ng/</t>
  </si>
  <si>
    <t xml:space="preserve">https://www.google.com/maps/place/?q=place_id:ChIJLb8vxoqPOxARUNl1PwLZyIY</t>
  </si>
  <si>
    <t xml:space="preserve">Pyramids Real Estate &amp; Property Development Company</t>
  </si>
  <si>
    <t xml:space="preserve">+2348123644638</t>
  </si>
  <si>
    <t xml:space="preserve">https://www.google.com/maps/place/?q=place_id:ChIJKdJAwuSNOxARDKmrGUPv7xo</t>
  </si>
  <si>
    <t xml:space="preserve">Real Estate Pathfinder</t>
  </si>
  <si>
    <t xml:space="preserve">Anthony Ajayi St</t>
  </si>
  <si>
    <t xml:space="preserve">Anthony Ajayi St, Anthony, Lagos 105102</t>
  </si>
  <si>
    <t xml:space="preserve">+2348156861311</t>
  </si>
  <si>
    <t xml:space="preserve">RealYew Limited</t>
  </si>
  <si>
    <t xml:space="preserve">1 Bola Street</t>
  </si>
  <si>
    <t xml:space="preserve">1 Bola Street, opposite King Solomon Hospital, off Anthony Village Road, Anthony Village, Lagos 100001</t>
  </si>
  <si>
    <t xml:space="preserve">+2348159447320</t>
  </si>
  <si>
    <t xml:space="preserve">https://www.google.com/maps/place/?q=place_id:ChIJI7dMi4WNOxARSGCPZgofnxU</t>
  </si>
  <si>
    <t xml:space="preserve">Rena Homes And Properties Ltd</t>
  </si>
  <si>
    <t xml:space="preserve">Anthony, Lagos 102216, Lagos, Nigeria</t>
  </si>
  <si>
    <t xml:space="preserve">+2348106022476</t>
  </si>
  <si>
    <t xml:space="preserve">https://www.google.com/maps/place/?q=place_id:ChIJtabIN7CNOxARGGXKx9T4tIQ</t>
  </si>
  <si>
    <t xml:space="preserve">Richcrown Property Development Company Limited</t>
  </si>
  <si>
    <t xml:space="preserve">33 Olorunlogbon Street</t>
  </si>
  <si>
    <t xml:space="preserve">33 Olorunlogbon Street, Anthony Village, Ikeja</t>
  </si>
  <si>
    <t xml:space="preserve">+2348023200906</t>
  </si>
  <si>
    <t xml:space="preserve">Roc realty</t>
  </si>
  <si>
    <t xml:space="preserve">+2348034580374</t>
  </si>
  <si>
    <t xml:space="preserve">https://www.google.com/maps/place/?q=place_id:ChIJIZjc2JSNOxARMKjYpYbx9Po</t>
  </si>
  <si>
    <t xml:space="preserve">Rotimi Olukoga &amp; Associates</t>
  </si>
  <si>
    <t xml:space="preserve">28 Oseni Street</t>
  </si>
  <si>
    <t xml:space="preserve">28 Oseni Street, Anthony Village, Shomolu Lagos</t>
  </si>
  <si>
    <t xml:space="preserve">+2348032824850</t>
  </si>
  <si>
    <t xml:space="preserve">Suncity Estate</t>
  </si>
  <si>
    <t xml:space="preserve">2A Mobolaji Bank Anthony Way</t>
  </si>
  <si>
    <t xml:space="preserve">+2347085089627</t>
  </si>
  <si>
    <t xml:space="preserve">Tunde Banjo Realty Company Limited</t>
  </si>
  <si>
    <t xml:space="preserve">42 Oyedele Ogunniyi Street</t>
  </si>
  <si>
    <t xml:space="preserve">42 Oyedele Ogunniyi Street, Anthony Village, Lagos</t>
  </si>
  <si>
    <t xml:space="preserve">+2348023270032</t>
  </si>
  <si>
    <t xml:space="preserve">U-Klass Autos &amp; Property Limited</t>
  </si>
  <si>
    <t xml:space="preserve">+2349033704148</t>
  </si>
  <si>
    <t xml:space="preserve">https://www.google.com/maps/place/?q=place_id:ChIJD91Vq0yNOxAR45NxsIyNXxw</t>
  </si>
  <si>
    <t xml:space="preserve">Vidapetra Ventures</t>
  </si>
  <si>
    <t xml:space="preserve">306 Ikorodu Rd, Anthony, Lagos 105102, Lagos, Nigeria</t>
  </si>
  <si>
    <t xml:space="preserve">+2348188276926</t>
  </si>
  <si>
    <t xml:space="preserve">https://www.google.com/maps/place/?q=place_id:ChIJIYJ92oiNOxAR_XM8q-3f6LM</t>
  </si>
  <si>
    <t xml:space="preserve">Whole Trust Limited</t>
  </si>
  <si>
    <t xml:space="preserve">+2349079399431</t>
  </si>
  <si>
    <t xml:space="preserve">https://wa.me/qr/3H574YOZUA67O1</t>
  </si>
  <si>
    <t xml:space="preserve">https://www.google.com/maps/place/?q=place_id:ChIJBcc_dwCNOxARXfd5OSsnTJg</t>
  </si>
  <si>
    <t xml:space="preserve">Abiodun Aina And Company</t>
  </si>
  <si>
    <t xml:space="preserve">Oasis House</t>
  </si>
  <si>
    <t xml:space="preserve">Accounting firm</t>
  </si>
  <si>
    <t xml:space="preserve">Oasis House, 298 Ikorodu Rd, Anthony, Lagos 102216, Lagos, Nigeria</t>
  </si>
  <si>
    <t xml:space="preserve">+2348034386478</t>
  </si>
  <si>
    <t xml:space="preserve">https://www.google.com/maps/place/?q=place_id:ChIJSRkYkoiNOxARjJqYWH41Ogk</t>
  </si>
  <si>
    <t xml:space="preserve">Acumen Digital</t>
  </si>
  <si>
    <t xml:space="preserve">44 Ope-Ifa Cres</t>
  </si>
  <si>
    <t xml:space="preserve">Technology</t>
  </si>
  <si>
    <t xml:space="preserve">44 Ope-Ifa Cres, Anthony, Lagos 105102</t>
  </si>
  <si>
    <t xml:space="preserve">+2349076358050</t>
  </si>
  <si>
    <t xml:space="preserve">Agriterra International</t>
  </si>
  <si>
    <t xml:space="preserve">AK Talabi &amp; Co.</t>
  </si>
  <si>
    <t xml:space="preserve">16 Faramobi Ajike St</t>
  </si>
  <si>
    <t xml:space="preserve">16 Faramobi Ajike St, Anthony, Lagos 100232, Lagos, Nigeria</t>
  </si>
  <si>
    <t xml:space="preserve">+2349122195013</t>
  </si>
  <si>
    <t xml:space="preserve">https://www.google.com/maps/place/?q=place_id:ChIJVVUlZI-NOxAR6jEany_QWi4</t>
  </si>
  <si>
    <t xml:space="preserve">Akinlawon Ajomo.</t>
  </si>
  <si>
    <t xml:space="preserve">Law firm</t>
  </si>
  <si>
    <t xml:space="preserve">12 Odofin Oyero Dr, near GTB, Anthony, Lagos 105102, Lagos, Nigeria</t>
  </si>
  <si>
    <t xml:space="preserve">+2348029208974</t>
  </si>
  <si>
    <t xml:space="preserve">https://akinlawonajomo.org/</t>
  </si>
  <si>
    <t xml:space="preserve">https://www.google.com/maps/place/?q=place_id:ChIJc6mX3DGDOxAR5VPsjNcQCYU</t>
  </si>
  <si>
    <t xml:space="preserve">Alive Creations</t>
  </si>
  <si>
    <t xml:space="preserve">3D printing service</t>
  </si>
  <si>
    <t xml:space="preserve">Anthony, Lagos 105102, Lagos, Nigeria</t>
  </si>
  <si>
    <t xml:space="preserve">+2347038535566</t>
  </si>
  <si>
    <t xml:space="preserve">https://www.google.com/maps/place/?q=place_id:ChIJfX64K9WNOxARzuUrNmJ2bcQ</t>
  </si>
  <si>
    <t xml:space="preserve">Ancestors Advisory</t>
  </si>
  <si>
    <t xml:space="preserve">Financial Services</t>
  </si>
  <si>
    <t xml:space="preserve">+2348189471522</t>
  </si>
  <si>
    <t xml:space="preserve">AP Professional Services</t>
  </si>
  <si>
    <t xml:space="preserve">10 Ayanboye St</t>
  </si>
  <si>
    <t xml:space="preserve">10 Ayanboye St, Anthony, Lagos 100232</t>
  </si>
  <si>
    <t xml:space="preserve">+2348038946253</t>
  </si>
  <si>
    <t xml:space="preserve">https://www.ap-proservices.com/</t>
  </si>
  <si>
    <t xml:space="preserve">https://www.google.com/maps/place/?q=place_id:ChIJL8BHl4WNOxARZ960Iab5nlM</t>
  </si>
  <si>
    <t xml:space="preserve">Apadesanya And Partner</t>
  </si>
  <si>
    <t xml:space="preserve">Ground Floor, Back Flat, 10 Ayanboye Street, Off Ajike Faramobi Street, Anthony Village, Lagos</t>
  </si>
  <si>
    <t xml:space="preserve">+2348184908647</t>
  </si>
  <si>
    <t xml:space="preserve">Asaolu And Associates Tax / Management Consultants</t>
  </si>
  <si>
    <t xml:space="preserve">Accountant</t>
  </si>
  <si>
    <t xml:space="preserve">Idiroko, Plot 1 Thomas Laniyan St</t>
  </si>
  <si>
    <t xml:space="preserve">+2348033010112</t>
  </si>
  <si>
    <t xml:space="preserve">AXA Mansard Insurance Plc</t>
  </si>
  <si>
    <t xml:space="preserve">8 Anthony Village Rd</t>
  </si>
  <si>
    <t xml:space="preserve">Insurance agency</t>
  </si>
  <si>
    <t xml:space="preserve">8 Anthony Village Rd, LGA, Kosofe, Lagos 100233, Lagos, Nigeria</t>
  </si>
  <si>
    <t xml:space="preserve">+2349154790944</t>
  </si>
  <si>
    <t xml:space="preserve">https://www.axamansard.com/</t>
  </si>
  <si>
    <t xml:space="preserve">https://www.google.com/maps/place/?q=place_id:ChIJ8xu0K9aNOxARpzLg4PnBWJE</t>
  </si>
  <si>
    <t xml:space="preserve">Benjamin Obidegwu</t>
  </si>
  <si>
    <t xml:space="preserve">Penthouse Suite</t>
  </si>
  <si>
    <t xml:space="preserve">Tax attorney</t>
  </si>
  <si>
    <t xml:space="preserve">Penthouse Suite, Theodolite House, 306 Ikorodu Rd, Anthony, Lagos 100232, Lagos, Nigeria</t>
  </si>
  <si>
    <t xml:space="preserve">+2348035360725</t>
  </si>
  <si>
    <t xml:space="preserve">https://hermonlaw.com/</t>
  </si>
  <si>
    <t xml:space="preserve">https://www.google.com/maps/place/?q=place_id:ChIJtVQa-oONOxARb5z7mcF_UDA</t>
  </si>
  <si>
    <t xml:space="preserve">Blithe Nigeria Limited</t>
  </si>
  <si>
    <t xml:space="preserve">8B Saji Ayangade St</t>
  </si>
  <si>
    <t xml:space="preserve">8B Saji Ayangade St, Anthony, Lagos 105102</t>
  </si>
  <si>
    <t xml:space="preserve">Brookgreen LP</t>
  </si>
  <si>
    <t xml:space="preserve">Goodwill House</t>
  </si>
  <si>
    <t xml:space="preserve">Goodwill House, 278 Ikorodu Rd, Anthony, Lagos 102216, Lagos, Nigeria</t>
  </si>
  <si>
    <t xml:space="preserve">+2348179367485</t>
  </si>
  <si>
    <t xml:space="preserve">http://brookgreenlp.com/</t>
  </si>
  <si>
    <t xml:space="preserve">https://www.google.com/maps/place/?q=place_id:ChIJN2HY9pCNOxARAM0l5w5x3oY</t>
  </si>
  <si>
    <t xml:space="preserve">CEK Alpha Consultants</t>
  </si>
  <si>
    <t xml:space="preserve">By Anthony Bus Stop 300 Ikorodu Road UBA PLC Branch Building</t>
  </si>
  <si>
    <t xml:space="preserve">Chartered accountant</t>
  </si>
  <si>
    <t xml:space="preserve">By Anthony Bus Stop 300 Ikorodu Road UBA PLC Branch Building, 3rd Floor, Lagos, Nigeria</t>
  </si>
  <si>
    <t xml:space="preserve">+2347033281008</t>
  </si>
  <si>
    <t xml:space="preserve">http://cekalphaconsultants.com/</t>
  </si>
  <si>
    <t xml:space="preserve">https://www.google.com/maps/place/?q=place_id:ChIJkfD1t4-NOxARQ8ZSIPngwRQ</t>
  </si>
  <si>
    <t xml:space="preserve">CIDL GROUP</t>
  </si>
  <si>
    <t xml:space="preserve">17 Sylvia Crescent</t>
  </si>
  <si>
    <t xml:space="preserve">17 Sylvia Crescent, Anthony, Lagos 105102</t>
  </si>
  <si>
    <t xml:space="preserve">+2348023215845</t>
  </si>
  <si>
    <t xml:space="preserve">City Solicitors Legal Consultants</t>
  </si>
  <si>
    <t xml:space="preserve">Attorney</t>
  </si>
  <si>
    <t xml:space="preserve">https://www.google.com/maps/place/?q=place_id:ChIJOdH7nYWNOxARpotJxCdIGw0</t>
  </si>
  <si>
    <t xml:space="preserve">Clement Onwuenwunor and Company</t>
  </si>
  <si>
    <t xml:space="preserve">1 Faramobi Ajike</t>
  </si>
  <si>
    <t xml:space="preserve">Legal</t>
  </si>
  <si>
    <t xml:space="preserve">1 Faramobi Ajike, Anthony Village, Kosofe, Lagos</t>
  </si>
  <si>
    <t xml:space="preserve">+2348023162173</t>
  </si>
  <si>
    <t xml:space="preserve">Colximate Insurance Brokers</t>
  </si>
  <si>
    <t xml:space="preserve">3rd Floor</t>
  </si>
  <si>
    <t xml:space="preserve">Insurance broker</t>
  </si>
  <si>
    <t xml:space="preserve">3rd Floor, Niger House, Anthony Bus Stop, Ikorodu Road, Anthony Village, Lagos, Lagos, Lagos, Nigeria</t>
  </si>
  <si>
    <t xml:space="preserve">https://www.google.com/maps/place/?q=place_id:ChIJJxnHt4-NOxARxhBP_yd1_kA</t>
  </si>
  <si>
    <t xml:space="preserve">DataMax Registrars Limited</t>
  </si>
  <si>
    <t xml:space="preserve">Oke</t>
  </si>
  <si>
    <t xml:space="preserve">Trust bank</t>
  </si>
  <si>
    <t xml:space="preserve">Oke, By Beko, 2C Gbagada - Oworonshoki Expy, Ransome Kuti Park, Anthony, Lagos 102216, Lagos, Nigeria</t>
  </si>
  <si>
    <t xml:space="preserve">+2347064000751</t>
  </si>
  <si>
    <t xml:space="preserve">http://www.datamaxregistrars.com/</t>
  </si>
  <si>
    <t xml:space="preserve">https://www.google.com/maps/place/?q=place_id:ChIJEX62jSiNOxARcjryMsxg5Gk</t>
  </si>
  <si>
    <t xml:space="preserve">Ecobank</t>
  </si>
  <si>
    <t xml:space="preserve">322A Ikorodu Road</t>
  </si>
  <si>
    <t xml:space="preserve">Bank</t>
  </si>
  <si>
    <t xml:space="preserve">322A Ikorodu Road, Anthony Village, Lagos</t>
  </si>
  <si>
    <t xml:space="preserve">+2347041450686</t>
  </si>
  <si>
    <t xml:space="preserve">Elthon Partners | Legal Practitioners | Law Firm</t>
  </si>
  <si>
    <t xml:space="preserve">5 Akinmade St</t>
  </si>
  <si>
    <t xml:space="preserve">5 Akinmade St, Anthony, Lagos 110001, Lagos, Nigeria</t>
  </si>
  <si>
    <t xml:space="preserve">+2349083412050</t>
  </si>
  <si>
    <t xml:space="preserve">http://www.elthonpartners.com/</t>
  </si>
  <si>
    <t xml:space="preserve">https://www.google.com/maps/place/?q=place_id:ChIJE7EdNDSLOxARfCsxKQn927k</t>
  </si>
  <si>
    <t xml:space="preserve">Esther Enakireru And CO Chartered Accountant</t>
  </si>
  <si>
    <t xml:space="preserve">2A Oseni St</t>
  </si>
  <si>
    <t xml:space="preserve">2A Oseni St, Anthony, Lagos 100232, Lagos, Nigeria</t>
  </si>
  <si>
    <t xml:space="preserve">+2347076607492</t>
  </si>
  <si>
    <t xml:space="preserve">https://sites.google.com/view/esther-enakireru-and-co</t>
  </si>
  <si>
    <t xml:space="preserve">https://www.google.com/maps/place/?q=place_id:ChIJVyAjxBeNOxAR_kxai25Tj7k</t>
  </si>
  <si>
    <t xml:space="preserve">Explicit Communications Limited</t>
  </si>
  <si>
    <t xml:space="preserve">71 Adebayo Mokuolu Street</t>
  </si>
  <si>
    <t xml:space="preserve">71 Adebayo Mokuolu Street, Anthony Village, Lagos</t>
  </si>
  <si>
    <t xml:space="preserve">+2348034330222</t>
  </si>
  <si>
    <t xml:space="preserve">Festus Keyamo Chambers</t>
  </si>
  <si>
    <t xml:space="preserve">1 Festus Keyamo Lane</t>
  </si>
  <si>
    <t xml:space="preserve">1 Festus Keyamo Lane, Anthony Village, Kosofe, Lagos</t>
  </si>
  <si>
    <t xml:space="preserve">+2348033327122</t>
  </si>
  <si>
    <t xml:space="preserve">FirstWhitestoneResources</t>
  </si>
  <si>
    <t xml:space="preserve">Business Services</t>
  </si>
  <si>
    <t xml:space="preserve">Anthony, Lagos 105102</t>
  </si>
  <si>
    <t xml:space="preserve">+2348033062938</t>
  </si>
  <si>
    <t xml:space="preserve">firstwhitestoneresources.com</t>
  </si>
  <si>
    <t xml:space="preserve">Flash Insurance Brokers Ltd</t>
  </si>
  <si>
    <t xml:space="preserve">126B</t>
  </si>
  <si>
    <t xml:space="preserve">126B, Sylvia Crescent, Anthony Village, Lagos, Lagos, Lagos, Nigeria</t>
  </si>
  <si>
    <t xml:space="preserve">https://www.google.com/maps/place/?q=place_id:ChIJ-Xm6SY-NOxARJqMTIJVihSQ</t>
  </si>
  <si>
    <t xml:space="preserve">Grange International</t>
  </si>
  <si>
    <t xml:space="preserve">24 Olorunlogbon St</t>
  </si>
  <si>
    <t xml:space="preserve">24 Olorunlogbon St, Anthony, Lagos 105102</t>
  </si>
  <si>
    <t xml:space="preserve">+2348028438927</t>
  </si>
  <si>
    <t xml:space="preserve">GTBank</t>
  </si>
  <si>
    <t xml:space="preserve">7 Anthony Village Road</t>
  </si>
  <si>
    <t xml:space="preserve">7 Anthony Village Road, Anthony Village, Lagos</t>
  </si>
  <si>
    <t xml:space="preserve">+2341271494101</t>
  </si>
  <si>
    <t xml:space="preserve">Hermon Legal Practitioners</t>
  </si>
  <si>
    <t xml:space="preserve">+2348023122562</t>
  </si>
  <si>
    <t xml:space="preserve">https://www.hermonlaw.com/</t>
  </si>
  <si>
    <t xml:space="preserve">https://www.google.com/maps/place/?q=place_id:ChIJKWKn42yNOxARtn1bpRbvwMQ</t>
  </si>
  <si>
    <t xml:space="preserve">HOUSE56</t>
  </si>
  <si>
    <t xml:space="preserve">Innovative Systems Ltd.</t>
  </si>
  <si>
    <t xml:space="preserve">Plot 111B</t>
  </si>
  <si>
    <t xml:space="preserve">Plot 111B, Sylvia Crescent, Anthony Village, Lagos Nigeria</t>
  </si>
  <si>
    <t xml:space="preserve">+2347052334130</t>
  </si>
  <si>
    <t xml:space="preserve">Insured</t>
  </si>
  <si>
    <t xml:space="preserve">Ajao Estate</t>
  </si>
  <si>
    <t xml:space="preserve">Ajao Estate, Anthony, Lagos 105102</t>
  </si>
  <si>
    <t xml:space="preserve">+2348173957192</t>
  </si>
  <si>
    <t xml:space="preserve">Joel Onowakpo &amp; Co</t>
  </si>
  <si>
    <t xml:space="preserve">3/5 Immanuel Street</t>
  </si>
  <si>
    <t xml:space="preserve">3/5 Immanuel Street, Off Mobolaji Bank Anthony Way</t>
  </si>
  <si>
    <t xml:space="preserve">+23414961741</t>
  </si>
  <si>
    <t xml:space="preserve">Keynes Ventures Limited</t>
  </si>
  <si>
    <t xml:space="preserve">2a Anthony Village Rd</t>
  </si>
  <si>
    <t xml:space="preserve">Advertising agency</t>
  </si>
  <si>
    <t xml:space="preserve">2a Anthony Village Rd, Anthony, Lagos 105102, Lagos, Nigeria</t>
  </si>
  <si>
    <t xml:space="preserve">+2348033017596</t>
  </si>
  <si>
    <t xml:space="preserve">https://www.google.com/maps/place/?q=place_id:ChIJjfVhDI-NOxARwh-kQvHHIZE</t>
  </si>
  <si>
    <t xml:space="preserve">Lava Consulting</t>
  </si>
  <si>
    <t xml:space="preserve">+2348005282269</t>
  </si>
  <si>
    <t xml:space="preserve">Legal Defence And Assistance Project</t>
  </si>
  <si>
    <t xml:space="preserve">3rd Floor, Lamlat House, 270 Ikorodu Rd, Brigade, Lagos 102216, Lagos, Nigeria</t>
  </si>
  <si>
    <t xml:space="preserve">+2348036913264</t>
  </si>
  <si>
    <t xml:space="preserve">https://ledapnigeria.org/</t>
  </si>
  <si>
    <t xml:space="preserve">https://www.google.com/maps/place/?q=place_id:ChIJg_sApFuNOxARvGN--Ync8pA</t>
  </si>
  <si>
    <t xml:space="preserve">Lorènorẹ</t>
  </si>
  <si>
    <t xml:space="preserve">H959+MCW</t>
  </si>
  <si>
    <t xml:space="preserve">H959+MCW, Anthony Village Rd, Anthony, Lagos 100232, Lagos, Nigeria</t>
  </si>
  <si>
    <t xml:space="preserve">https://www.google.com/maps/place/?q=place_id:ChIJU2VKeI-NOxARQR27KnZo8N0</t>
  </si>
  <si>
    <t xml:space="preserve">Mark Oglivy &amp; Partners</t>
  </si>
  <si>
    <t xml:space="preserve">Yakoyo</t>
  </si>
  <si>
    <t xml:space="preserve">Yakoyo, No 4, Bola street, off Alh. Moshoba St, Lagos, Nigeria</t>
  </si>
  <si>
    <t xml:space="preserve">+2349041647547</t>
  </si>
  <si>
    <t xml:space="preserve">https://www.google.com/maps/place/?q=place_id:ChIJ-eWrYY-NOxARgz9jmX1IxaA</t>
  </si>
  <si>
    <t xml:space="preserve">MCL Solutions Limited</t>
  </si>
  <si>
    <t xml:space="preserve">2B Faramobi Ajike Str</t>
  </si>
  <si>
    <t xml:space="preserve">Business management consultant</t>
  </si>
  <si>
    <t xml:space="preserve">2B Faramobi Ajike Str, Bola St, Anthony, Lagos, Nigeria</t>
  </si>
  <si>
    <t xml:space="preserve">+2348023187506</t>
  </si>
  <si>
    <t xml:space="preserve">http://mclsolutionslimited.com/</t>
  </si>
  <si>
    <t xml:space="preserve">https://www.google.com/maps/place/?q=place_id:ChIJ_xWrZ4-NOxARoA5pgy7pbH0</t>
  </si>
  <si>
    <t xml:space="preserve">McTimothy Associates Consulting</t>
  </si>
  <si>
    <t xml:space="preserve">9B Ololade Odeyemi Cl</t>
  </si>
  <si>
    <t xml:space="preserve">9B Ololade Odeyemi Cl, Anthony, Lagos 100234</t>
  </si>
  <si>
    <t xml:space="preserve">+2347034854045</t>
  </si>
  <si>
    <t xml:space="preserve">Messrs Wale Fadipe &amp; Co. (Legal Practitioners &amp; Notaries)</t>
  </si>
  <si>
    <t xml:space="preserve">Legal services</t>
  </si>
  <si>
    <t xml:space="preserve">+2348169836555</t>
  </si>
  <si>
    <t xml:space="preserve">https://www.walefadipeandco.com/</t>
  </si>
  <si>
    <t xml:space="preserve">https://www.google.com/maps/place/?q=place_id:ChIJtyAZrIiNOxARxVncWZIbdpc</t>
  </si>
  <si>
    <t xml:space="preserve">Mintyfield Global</t>
  </si>
  <si>
    <t xml:space="preserve">55 Adebayo Mokuolu Street</t>
  </si>
  <si>
    <t xml:space="preserve">55 Adebayo Mokuolu Street, Anthony Village, Lagos</t>
  </si>
  <si>
    <t xml:space="preserve">+2347038280675</t>
  </si>
  <si>
    <t xml:space="preserve">Motak Insurance Brokers Ltd</t>
  </si>
  <si>
    <t xml:space="preserve">272 Ikorodu Rd</t>
  </si>
  <si>
    <t xml:space="preserve">272 Ikorodu Rd, opposite JKK building, Anthony, Lagos 102216, Lagos, Nigeria</t>
  </si>
  <si>
    <t xml:space="preserve">+2348067734700</t>
  </si>
  <si>
    <t xml:space="preserve">https://www.google.com/maps/place/?q=place_id:ChIJF1ZpwpCNOxARSEBR2MyjvsE</t>
  </si>
  <si>
    <t xml:space="preserve">National Institute Of Marketing Of Nigeria (Nimn)</t>
  </si>
  <si>
    <t xml:space="preserve">302</t>
  </si>
  <si>
    <t xml:space="preserve">Consultant</t>
  </si>
  <si>
    <t xml:space="preserve">302, Niger Insurance House, 304 Ikorodu Rd, Kosofe, Lagos 100232, Lagos, Nigeria</t>
  </si>
  <si>
    <t xml:space="preserve">https://www.google.com/maps/place/?q=place_id:ChIJcZWq9u-NOxARMznhUfZqYFg</t>
  </si>
  <si>
    <t xml:space="preserve">Niger Insurance</t>
  </si>
  <si>
    <t xml:space="preserve">Insurance</t>
  </si>
  <si>
    <t xml:space="preserve">Oludare Okusanya &amp; Associates</t>
  </si>
  <si>
    <t xml:space="preserve">+2348034622910</t>
  </si>
  <si>
    <t xml:space="preserve">https://www.google.com/maps/place/?q=place_id:ChIJV7F3l4WNOxARAsXDzFBf4eE</t>
  </si>
  <si>
    <t xml:space="preserve">Orbis Legal NG</t>
  </si>
  <si>
    <t xml:space="preserve">1B Sawyerr Cl</t>
  </si>
  <si>
    <t xml:space="preserve">1B Sawyerr Cl, beside Corona Primary School, Lagos Mainland, Lagos 100001, Lagos, Nigeria</t>
  </si>
  <si>
    <t xml:space="preserve">+2348101962974</t>
  </si>
  <si>
    <t xml:space="preserve">https://www.google.com/maps/place/?q=place_id:ChIJabhMLR6NOxARG4oj91Tl1cI</t>
  </si>
  <si>
    <t xml:space="preserve">Parlance PS</t>
  </si>
  <si>
    <t xml:space="preserve">Lagos Brigade</t>
  </si>
  <si>
    <t xml:space="preserve">Lagos Brigade, 12 Odofin Oyero Dr, Anthony, Lagos 100232, Lagos, Nigeria</t>
  </si>
  <si>
    <t xml:space="preserve">+2348030851455</t>
  </si>
  <si>
    <t xml:space="preserve">https://www.google.com/maps/place/?q=place_id:ChIJ9yKQ8YWNOxARYWkVl0lRJSo</t>
  </si>
  <si>
    <t xml:space="preserve">Peewee Styles</t>
  </si>
  <si>
    <t xml:space="preserve">14 Olorunlogbon Street</t>
  </si>
  <si>
    <t xml:space="preserve">14 Olorunlogbon Street, Anthony Village, Lagos</t>
  </si>
  <si>
    <t xml:space="preserve">+2348022226392</t>
  </si>
  <si>
    <t xml:space="preserve">PREMIER MEDICAID (NIG) LIMITED</t>
  </si>
  <si>
    <t xml:space="preserve">+2347061017669</t>
  </si>
  <si>
    <t xml:space="preserve">https://www.google.com/maps/place/?q=place_id:ChIJMaKLOo-NOxARmqBObBYqGsQ</t>
  </si>
  <si>
    <t xml:space="preserve">Remoik</t>
  </si>
  <si>
    <t xml:space="preserve">70B Olorunlogbon Street</t>
  </si>
  <si>
    <t xml:space="preserve">70B Olorunlogbon Street, Anthony Village, Lagos</t>
  </si>
  <si>
    <t xml:space="preserve">+2348066559530</t>
  </si>
  <si>
    <t xml:space="preserve">Robins Begg Consulting Limited</t>
  </si>
  <si>
    <t xml:space="preserve">9 Oyedele Ogunniyi Street</t>
  </si>
  <si>
    <t xml:space="preserve">9 Oyedele Ogunniyi Street, Anthony Village, Kosofe Lagos</t>
  </si>
  <si>
    <t xml:space="preserve">+2348033087178</t>
  </si>
  <si>
    <t xml:space="preserve">Samco Plumbing Works</t>
  </si>
  <si>
    <t xml:space="preserve">14 Olorunlogbon Street Lagos</t>
  </si>
  <si>
    <t xml:space="preserve">14 Olorunlogbon Street Lagos, Anthony, Village, Lagos, Nigeria</t>
  </si>
  <si>
    <t xml:space="preserve">+2348029767847</t>
  </si>
  <si>
    <t xml:space="preserve">https://www.google.com/maps/place/?q=place_id:ChIJwcOWpLyNOxARQroSzxJgtVQ</t>
  </si>
  <si>
    <t xml:space="preserve">Sedge Global Services</t>
  </si>
  <si>
    <t xml:space="preserve">270 Ikorodu Road</t>
  </si>
  <si>
    <t xml:space="preserve">270 Ikorodu Road, Anthony Village, Lagos Nigeria</t>
  </si>
  <si>
    <t xml:space="preserve">+2348117876802</t>
  </si>
  <si>
    <t xml:space="preserve">SterlingPro Business Applications Limited</t>
  </si>
  <si>
    <t xml:space="preserve">15-17 Bush Street</t>
  </si>
  <si>
    <t xml:space="preserve">15-17 Bush Street, Anthony, Lagos 100001</t>
  </si>
  <si>
    <t xml:space="preserve">+2348077394817</t>
  </si>
  <si>
    <t xml:space="preserve">Stransact Global</t>
  </si>
  <si>
    <t xml:space="preserve">Plot 126</t>
  </si>
  <si>
    <t xml:space="preserve">Plot 126, Primate Adejobi Crescent, Anthony Village, Lagos, Nigeria</t>
  </si>
  <si>
    <t xml:space="preserve">+2348021811117</t>
  </si>
  <si>
    <t xml:space="preserve">Sunlight Insurance Broker</t>
  </si>
  <si>
    <t xml:space="preserve">272</t>
  </si>
  <si>
    <t xml:space="preserve">272, ikorodu road, close to mobil filling station, obanikoro Lagos Onigbongbo, Anthony, Lagos, Nigeria</t>
  </si>
  <si>
    <t xml:space="preserve">+2349061411639</t>
  </si>
  <si>
    <t xml:space="preserve">https://www.google.com/maps/place/?q=place_id:ChIJC_nVu7aNOxARtDGh9xfDmVg</t>
  </si>
  <si>
    <t xml:space="preserve">Sury Insurance Brokers Limited</t>
  </si>
  <si>
    <t xml:space="preserve">298 Ikorodu Rd</t>
  </si>
  <si>
    <t xml:space="preserve">298 Ikorodu Rd, Anthony Village Rd, Anthony, Lagos 105102, Lagos, Nigeria</t>
  </si>
  <si>
    <t xml:space="preserve">+2348026117016</t>
  </si>
  <si>
    <t xml:space="preserve">https://www.google.com/maps/place/?q=place_id:ChIJabK_DI-NOxARDH_xTgzBeOQ</t>
  </si>
  <si>
    <t xml:space="preserve">Tajudeen Adewale Olayinka &amp; Co</t>
  </si>
  <si>
    <t xml:space="preserve">306</t>
  </si>
  <si>
    <t xml:space="preserve">306, Ikorodu Road (Theodolite House) 2nd Floor, Front Wing, Anthony, Lagos, Nigeria</t>
  </si>
  <si>
    <t xml:space="preserve">+2348033243902</t>
  </si>
  <si>
    <t xml:space="preserve">http://taoaccountants.com/</t>
  </si>
  <si>
    <t xml:space="preserve">https://www.google.com/maps/place/?q=place_id:ChIJA9dyBo-NOxAR7LYP6ze96EM</t>
  </si>
  <si>
    <t xml:space="preserve">Technique Insurance Brokers</t>
  </si>
  <si>
    <t xml:space="preserve">Anthony Bus Stop</t>
  </si>
  <si>
    <t xml:space="preserve">Anthony Bus Stop, 302/304 Ikorodu Rd, Somolu, Lagos 100232, Lagos, Nigeria</t>
  </si>
  <si>
    <t xml:space="preserve">+2348029313093</t>
  </si>
  <si>
    <t xml:space="preserve">https://www.google.com/maps/place/?q=place_id:ChIJ9WfqbUuNOxAR5n19gYYhKes</t>
  </si>
  <si>
    <t xml:space="preserve">Tom Associates</t>
  </si>
  <si>
    <t xml:space="preserve">5/7 Alade Lawal Street</t>
  </si>
  <si>
    <t xml:space="preserve">5/7 Alade Lawal Street, Opposite Anthony Police Station, Idi-Iroko Anthony Village, Lagos Nigeria</t>
  </si>
  <si>
    <t xml:space="preserve">+2348033019120</t>
  </si>
  <si>
    <t xml:space="preserve">UniCourage</t>
  </si>
  <si>
    <t xml:space="preserve">2 Fawole Ln</t>
  </si>
  <si>
    <t xml:space="preserve">2 Fawole Ln, Anthony, Lagos 100232</t>
  </si>
  <si>
    <t xml:space="preserve">+2348025550500</t>
  </si>
  <si>
    <t xml:space="preserve">A J Auto Mobile</t>
  </si>
  <si>
    <t xml:space="preserve">14 Kolawole Shonibare St</t>
  </si>
  <si>
    <t xml:space="preserve">14 Kolawole Shonibare St, Anthony Village, Lagos 102215, Lagos, Nigeria</t>
  </si>
  <si>
    <t xml:space="preserve">+2348023796137</t>
  </si>
  <si>
    <t xml:space="preserve">https://www.google.com/maps/place/?q=place_id:ChIJQyVpk2uPOxARlMaNS-UmcHY</t>
  </si>
  <si>
    <t xml:space="preserve">Autoprime Nigeria Limited</t>
  </si>
  <si>
    <t xml:space="preserve">9 Anthony Road</t>
  </si>
  <si>
    <t xml:space="preserve">Automotive</t>
  </si>
  <si>
    <t xml:space="preserve">9 Anthony Road, Anthony Village, Lagos Mainland</t>
  </si>
  <si>
    <t xml:space="preserve">+2348033060237</t>
  </si>
  <si>
    <t xml:space="preserve">https://www.google.com/maps/place/?q=place_id:ChIJBYLDgIWNOxARRPpLpxJ-WeQ</t>
  </si>
  <si>
    <t xml:space="preserve">Baslad Catering Service</t>
  </si>
  <si>
    <t xml:space="preserve">22 Olorunlogbon St</t>
  </si>
  <si>
    <t xml:space="preserve">Parking garage</t>
  </si>
  <si>
    <t xml:space="preserve">22 Olorunlogbon St, Anthony, Lagos 105102, Lagos, Nigeria</t>
  </si>
  <si>
    <t xml:space="preserve">https://www.google.com/maps/place/?q=place_id:ChIJrR2cFoCNOxARNrGAMb0Dy2U</t>
  </si>
  <si>
    <t xml:space="preserve">Car hug car wash and bar</t>
  </si>
  <si>
    <t xml:space="preserve">19c Sylvia Cres</t>
  </si>
  <si>
    <t xml:space="preserve">Car wash</t>
  </si>
  <si>
    <t xml:space="preserve">19c Sylvia Cres, Anthony, Lagos 105102, Lagos, Nigeria</t>
  </si>
  <si>
    <t xml:space="preserve">https://www.google.com/maps/place/?q=place_id:ChIJIdQ4RgCNOxARfyVmIlczvrA</t>
  </si>
  <si>
    <t xml:space="preserve">Carhug Lounge And Bar/Auto Detailing</t>
  </si>
  <si>
    <t xml:space="preserve">+2349040002915</t>
  </si>
  <si>
    <t xml:space="preserve">https://www.google.com/maps/place/?q=place_id:ChIJeZ_ZlE2NOxAR4-F2tjxbkk0</t>
  </si>
  <si>
    <t xml:space="preserve">Forte Automobile</t>
  </si>
  <si>
    <t xml:space="preserve">Trem Drive</t>
  </si>
  <si>
    <t xml:space="preserve">Plot 146/22 Trem Drive, Anthony Oke, Gbagada - Oworonshoki Expy, Lagos 100234, Lagos, Nigeria</t>
  </si>
  <si>
    <t xml:space="preserve">+2348056011960</t>
  </si>
  <si>
    <t xml:space="preserve">https://www.google.com/maps/place/?q=place_id:ChIJQSRntDCNOxARWMNMIhsNH6g</t>
  </si>
  <si>
    <t xml:space="preserve">Hameed Auto Technology</t>
  </si>
  <si>
    <t xml:space="preserve">+2348033069241</t>
  </si>
  <si>
    <t xml:space="preserve">Honey Boom Catering And Services</t>
  </si>
  <si>
    <t xml:space="preserve">20 Olorunlogbon St, Lagos, Ikeja 105102, Lagos, Nigeria</t>
  </si>
  <si>
    <t xml:space="preserve">+2347084335340</t>
  </si>
  <si>
    <t xml:space="preserve">https://www.google.com/maps/place/?q=place_id:ChIJOeciJmCNOxAR9lEtm7hDC5g</t>
  </si>
  <si>
    <t xml:space="preserve">Mahindra</t>
  </si>
  <si>
    <t xml:space="preserve">290 Ikorodu Road</t>
  </si>
  <si>
    <t xml:space="preserve">290 Ikorodu Road, Anthony, Lagos</t>
  </si>
  <si>
    <t xml:space="preserve">Mike's Autofix Limited</t>
  </si>
  <si>
    <t xml:space="preserve">20 Primate Adejobi Cres</t>
  </si>
  <si>
    <t xml:space="preserve">Car repair and maintenance service</t>
  </si>
  <si>
    <t xml:space="preserve">20 Primate Adejobi Cres, Aladura Estate</t>
  </si>
  <si>
    <t xml:space="preserve">+2348033337264</t>
  </si>
  <si>
    <t xml:space="preserve">Motorcycle Mechanic Workshop</t>
  </si>
  <si>
    <t xml:space="preserve">H95C+J36</t>
  </si>
  <si>
    <t xml:space="preserve">Car inspection station</t>
  </si>
  <si>
    <t xml:space="preserve">H95C+J36, Anthony Village, Lagos 105102, Lagos, Nigeria</t>
  </si>
  <si>
    <t xml:space="preserve">https://www.google.com/maps/place/?q=place_id:ChIJ78SGdYWNOxARnD8qMseY_4Q</t>
  </si>
  <si>
    <t xml:space="preserve">Muideen Automobile Workshop</t>
  </si>
  <si>
    <t xml:space="preserve">221 Lagos Rd</t>
  </si>
  <si>
    <t xml:space="preserve">221 Lagos Rd, Lagos, Ikorodu 102215, Lagos, Nigeria</t>
  </si>
  <si>
    <t xml:space="preserve">https://www.google.com/maps/place/?q=place_id:ChIJ6af7aWyNOxARyuWMDAde_Ag</t>
  </si>
  <si>
    <t xml:space="preserve">Oluwasanjo Panel Beater</t>
  </si>
  <si>
    <t xml:space="preserve">Mechanic Village</t>
  </si>
  <si>
    <t xml:space="preserve">Mechanic Village, Impressive Cl, Omole Phase 1, Lagos 102216, Lagos, Nigeria</t>
  </si>
  <si>
    <t xml:space="preserve">+2348052021182</t>
  </si>
  <si>
    <t xml:space="preserve">https://www.google.com/maps/place/?q=place_id:ChIJRxibi36NOxARroJ7KxG3310</t>
  </si>
  <si>
    <t xml:space="preserve">Sir Henry Auto</t>
  </si>
  <si>
    <t xml:space="preserve">1A Thomas Laniyan Street</t>
  </si>
  <si>
    <t xml:space="preserve">1A Thomas Laniyan Street, Off Idiroko Bus-stop, Anthony Village, Lagos</t>
  </si>
  <si>
    <t xml:space="preserve">+2348033036167</t>
  </si>
  <si>
    <t xml:space="preserve">Sparrow Car Wash System</t>
  </si>
  <si>
    <t xml:space="preserve">19B Olatunde Ayoola Ave</t>
  </si>
  <si>
    <t xml:space="preserve">19B Olatunde Ayoola Ave, Street, Lagos 102216, Lagos, Nigeria</t>
  </si>
  <si>
    <t xml:space="preserve">+2348058521127</t>
  </si>
  <si>
    <t xml:space="preserve">http://sparrowscws.com/</t>
  </si>
  <si>
    <t xml:space="preserve">https://www.google.com/maps/place/?q=place_id:ChIJ5QRwIJCNOxAR4y2d0SANvzo</t>
  </si>
  <si>
    <t xml:space="preserve">SUPREME WASH</t>
  </si>
  <si>
    <t xml:space="preserve">2B Williams Carew St</t>
  </si>
  <si>
    <t xml:space="preserve">2B Williams Carew St, Anthony, Lagos 388818, Lagos, Nigeria</t>
  </si>
  <si>
    <t xml:space="preserve">+2347010601569</t>
  </si>
  <si>
    <t xml:space="preserve">https://www.google.com/maps/place/?q=place_id:ChIJJVzedR-TOxAR-8dw27HPsz4</t>
  </si>
  <si>
    <t xml:space="preserve">Tyre plug</t>
  </si>
  <si>
    <t xml:space="preserve">14 Adebayo Mokuolu St</t>
  </si>
  <si>
    <t xml:space="preserve">14 Adebayo Mokuolu St, Anthony, Lagos 105102, Lagos, Nigeria</t>
  </si>
  <si>
    <t xml:space="preserve">https://www.google.com/maps/place/?q=place_id:ChIJQ6N2WQCNOxARSFE4ZfN4vkU</t>
  </si>
  <si>
    <t xml:space="preserve">UBER Inspection Centre and Registration (FASHIANO Solutions)</t>
  </si>
  <si>
    <t xml:space="preserve">5 Thomas Laniyan St</t>
  </si>
  <si>
    <t xml:space="preserve">+2348029588331</t>
  </si>
  <si>
    <t xml:space="preserve">Vip Merchandise Enterprises</t>
  </si>
  <si>
    <t xml:space="preserve">292 Ikorodu-Ososun Road</t>
  </si>
  <si>
    <t xml:space="preserve">292 Ikorodu-Ososun Road, Anthony Village, Lagos</t>
  </si>
  <si>
    <t xml:space="preserve">+2347028024850</t>
  </si>
  <si>
    <t xml:space="preserve">Wheels Autos uber &amp; bolt Inspection centre</t>
  </si>
  <si>
    <t xml:space="preserve">Adebayo Mokuolu St, Kosofe, Lagos 105102, Lagos, Nigeria</t>
  </si>
  <si>
    <t xml:space="preserve">+2349011388074</t>
  </si>
  <si>
    <t xml:space="preserve">https://www.google.com/maps/place/?q=place_id:ChIJ379wvSmNOxARU1I-a3RIUh8</t>
  </si>
  <si>
    <t xml:space="preserve">Ambi-chez Mobile Bar Services &amp; Event Management</t>
  </si>
  <si>
    <t xml:space="preserve">Shodex Garden Ilupeju Lagos</t>
  </si>
  <si>
    <t xml:space="preserve">Event management company</t>
  </si>
  <si>
    <t xml:space="preserve">Shodex Garden Ilupeju Lagos, Village Ilipeju Lagos NG, 251/253 Ikorodu Rd, Anthony, Ikeja 100232, Lagos, Nigeria</t>
  </si>
  <si>
    <t xml:space="preserve">+2348032326310</t>
  </si>
  <si>
    <t xml:space="preserve">https://www.google.com/maps/place/?q=place_id:ChIJ4wH5ZfWNOxAR9_sUzNoIe64</t>
  </si>
  <si>
    <t xml:space="preserve">Amons bar</t>
  </si>
  <si>
    <t xml:space="preserve">Bar</t>
  </si>
  <si>
    <t xml:space="preserve">3 Bola St, Kosofe, Lagos 105102, Lagos, Nigeria</t>
  </si>
  <si>
    <t xml:space="preserve">https://www.google.com/maps/place/?q=place_id:ChIJFUwgISWTOxARGR94sgUEHtE</t>
  </si>
  <si>
    <t xml:space="preserve">Breezy Photo Studios</t>
  </si>
  <si>
    <t xml:space="preserve">Photography</t>
  </si>
  <si>
    <t xml:space="preserve">Breezy Photo Studios Lagos, Nigeria</t>
  </si>
  <si>
    <t xml:space="preserve">Photography studio</t>
  </si>
  <si>
    <t xml:space="preserve">+2349131196867</t>
  </si>
  <si>
    <t xml:space="preserve">https://www.breezystudio.com.ng/</t>
  </si>
  <si>
    <t xml:space="preserve">https://www.google.com/maps/place/?q=place_id:ChIJUaNllYWNOxART2baJDcuHkk</t>
  </si>
  <si>
    <t xml:space="preserve">Cameraboss Multimedia</t>
  </si>
  <si>
    <t xml:space="preserve">Idi-iroko</t>
  </si>
  <si>
    <t xml:space="preserve">Wedding photographer</t>
  </si>
  <si>
    <t xml:space="preserve">Idi-iroko, Plot 1 Thomas Laniyan St</t>
  </si>
  <si>
    <t xml:space="preserve">+2348077669339</t>
  </si>
  <si>
    <t xml:space="preserve">Codac imaging &amp; press</t>
  </si>
  <si>
    <t xml:space="preserve">30A Oseni St</t>
  </si>
  <si>
    <t xml:space="preserve">Photo lab</t>
  </si>
  <si>
    <t xml:space="preserve">30A Oseni St, Anthony, Lagos 105102, Lagos, Nigeria</t>
  </si>
  <si>
    <t xml:space="preserve">+2348099009996</t>
  </si>
  <si>
    <t xml:space="preserve">https://www.google.com/maps/place/?q=place_id:ChIJ4VXZI0aNOxARqToiOD4Ej4k</t>
  </si>
  <si>
    <t xml:space="preserve">Diamond Services Event</t>
  </si>
  <si>
    <t xml:space="preserve">3 Sylvia Cres</t>
  </si>
  <si>
    <t xml:space="preserve">Event planner</t>
  </si>
  <si>
    <t xml:space="preserve">3 Sylvia Cres, Anthony, Lagos 100232, Lagos, Nigeria</t>
  </si>
  <si>
    <t xml:space="preserve">+2348070965728</t>
  </si>
  <si>
    <t xml:space="preserve">https://www.google.com/maps/place/?q=place_id:ChIJW3FhqN-NOxAROvk1dD_e4R8</t>
  </si>
  <si>
    <t xml:space="preserve">Echo Studio</t>
  </si>
  <si>
    <t xml:space="preserve">H968+9V9</t>
  </si>
  <si>
    <t xml:space="preserve">H968+9V9, Akinmade St, Anthony, Lagos 105102, Lagos, Nigeria</t>
  </si>
  <si>
    <t xml:space="preserve">https://www.google.com/maps/place/?q=place_id:ChIJC35rcgCNOxARpCsa4QhtHrU</t>
  </si>
  <si>
    <t xml:space="preserve">Epicentre Global Events</t>
  </si>
  <si>
    <t xml:space="preserve">42 Olorunlogbon St</t>
  </si>
  <si>
    <t xml:space="preserve">Corporate office</t>
  </si>
  <si>
    <t xml:space="preserve">42 Olorunlogbon St, Anthony, Lagos 105102, Lagos, Nigeria</t>
  </si>
  <si>
    <t xml:space="preserve">+2348034727637</t>
  </si>
  <si>
    <t xml:space="preserve">https://www.google.com/maps/place/?q=place_id:ChIJecoXDIaNOxARL1jU2YVFFVI</t>
  </si>
  <si>
    <t xml:space="preserve">Four23 Photography</t>
  </si>
  <si>
    <t xml:space="preserve">30 Jide Adeniyi St</t>
  </si>
  <si>
    <t xml:space="preserve">Photography service</t>
  </si>
  <si>
    <t xml:space="preserve">30 Jide Adeniyi St, Anthony, Lagos 100232, Lagos, Nigeria</t>
  </si>
  <si>
    <t xml:space="preserve">+2348037208087</t>
  </si>
  <si>
    <t xml:space="preserve">http://four23.com.ng/</t>
  </si>
  <si>
    <t xml:space="preserve">https://www.google.com/maps/place/?q=place_id:ChIJrekghTGSOxARXC_w_6HhdYo</t>
  </si>
  <si>
    <t xml:space="preserve">Happyfacekiddiesevent</t>
  </si>
  <si>
    <t xml:space="preserve">251/253 Ikorodu Rd</t>
  </si>
  <si>
    <t xml:space="preserve">251/253 Ikorodu Rd, Anthony, Ilupeju, Lagos 100232, Lagos, Nigeria</t>
  </si>
  <si>
    <t xml:space="preserve">+2348171872043</t>
  </si>
  <si>
    <t xml:space="preserve">https://www.google.com/maps/place/?q=place_id:ChIJJxq3TJyNOxARAz-F_NIK97M</t>
  </si>
  <si>
    <t xml:space="preserve">Home Taste Lounge</t>
  </si>
  <si>
    <t xml:space="preserve">20 Kunle Adebowale St</t>
  </si>
  <si>
    <t xml:space="preserve">Restaurant / Lounge</t>
  </si>
  <si>
    <t xml:space="preserve">20 Kunle Adebowale St, Anthony, Lagos</t>
  </si>
  <si>
    <t xml:space="preserve">+2347045370382</t>
  </si>
  <si>
    <t xml:space="preserve">INSPIRATO STUDIO</t>
  </si>
  <si>
    <t xml:space="preserve">Photographer</t>
  </si>
  <si>
    <t xml:space="preserve">251/253 Ikorodu Rd, Anthony, Lagos 100232, Lagos, Nigeria</t>
  </si>
  <si>
    <t xml:space="preserve">+2349080380390</t>
  </si>
  <si>
    <t xml:space="preserve">http://www.inspirato.studio/</t>
  </si>
  <si>
    <t xml:space="preserve">https://www.google.com/maps/place/?q=place_id:ChIJkXH32dSNOxARyo0DIpT009U</t>
  </si>
  <si>
    <t xml:space="preserve">Julesco</t>
  </si>
  <si>
    <t xml:space="preserve">H959+QHC</t>
  </si>
  <si>
    <t xml:space="preserve">H959+QHC, Anthony Village Rd, Anthony, Ikeja 105102, Lagos, Nigeria</t>
  </si>
  <si>
    <t xml:space="preserve">+2348062965259</t>
  </si>
  <si>
    <t xml:space="preserve">https://www.google.com/maps/place/?q=place_id:ChIJHa-wfo-NOxARoXiuqTy9y0g</t>
  </si>
  <si>
    <t xml:space="preserve">Kelechi Amadi-Obi Studios</t>
  </si>
  <si>
    <t xml:space="preserve">15 Deji Odunuga St</t>
  </si>
  <si>
    <t xml:space="preserve">15 Deji Odunuga St, Anthony, Lagos 105102, Lagos, Nigeria</t>
  </si>
  <si>
    <t xml:space="preserve">http://www.kelechiamadiobi.com/</t>
  </si>
  <si>
    <t xml:space="preserve">https://www.google.com/maps/place/?q=place_id:ChIJg4mLmoaNOxARNAFm1By7K0M</t>
  </si>
  <si>
    <t xml:space="preserve">Koktail Republic</t>
  </si>
  <si>
    <t xml:space="preserve">18 Bola Street</t>
  </si>
  <si>
    <t xml:space="preserve">Lounges and Bars</t>
  </si>
  <si>
    <t xml:space="preserve">18 Bola Street, Anthony Village, Kosofe Lagos</t>
  </si>
  <si>
    <t xml:space="preserve">+2348092543332</t>
  </si>
  <si>
    <t xml:space="preserve">LEKAN-LINK PHOTOGRAPHY</t>
  </si>
  <si>
    <t xml:space="preserve">23 Adebayo Mokuolu St</t>
  </si>
  <si>
    <t xml:space="preserve">23 Adebayo Mokuolu St, off new castle hotel, Kosofe, Lagos 100232, Lagos, Nigeria</t>
  </si>
  <si>
    <t xml:space="preserve">https://www.google.com/maps/place/?q=place_id:ChIJcwY6zSWNOxART2kGRjnD0EA</t>
  </si>
  <si>
    <t xml:space="preserve">Link Studio</t>
  </si>
  <si>
    <t xml:space="preserve">2 Akinmade St, Lagos Mainland, Lagos 105102, Lagos, Nigeria</t>
  </si>
  <si>
    <t xml:space="preserve">https://www.google.com/maps/place/?q=place_id:ChIJd4w5SwCNOxARHfN4JOoEC1g</t>
  </si>
  <si>
    <t xml:space="preserve">Moscotech Digital Studio</t>
  </si>
  <si>
    <t xml:space="preserve">https://www.google.com/maps/place/?q=place_id:ChIJ3zmAlGCNOxARHz4B0h_6jn8</t>
  </si>
  <si>
    <t xml:space="preserve">MyYard</t>
  </si>
  <si>
    <t xml:space="preserve">Real estate rental agency</t>
  </si>
  <si>
    <t xml:space="preserve">18 Odofin Oyero Dr, Anthony, Lagos 105102, Lagos, Nigeria</t>
  </si>
  <si>
    <t xml:space="preserve">https://www.google.com/maps/place/?q=place_id:ChIJh00D8YWNOxARhGcvJeXL63o</t>
  </si>
  <si>
    <t xml:space="preserve">Olivemanuel Adejobi Hall</t>
  </si>
  <si>
    <t xml:space="preserve">6</t>
  </si>
  <si>
    <t xml:space="preserve">Event venue</t>
  </si>
  <si>
    <t xml:space="preserve">6, 8 Primate Adejobi Cres, Anthony, Lagos 100282, Lagos, Nigeria</t>
  </si>
  <si>
    <t xml:space="preserve">+2348106106993</t>
  </si>
  <si>
    <t xml:space="preserve">https://www.google.com/maps/place/?q=place_id:ChIJE42MftaNOxARROS1OS2QVj4</t>
  </si>
  <si>
    <t xml:space="preserve">Pedigree Lounge</t>
  </si>
  <si>
    <t xml:space="preserve">2 Adeteju Adeyeye Street</t>
  </si>
  <si>
    <t xml:space="preserve">2 Adeteju Adeyeye Street, Anthony Village, Lagos</t>
  </si>
  <si>
    <t xml:space="preserve">+2348020764496</t>
  </si>
  <si>
    <t xml:space="preserve">Purple Ribbons by Amy "Lekki &amp; Ikeja Event Management"</t>
  </si>
  <si>
    <t xml:space="preserve">Oyedele Ogunniyi St, Kosofe, Lagos 105102, Lagos, Nigeria</t>
  </si>
  <si>
    <t xml:space="preserve">+2348023413453</t>
  </si>
  <si>
    <t xml:space="preserve">https://sites.google.com/view/purpleribbonsbyamy/</t>
  </si>
  <si>
    <t xml:space="preserve">https://www.google.com/maps/place/?q=place_id:ChIJ82w67QGNOxARKFKHTU5FXtI</t>
  </si>
  <si>
    <t xml:space="preserve">Purple truffle Event planning and Decoration</t>
  </si>
  <si>
    <t xml:space="preserve">Wedding planner</t>
  </si>
  <si>
    <t xml:space="preserve">+2349014014640</t>
  </si>
  <si>
    <t xml:space="preserve">https://instagram.com/purpletruffle_events?igshid=YmMyMTA2M2Y=</t>
  </si>
  <si>
    <t xml:space="preserve">https://www.google.com/maps/place/?q=place_id:ChIJG_1wQ3CNOxARsIQfDSZ-89Y</t>
  </si>
  <si>
    <t xml:space="preserve">Qtos Ventures</t>
  </si>
  <si>
    <t xml:space="preserve">+2348023301140</t>
  </si>
  <si>
    <t xml:space="preserve">https://www.google.com/maps/place/?q=place_id:ChIJp5RXioWNOxARuyse0on4U9w</t>
  </si>
  <si>
    <t xml:space="preserve">Studio 24 Anthony</t>
  </si>
  <si>
    <t xml:space="preserve">8 Anthony Village Rd, 105102, opposite GTB, Anthony, Lagos 105102, Lagos, Nigeria</t>
  </si>
  <si>
    <t xml:space="preserve">+2349169829320</t>
  </si>
  <si>
    <t xml:space="preserve">http://www.studio24nigeria.com/</t>
  </si>
  <si>
    <t xml:space="preserve">https://www.google.com/maps/place/?q=place_id:ChIJYS3a5XyNOxARbaJDf2pzxV8</t>
  </si>
  <si>
    <t xml:space="preserve">Studio Fierce</t>
  </si>
  <si>
    <t xml:space="preserve">+2349066369309</t>
  </si>
  <si>
    <t xml:space="preserve">https://www.google.com/maps/place/?q=place_id:ChIJxyJAVGqNOxARVHPpP9DG3gU</t>
  </si>
  <si>
    <t xml:space="preserve">The Pixxel Factory</t>
  </si>
  <si>
    <t xml:space="preserve">2/5 Idowu Ajao Street, Ajao Estate, Anthony Village</t>
  </si>
  <si>
    <t xml:space="preserve">+2348096630190</t>
  </si>
  <si>
    <t xml:space="preserve">The Village lounge</t>
  </si>
  <si>
    <t xml:space="preserve">7 Okunfolami St</t>
  </si>
  <si>
    <t xml:space="preserve">Lounges / Bars</t>
  </si>
  <si>
    <t xml:space="preserve">7 Okunfolami St, beside Diamond Hotel, Anthony Village, Lagos 105102</t>
  </si>
  <si>
    <t xml:space="preserve">+2349132341220</t>
  </si>
  <si>
    <t xml:space="preserve">Divine favour grocery store and catering services</t>
  </si>
  <si>
    <t xml:space="preserve">Catering food and drink supplier</t>
  </si>
  <si>
    <t xml:space="preserve">21 Olorunlogbon St, Anthony village, Lagos 100001, Lagos, Nigeria</t>
  </si>
  <si>
    <t xml:space="preserve">+2348033553857</t>
  </si>
  <si>
    <t xml:space="preserve">https://www.instagram.com/devinefavourstor?igsh=MXhkM21vdWozdmFxNQ==</t>
  </si>
  <si>
    <t xml:space="preserve">https://www.google.com/maps/place/?q=place_id:ChIJ25XvPQCNOxARmdDc-0arb6g</t>
  </si>
  <si>
    <t xml:space="preserve">Home of Tasty Meals Catering ng</t>
  </si>
  <si>
    <t xml:space="preserve">63B Adebayo Mokuolu St</t>
  </si>
  <si>
    <t xml:space="preserve">Caterer</t>
  </si>
  <si>
    <t xml:space="preserve">+2348163361522</t>
  </si>
  <si>
    <t xml:space="preserve">Olufisayo Catering Service</t>
  </si>
  <si>
    <t xml:space="preserve">Catering</t>
  </si>
  <si>
    <t xml:space="preserve">Idiroko, 22 Odofin Oyero Dr, Anthony, Ikeja 105102, Lagos, Nigeria</t>
  </si>
  <si>
    <t xml:space="preserve">+2348023420927</t>
  </si>
  <si>
    <t xml:space="preserve">https://www.google.com/maps/place/?q=place_id:ChIJN4Jl-4WNOxARH3b31dU1TSo</t>
  </si>
  <si>
    <t xml:space="preserve">01 Shawarma</t>
  </si>
  <si>
    <t xml:space="preserve">1 Salami Street</t>
  </si>
  <si>
    <t xml:space="preserve">1 Salami Street, Maryland, Lagos</t>
  </si>
  <si>
    <t xml:space="preserve">+2348101247920</t>
  </si>
  <si>
    <t xml:space="preserve">01Shawarma Maryland</t>
  </si>
  <si>
    <t xml:space="preserve">1 Salami St</t>
  </si>
  <si>
    <t xml:space="preserve">24 Seasons Eatery And Bar, Maryland</t>
  </si>
  <si>
    <t xml:space="preserve">15 Adesoye St</t>
  </si>
  <si>
    <t xml:space="preserve">African finger foods</t>
  </si>
  <si>
    <t xml:space="preserve">maryland shopping mall</t>
  </si>
  <si>
    <t xml:space="preserve">African</t>
  </si>
  <si>
    <t xml:space="preserve">Alahja Salami</t>
  </si>
  <si>
    <t xml:space="preserve">Mene</t>
  </si>
  <si>
    <t xml:space="preserve">Mene, 53 Ajose St</t>
  </si>
  <si>
    <t xml:space="preserve">Alake's Place</t>
  </si>
  <si>
    <t xml:space="preserve">21 Ajose St</t>
  </si>
  <si>
    <t xml:space="preserve">Amala Bistro, Maryland Lagos</t>
  </si>
  <si>
    <t xml:space="preserve">1 Akin Adekomaya Cl</t>
  </si>
  <si>
    <t xml:space="preserve">Balangu Lagos</t>
  </si>
  <si>
    <t xml:space="preserve">Local Government</t>
  </si>
  <si>
    <t xml:space="preserve">Local Government, 15A Oduduwa way GRA, ikeja, Lagos</t>
  </si>
  <si>
    <t xml:space="preserve">Bibi's Grillhouse</t>
  </si>
  <si>
    <t xml:space="preserve">350-360 Ikorodu Rd, Anthony, Lagos</t>
  </si>
  <si>
    <t xml:space="preserve">+2348163354929</t>
  </si>
  <si>
    <t xml:space="preserve">Bungalow Restaurant Ikeja</t>
  </si>
  <si>
    <t xml:space="preserve">Burger Nation, Maryland</t>
  </si>
  <si>
    <t xml:space="preserve">Fuel Station</t>
  </si>
  <si>
    <t xml:space="preserve">NorthWest Fuel Station</t>
  </si>
  <si>
    <t xml:space="preserve">Busy Fingers Sandwiches And Fries</t>
  </si>
  <si>
    <t xml:space="preserve">350 Ikorodu Road</t>
  </si>
  <si>
    <t xml:space="preserve">350 Ikorodu Road, Maryland, Lagos</t>
  </si>
  <si>
    <t xml:space="preserve">+2348023140023</t>
  </si>
  <si>
    <t xml:space="preserve">Cafe de Viande</t>
  </si>
  <si>
    <t xml:space="preserve">4 Ebun-Otti Street</t>
  </si>
  <si>
    <t xml:space="preserve">4 Ebun-Otti Street, Maryland, Lagos</t>
  </si>
  <si>
    <t xml:space="preserve">+2349092156447</t>
  </si>
  <si>
    <t xml:space="preserve">Casablanca Restaurant Maryland</t>
  </si>
  <si>
    <t xml:space="preserve">8 Bush St</t>
  </si>
  <si>
    <t xml:space="preserve">Family-friendly</t>
  </si>
  <si>
    <t xml:space="preserve">Chadon Kitchen And Lodging</t>
  </si>
  <si>
    <t xml:space="preserve">10 Tiamiyu Olushile St</t>
  </si>
  <si>
    <t xml:space="preserve">Chadon Restaurant</t>
  </si>
  <si>
    <t xml:space="preserve">12 Tiamiyu Olushile St</t>
  </si>
  <si>
    <t xml:space="preserve">Chop Bellehfull Restaurant</t>
  </si>
  <si>
    <t xml:space="preserve">6 Olaide Benson St</t>
  </si>
  <si>
    <t xml:space="preserve">City Diner restaurant/bar/lounge</t>
  </si>
  <si>
    <t xml:space="preserve">Fine Dining</t>
  </si>
  <si>
    <t xml:space="preserve">Cold Stone Creamery - Lagos - Maryland</t>
  </si>
  <si>
    <t xml:space="preserve">340</t>
  </si>
  <si>
    <t xml:space="preserve">Ice Cream</t>
  </si>
  <si>
    <t xml:space="preserve">340, Idiroko Bus Stop, 344 Ikorodu Rd</t>
  </si>
  <si>
    <t xml:space="preserve">Cyber Cafe</t>
  </si>
  <si>
    <t xml:space="preserve">43 Sunmola Street</t>
  </si>
  <si>
    <t xml:space="preserve">Cafe</t>
  </si>
  <si>
    <t xml:space="preserve">Dady's Best Restaurant And Bar</t>
  </si>
  <si>
    <t xml:space="preserve">Onigbongbo, 2 Ajegunle St</t>
  </si>
  <si>
    <t xml:space="preserve">De Lakes Twist Eatery</t>
  </si>
  <si>
    <t xml:space="preserve">7 Sunmola Street</t>
  </si>
  <si>
    <t xml:space="preserve">7 Sunmola Street, Mende, Lagos</t>
  </si>
  <si>
    <t xml:space="preserve">DLords Restaurant &amp; Cafe</t>
  </si>
  <si>
    <t xml:space="preserve">364 Ikorodu Rd</t>
  </si>
  <si>
    <t xml:space="preserve">Soup kitchen</t>
  </si>
  <si>
    <t xml:space="preserve">Domino's Pizza - Lagos - Maryland</t>
  </si>
  <si>
    <t xml:space="preserve">Easy meal</t>
  </si>
  <si>
    <t xml:space="preserve">2 odungbesan Mende</t>
  </si>
  <si>
    <t xml:space="preserve">Eedgefoods</t>
  </si>
  <si>
    <t xml:space="preserve">Food products supplier</t>
  </si>
  <si>
    <t xml:space="preserve">Local Government, 15 Atiba Osborne Street, Mende, Maryland State, Nigeria Kosofe</t>
  </si>
  <si>
    <t xml:space="preserve">Efrebor Fast Food</t>
  </si>
  <si>
    <t xml:space="preserve">8 Bayo Adejonwo St</t>
  </si>
  <si>
    <t xml:space="preserve">Ekaette Food Canteen</t>
  </si>
  <si>
    <t xml:space="preserve">Onigbongbo, 16 Araromi St</t>
  </si>
  <si>
    <t xml:space="preserve">Euphoria Ng</t>
  </si>
  <si>
    <t xml:space="preserve">FoodPal</t>
  </si>
  <si>
    <t xml:space="preserve">1 Ibadiharan street</t>
  </si>
  <si>
    <t xml:space="preserve">Gidi Restaurant and Bar</t>
  </si>
  <si>
    <t xml:space="preserve">5 Sunmola Street</t>
  </si>
  <si>
    <t xml:space="preserve">Godswill Fast Foods</t>
  </si>
  <si>
    <t xml:space="preserve">H9C7+PH8</t>
  </si>
  <si>
    <t xml:space="preserve">H9C7+PH8, Akerele St</t>
  </si>
  <si>
    <t xml:space="preserve">Hungry Dolphin</t>
  </si>
  <si>
    <t xml:space="preserve">382 Ikorodu Rd</t>
  </si>
  <si>
    <t xml:space="preserve">382 Ikorodu Rd, Maryland, Lagos 105102</t>
  </si>
  <si>
    <t xml:space="preserve">+2347031470616</t>
  </si>
  <si>
    <t xml:space="preserve">HungryOx</t>
  </si>
  <si>
    <t xml:space="preserve">15 Adebowale Tade Street</t>
  </si>
  <si>
    <t xml:space="preserve">IRIE Restaurent</t>
  </si>
  <si>
    <t xml:space="preserve">350</t>
  </si>
  <si>
    <t xml:space="preserve">Jamaican</t>
  </si>
  <si>
    <t xml:space="preserve">350, Maryland mall, 360 Ikorodu Rd</t>
  </si>
  <si>
    <t xml:space="preserve">Kaka's Goodies</t>
  </si>
  <si>
    <t xml:space="preserve">Idiroko busstop Onigbongbo</t>
  </si>
  <si>
    <t xml:space="preserve">Le Rendezvous Restaurant</t>
  </si>
  <si>
    <t xml:space="preserve">Olatunji House</t>
  </si>
  <si>
    <t xml:space="preserve">Olatunji House, 299 Ikorodu Rd</t>
  </si>
  <si>
    <t xml:space="preserve">Lizbid Cakes 'n' Events</t>
  </si>
  <si>
    <t xml:space="preserve">Food producer</t>
  </si>
  <si>
    <t xml:space="preserve">350 Ikorodu Rd, Onigbongbo</t>
  </si>
  <si>
    <t xml:space="preserve">Maishai</t>
  </si>
  <si>
    <t xml:space="preserve">6 Alegbe Close</t>
  </si>
  <si>
    <t xml:space="preserve">6 Alegbe Close, Maryland, Lagos</t>
  </si>
  <si>
    <t xml:space="preserve">+2347064416872</t>
  </si>
  <si>
    <t xml:space="preserve">Mama Florence Restaurant</t>
  </si>
  <si>
    <t xml:space="preserve">H9HC+274</t>
  </si>
  <si>
    <t xml:space="preserve">Mama Kemi Restaurant</t>
  </si>
  <si>
    <t xml:space="preserve">Maryland Shopping Complex</t>
  </si>
  <si>
    <t xml:space="preserve">Mama Muri Pepper Rice</t>
  </si>
  <si>
    <t xml:space="preserve">Onigbongbo, 19 Araromi St</t>
  </si>
  <si>
    <t xml:space="preserve">Mamarazzi Experience</t>
  </si>
  <si>
    <t xml:space="preserve">7 Adedotun Dina Cres</t>
  </si>
  <si>
    <t xml:space="preserve">Mandarine Restaurant</t>
  </si>
  <si>
    <t xml:space="preserve">H9F5+4VP</t>
  </si>
  <si>
    <t xml:space="preserve">H9F5+4VP, Old Secretariat Road</t>
  </si>
  <si>
    <t xml:space="preserve">Oliver Twist Restaurant and Bar</t>
  </si>
  <si>
    <t xml:space="preserve">2nd floor</t>
  </si>
  <si>
    <t xml:space="preserve">Shop 3 2nd floor, Maryland Mall</t>
  </si>
  <si>
    <t xml:space="preserve">Olivia Juice</t>
  </si>
  <si>
    <t xml:space="preserve">Orchid House Thai Restaurant - Ikeja</t>
  </si>
  <si>
    <t xml:space="preserve">Provisions store</t>
  </si>
  <si>
    <t xml:space="preserve">African goods store</t>
  </si>
  <si>
    <t xml:space="preserve">bus stop, No 1 Ijaola St</t>
  </si>
  <si>
    <t xml:space="preserve">Scoop'd Ice Cream Bar, Maryland</t>
  </si>
  <si>
    <t xml:space="preserve">Sherry's Mama's Delight</t>
  </si>
  <si>
    <t xml:space="preserve">11B Tola Adewunmi St</t>
  </si>
  <si>
    <t xml:space="preserve">Shuttles</t>
  </si>
  <si>
    <t xml:space="preserve">350, 360 Ikorodu Rd</t>
  </si>
  <si>
    <t xml:space="preserve">Solomon Kitchen</t>
  </si>
  <si>
    <t xml:space="preserve">1 Ikorodu Road</t>
  </si>
  <si>
    <t xml:space="preserve">1 Ikorodu Road, Maryland, Ikeja, Lagos</t>
  </si>
  <si>
    <t xml:space="preserve">+2348025861951</t>
  </si>
  <si>
    <t xml:space="preserve">Southlake Restaurants</t>
  </si>
  <si>
    <t xml:space="preserve">31-33 Maryland Shopping Complex</t>
  </si>
  <si>
    <t xml:space="preserve">Suite BC 31-33 Maryland Shopping Complex</t>
  </si>
  <si>
    <t xml:space="preserve">Suya Spot</t>
  </si>
  <si>
    <t xml:space="preserve">The Place Restaurant Maryland</t>
  </si>
  <si>
    <t xml:space="preserve">Maryland Mall</t>
  </si>
  <si>
    <t xml:space="preserve">Maryland Mall, Maryland, Lagos</t>
  </si>
  <si>
    <t xml:space="preserve">+2349036136896</t>
  </si>
  <si>
    <t xml:space="preserve">The Place Restaurant, Mobolaji Bank Anthony Way</t>
  </si>
  <si>
    <t xml:space="preserve">Tina's Restaurant</t>
  </si>
  <si>
    <t xml:space="preserve">13 Olaide Benson St</t>
  </si>
  <si>
    <t xml:space="preserve">Treos Chow</t>
  </si>
  <si>
    <t xml:space="preserve">15 Mende Rd</t>
  </si>
  <si>
    <t xml:space="preserve">Triple J Chinese Resturant</t>
  </si>
  <si>
    <t xml:space="preserve">Tuntun Yums (Food, Restaurants, Caterers in Lagos)</t>
  </si>
  <si>
    <t xml:space="preserve">Adora Cl</t>
  </si>
  <si>
    <t xml:space="preserve">UNIQDIETZ</t>
  </si>
  <si>
    <t xml:space="preserve">10 Olaide Benson St</t>
  </si>
  <si>
    <t xml:space="preserve">Grill</t>
  </si>
  <si>
    <t xml:space="preserve">Wow! Shawarma</t>
  </si>
  <si>
    <t xml:space="preserve">70b Olorunlogbon St</t>
  </si>
  <si>
    <t xml:space="preserve">Yin Yang Express Maryland</t>
  </si>
  <si>
    <t xml:space="preserve">Chinese</t>
  </si>
  <si>
    <t xml:space="preserve">Elomaz Hotels Maryland Ikeja</t>
  </si>
  <si>
    <t xml:space="preserve">Flora Suites</t>
  </si>
  <si>
    <t xml:space="preserve">Hotel Tropicana</t>
  </si>
  <si>
    <t xml:space="preserve">L'Eola Hotel</t>
  </si>
  <si>
    <t xml:space="preserve">La Christine Suites</t>
  </si>
  <si>
    <t xml:space="preserve">Marshal Suites Luxury Apartments</t>
  </si>
  <si>
    <t xml:space="preserve">Maxton Suites</t>
  </si>
  <si>
    <t xml:space="preserve">Mayors And Diplomats Suites Ikeja</t>
  </si>
  <si>
    <t xml:space="preserve">Mississippi Hotel</t>
  </si>
  <si>
    <t xml:space="preserve">2 Sunmola Street</t>
  </si>
  <si>
    <t xml:space="preserve">Hotel</t>
  </si>
  <si>
    <t xml:space="preserve">2 Sunmola Street, Mende, Lagos 105102</t>
  </si>
  <si>
    <t xml:space="preserve">+2348122603657</t>
  </si>
  <si>
    <t xml:space="preserve">Nestle Guesthouse</t>
  </si>
  <si>
    <t xml:space="preserve">1 Kehinde Akinsete Cl</t>
  </si>
  <si>
    <t xml:space="preserve">Planet One Hotel</t>
  </si>
  <si>
    <t xml:space="preserve">Presken Hotel @Maryland</t>
  </si>
  <si>
    <t xml:space="preserve">The Colossus Lagos</t>
  </si>
  <si>
    <t xml:space="preserve">4 Sheraton Link Rd</t>
  </si>
  <si>
    <t xml:space="preserve">4 Sheraton Link Rd, Maryland, Lagos 101233</t>
  </si>
  <si>
    <t xml:space="preserve">+2349123290018</t>
  </si>
  <si>
    <t xml:space="preserve">Willy Hotel Limited</t>
  </si>
  <si>
    <t xml:space="preserve">1x2ng</t>
  </si>
  <si>
    <t xml:space="preserve">5 Kode St</t>
  </si>
  <si>
    <t xml:space="preserve">Gym</t>
  </si>
  <si>
    <t xml:space="preserve">AOE Logistics &amp; Projects Services Ltd</t>
  </si>
  <si>
    <t xml:space="preserve">Transportation / Logistics</t>
  </si>
  <si>
    <t xml:space="preserve">1A Thomas Laniyan St, Maryland, Lagos</t>
  </si>
  <si>
    <t xml:space="preserve">+2348029187734</t>
  </si>
  <si>
    <t xml:space="preserve">Bodified by Audaces</t>
  </si>
  <si>
    <t xml:space="preserve">16 Maryland Cres</t>
  </si>
  <si>
    <t xml:space="preserve">Chichi Collections</t>
  </si>
  <si>
    <t xml:space="preserve">Maryland Mall Kosofe</t>
  </si>
  <si>
    <t xml:space="preserve">Maryland Mall Kosofe, Local</t>
  </si>
  <si>
    <t xml:space="preserve">Fuzion Fitness Centre</t>
  </si>
  <si>
    <t xml:space="preserve">2 Abiola Cl</t>
  </si>
  <si>
    <t xml:space="preserve">Institute of Registered Exercise Professionals</t>
  </si>
  <si>
    <t xml:space="preserve">19 Ikorodu Rd</t>
  </si>
  <si>
    <t xml:space="preserve">Physical fitness program</t>
  </si>
  <si>
    <t xml:space="preserve">natures own fitness &amp; wellness centre</t>
  </si>
  <si>
    <t xml:space="preserve">2 shonny highway</t>
  </si>
  <si>
    <t xml:space="preserve">2 shonny highway, Shonibare Est</t>
  </si>
  <si>
    <t xml:space="preserve">Safari Studios</t>
  </si>
  <si>
    <t xml:space="preserve">St. Paul's Anglican Church, Mende</t>
  </si>
  <si>
    <t xml:space="preserve">H9GF+QJ6</t>
  </si>
  <si>
    <t xml:space="preserve">H9GF+QJ6, Adekoya St</t>
  </si>
  <si>
    <t xml:space="preserve">The Gym at BNatural</t>
  </si>
  <si>
    <t xml:space="preserve">11 Oduduwa Way</t>
  </si>
  <si>
    <t xml:space="preserve">The Self Centre</t>
  </si>
  <si>
    <t xml:space="preserve">1 Shonibare Est</t>
  </si>
  <si>
    <t xml:space="preserve">1 Shonibare Est, Shonny Hwy</t>
  </si>
  <si>
    <t xml:space="preserve">YETTY Gym and Fitness center</t>
  </si>
  <si>
    <t xml:space="preserve">22 Ijaola St</t>
  </si>
  <si>
    <t xml:space="preserve">1505 Beauty Lounge</t>
  </si>
  <si>
    <t xml:space="preserve">01 Salami St</t>
  </si>
  <si>
    <t xml:space="preserve">Aliban Nigeria Limited</t>
  </si>
  <si>
    <t xml:space="preserve">348 Ikorodu Rd</t>
  </si>
  <si>
    <t xml:space="preserve">Asher beauty studio</t>
  </si>
  <si>
    <t xml:space="preserve">Avor beauty place</t>
  </si>
  <si>
    <t xml:space="preserve">5</t>
  </si>
  <si>
    <t xml:space="preserve">5, ijaola street onigbongbo Maryland Lagos</t>
  </si>
  <si>
    <t xml:space="preserve">Beauty Gallery Hair Saloon</t>
  </si>
  <si>
    <t xml:space="preserve">1A Onigbongbo</t>
  </si>
  <si>
    <t xml:space="preserve">1A Onigbongbo, Ijaola St, behind Keystone Bank</t>
  </si>
  <si>
    <t xml:space="preserve">Beauty Mastery Spa &amp; Skincare</t>
  </si>
  <si>
    <t xml:space="preserve">local govt</t>
  </si>
  <si>
    <t xml:space="preserve">local govt, 4 Isaac John St</t>
  </si>
  <si>
    <t xml:space="preserve">Bosbee Concept</t>
  </si>
  <si>
    <t xml:space="preserve">6B Alegbe Cl</t>
  </si>
  <si>
    <t xml:space="preserve">Bunmi Stylist</t>
  </si>
  <si>
    <t xml:space="preserve">Sunmola Street</t>
  </si>
  <si>
    <t xml:space="preserve">Commy Beauty Salon</t>
  </si>
  <si>
    <t xml:space="preserve">1 Kode St</t>
  </si>
  <si>
    <t xml:space="preserve">Curly</t>
  </si>
  <si>
    <t xml:space="preserve">cute.iclesbyibk</t>
  </si>
  <si>
    <t xml:space="preserve">mende</t>
  </si>
  <si>
    <t xml:space="preserve">Cutie make over</t>
  </si>
  <si>
    <t xml:space="preserve">48 mende street Maryland Lagos</t>
  </si>
  <si>
    <t xml:space="preserve">D.P.O Events &amp; Company</t>
  </si>
  <si>
    <t xml:space="preserve">13 Emmanuel St</t>
  </si>
  <si>
    <t xml:space="preserve">De Posh C Hairs Int'l Limited</t>
  </si>
  <si>
    <t xml:space="preserve">2 Aminu Agunbiade street</t>
  </si>
  <si>
    <t xml:space="preserve">Debbiz Hairdressing Saloon</t>
  </si>
  <si>
    <t xml:space="preserve">2 Adedotun Dina Cres</t>
  </si>
  <si>
    <t xml:space="preserve">Denze Beauty Esthetics</t>
  </si>
  <si>
    <t xml:space="preserve">13 Mende Rd</t>
  </si>
  <si>
    <t xml:space="preserve">Ebony'S Wig</t>
  </si>
  <si>
    <t xml:space="preserve">Maryland Cres</t>
  </si>
  <si>
    <t xml:space="preserve">Edith Beauty Salon</t>
  </si>
  <si>
    <t xml:space="preserve">50 Ajose St</t>
  </si>
  <si>
    <t xml:space="preserve">El'olives Beauty &amp; Clips Salon</t>
  </si>
  <si>
    <t xml:space="preserve">52</t>
  </si>
  <si>
    <t xml:space="preserve">52, Sumola street, Mende Maryland</t>
  </si>
  <si>
    <t xml:space="preserve">Esperranza beauty</t>
  </si>
  <si>
    <t xml:space="preserve">6 Omolanke St</t>
  </si>
  <si>
    <t xml:space="preserve">Ever Living Salon</t>
  </si>
  <si>
    <t xml:space="preserve">Oningbogbo</t>
  </si>
  <si>
    <t xml:space="preserve">Oningbogbo, 5 Ijaola St</t>
  </si>
  <si>
    <t xml:space="preserve">Ewar Makeovers</t>
  </si>
  <si>
    <t xml:space="preserve">5 Maryland Shopping Complex</t>
  </si>
  <si>
    <t xml:space="preserve">Suite Bd 5 Maryland Shopping Complex</t>
  </si>
  <si>
    <t xml:space="preserve">Fay-Naturals</t>
  </si>
  <si>
    <t xml:space="preserve">18 Kajola St</t>
  </si>
  <si>
    <t xml:space="preserve">18 Kajola St, off Esubiyi Street</t>
  </si>
  <si>
    <t xml:space="preserve">Glambynicole</t>
  </si>
  <si>
    <t xml:space="preserve">Spa</t>
  </si>
  <si>
    <t xml:space="preserve">Olatunji House, Idiroko Bus Stop, 299 Ikorodu Rd</t>
  </si>
  <si>
    <t xml:space="preserve">Glory Beauty Salon</t>
  </si>
  <si>
    <t xml:space="preserve">H997+WVC</t>
  </si>
  <si>
    <t xml:space="preserve">H997+WVC, Adediran Ajao Cres</t>
  </si>
  <si>
    <t xml:space="preserve">God Own Best Beauty Salon</t>
  </si>
  <si>
    <t xml:space="preserve">23 Oke-Ita St</t>
  </si>
  <si>
    <t xml:space="preserve">GrizzyWorld Salon&amp;Spa</t>
  </si>
  <si>
    <t xml:space="preserve">Zion Plaza</t>
  </si>
  <si>
    <t xml:space="preserve">Zion Plaza, 15 Mende Rd</t>
  </si>
  <si>
    <t xml:space="preserve">Hair By Vera</t>
  </si>
  <si>
    <t xml:space="preserve">1 Tiamiyu Olushile St</t>
  </si>
  <si>
    <t xml:space="preserve">HB Salon Mende</t>
  </si>
  <si>
    <t xml:space="preserve">Maryland Mende Abbey Street</t>
  </si>
  <si>
    <t xml:space="preserve">Maryland Mende Abbey Street, Lagos</t>
  </si>
  <si>
    <t xml:space="preserve">+2348034224262</t>
  </si>
  <si>
    <t xml:space="preserve">HEAD HUNTER unisex salon and spa</t>
  </si>
  <si>
    <t xml:space="preserve">23A</t>
  </si>
  <si>
    <t xml:space="preserve">23A, Oki Lane Mende Maryland By</t>
  </si>
  <si>
    <t xml:space="preserve">House Faarii Beauty Makeover</t>
  </si>
  <si>
    <t xml:space="preserve">H9C8+M42</t>
  </si>
  <si>
    <t xml:space="preserve">H9C8+M42, Akerele St</t>
  </si>
  <si>
    <t xml:space="preserve">House of Elan</t>
  </si>
  <si>
    <t xml:space="preserve">5 Aina Eleko Ln</t>
  </si>
  <si>
    <t xml:space="preserve">Jola Beauty Salon</t>
  </si>
  <si>
    <t xml:space="preserve">H9CC+V49</t>
  </si>
  <si>
    <t xml:space="preserve">H9CC+V49, Mary Land, Abbey Street</t>
  </si>
  <si>
    <t xml:space="preserve">Jopat Beauties Spa and Unisex Salon</t>
  </si>
  <si>
    <t xml:space="preserve">15 Sunmola Street</t>
  </si>
  <si>
    <t xml:space="preserve">Joy Beauty Salon</t>
  </si>
  <si>
    <t xml:space="preserve">. 185</t>
  </si>
  <si>
    <t xml:space="preserve">Shop No. 185, Onigbongbo Market, Shonny Hwy</t>
  </si>
  <si>
    <t xml:space="preserve">JushPaul Signature</t>
  </si>
  <si>
    <t xml:space="preserve">10 Ajose St</t>
  </si>
  <si>
    <t xml:space="preserve">K. B Beauty Saloon</t>
  </si>
  <si>
    <t xml:space="preserve">16 Mende Rd</t>
  </si>
  <si>
    <t xml:space="preserve">16 Mende Rd, Adejonwon St</t>
  </si>
  <si>
    <t xml:space="preserve">Kaffy Beauty Salon</t>
  </si>
  <si>
    <t xml:space="preserve">10 Ajegunle St</t>
  </si>
  <si>
    <t xml:space="preserve">Keerah signature</t>
  </si>
  <si>
    <t xml:space="preserve">11 Olaide Benson St</t>
  </si>
  <si>
    <t xml:space="preserve">Kemmon Beauty Saloon</t>
  </si>
  <si>
    <t xml:space="preserve">Off Ijaola Street</t>
  </si>
  <si>
    <t xml:space="preserve">Off Ijaola Street, Onigbongbo, 28 Ibadiaran St</t>
  </si>
  <si>
    <t xml:space="preserve">Kiki hair beauty saloon</t>
  </si>
  <si>
    <t xml:space="preserve">15 Ajegunle St</t>
  </si>
  <si>
    <t xml:space="preserve">KiQwins Experience</t>
  </si>
  <si>
    <t xml:space="preserve">6 Idumobi St</t>
  </si>
  <si>
    <t xml:space="preserve">6 Idumobi St, Mende, Lagos 105102</t>
  </si>
  <si>
    <t xml:space="preserve">+2349049559564</t>
  </si>
  <si>
    <t xml:space="preserve">LA ZAHRA BEAUTY EMPIRE</t>
  </si>
  <si>
    <t xml:space="preserve">11 Oduduwa way</t>
  </si>
  <si>
    <t xml:space="preserve">11 Oduduwa way, GRA Ikeja Lagos</t>
  </si>
  <si>
    <t xml:space="preserve">Lady K Haircare Salon</t>
  </si>
  <si>
    <t xml:space="preserve">. 6 Onigbongbo Market</t>
  </si>
  <si>
    <t xml:space="preserve">Shop No. 6 Onigbongbo Market</t>
  </si>
  <si>
    <t xml:space="preserve">LadyB beauty and cosmetics salon</t>
  </si>
  <si>
    <t xml:space="preserve">3 Igbile St</t>
  </si>
  <si>
    <t xml:space="preserve">Lillygold cosmetic and organic skincare</t>
  </si>
  <si>
    <t xml:space="preserve">Lily beauty makeover</t>
  </si>
  <si>
    <t xml:space="preserve">20 ajose street mende Maryland lagos</t>
  </si>
  <si>
    <t xml:space="preserve">Lis Beauty Saloon</t>
  </si>
  <si>
    <t xml:space="preserve">6 Ade Jowon Street</t>
  </si>
  <si>
    <t xml:space="preserve">Lisfga Beauty Salon</t>
  </si>
  <si>
    <t xml:space="preserve">1 Aina Eleko St</t>
  </si>
  <si>
    <t xml:space="preserve">Lolly Beauty Salon</t>
  </si>
  <si>
    <t xml:space="preserve">Onigbongbo, Maryland, 2 Ibadiaran St</t>
  </si>
  <si>
    <t xml:space="preserve">M M Saloon</t>
  </si>
  <si>
    <t xml:space="preserve">Onigbongbo, 23 Ibadiaran St</t>
  </si>
  <si>
    <t xml:space="preserve">Maggi Hair Salon</t>
  </si>
  <si>
    <t xml:space="preserve">. 9</t>
  </si>
  <si>
    <t xml:space="preserve">Shop No. 9, Onigbongbo Market, Akerele St</t>
  </si>
  <si>
    <t xml:space="preserve">Makibest Make-Up &amp; Salon</t>
  </si>
  <si>
    <t xml:space="preserve">H9G9+26P</t>
  </si>
  <si>
    <t xml:space="preserve">H9G9+26P, Emmanuel St</t>
  </si>
  <si>
    <t xml:space="preserve">Mercy Of God Beauty Saloon</t>
  </si>
  <si>
    <t xml:space="preserve">21 Onigbongbo</t>
  </si>
  <si>
    <t xml:space="preserve">21 Onigbongbo, Kojola Street</t>
  </si>
  <si>
    <t xml:space="preserve">Miracle Salon</t>
  </si>
  <si>
    <t xml:space="preserve">Onigbongbo Maryland</t>
  </si>
  <si>
    <t xml:space="preserve">Onigbongbo Maryland, 18 Ibadiaran St</t>
  </si>
  <si>
    <t xml:space="preserve">Momil Essentials</t>
  </si>
  <si>
    <t xml:space="preserve">32 Sunmola Street</t>
  </si>
  <si>
    <t xml:space="preserve">Moshas World Beauty Services</t>
  </si>
  <si>
    <t xml:space="preserve">5 Aminu St</t>
  </si>
  <si>
    <t xml:space="preserve">Mosun Beauty Saloon</t>
  </si>
  <si>
    <t xml:space="preserve">14 Ajegunle St</t>
  </si>
  <si>
    <t xml:space="preserve">N.KNAILS</t>
  </si>
  <si>
    <t xml:space="preserve">No.23, ibadiran street Onigbongbo Maryland lagos Nigeria, opposite Omolanke junction Onigbongbo Ikeja</t>
  </si>
  <si>
    <t xml:space="preserve">Nu-Look Salon</t>
  </si>
  <si>
    <t xml:space="preserve">27 Sunmola Street</t>
  </si>
  <si>
    <t xml:space="preserve">Ola plus concept</t>
  </si>
  <si>
    <t xml:space="preserve">10 Omolanke St</t>
  </si>
  <si>
    <t xml:space="preserve">Perfectstopover Healthy Hair</t>
  </si>
  <si>
    <t xml:space="preserve">18B Tiamiyu Olushile Street</t>
  </si>
  <si>
    <t xml:space="preserve">18B Tiamiyu Olushile Street, near Wellness Pharmacy, Adesoye Street, Mende Maryland, Lagos</t>
  </si>
  <si>
    <t xml:space="preserve">+2347063006613</t>
  </si>
  <si>
    <t xml:space="preserve">Perfectstopover Healthy Hair Home/Trichology Clinic</t>
  </si>
  <si>
    <t xml:space="preserve">18b Tiamiyu Olushile St</t>
  </si>
  <si>
    <t xml:space="preserve">Rarebeauty Hub</t>
  </si>
  <si>
    <t xml:space="preserve">11 Adesoye St</t>
  </si>
  <si>
    <t xml:space="preserve">Remmy Salon</t>
  </si>
  <si>
    <t xml:space="preserve">25 Kajola St</t>
  </si>
  <si>
    <t xml:space="preserve">Ruthbeauty</t>
  </si>
  <si>
    <t xml:space="preserve">14 Araromi St</t>
  </si>
  <si>
    <t xml:space="preserve">Safiyat Beauty Salon</t>
  </si>
  <si>
    <t xml:space="preserve">30 Atiba Osborne St</t>
  </si>
  <si>
    <t xml:space="preserve">Saloon De Classic Unisex</t>
  </si>
  <si>
    <t xml:space="preserve">8 Ajose St</t>
  </si>
  <si>
    <t xml:space="preserve">Shalom Beauty Place</t>
  </si>
  <si>
    <t xml:space="preserve">Mende</t>
  </si>
  <si>
    <t xml:space="preserve">Mende, Ikeja, 33 Ajose St</t>
  </si>
  <si>
    <t xml:space="preserve">Shoplink Salon &amp; Spa</t>
  </si>
  <si>
    <t xml:space="preserve">Balogun Bus stop</t>
  </si>
  <si>
    <t xml:space="preserve">Balogun Bus stop, 11 Alhaja Kofoworola Crescent</t>
  </si>
  <si>
    <t xml:space="preserve">slayedbykitan</t>
  </si>
  <si>
    <t xml:space="preserve">1 Akin Adekomaya Cl, beside maryland mall</t>
  </si>
  <si>
    <t xml:space="preserve">Soojay Beauty Suites</t>
  </si>
  <si>
    <t xml:space="preserve">Fola's Place</t>
  </si>
  <si>
    <t xml:space="preserve">Fola's Place, 1 Akin Adekomaya Cl, beside Purple Mall, off Ikorodu Road</t>
  </si>
  <si>
    <t xml:space="preserve">Souirezz Nigeria Limited</t>
  </si>
  <si>
    <t xml:space="preserve">22 Odunlami Street, Anthony Village, Maryland</t>
  </si>
  <si>
    <t xml:space="preserve">+2349033873417</t>
  </si>
  <si>
    <t xml:space="preserve">T.A Elegance Unisex Salon &amp; Spa</t>
  </si>
  <si>
    <t xml:space="preserve">9</t>
  </si>
  <si>
    <t xml:space="preserve">9, Shitta Aderibigbe Street, Maryland Estate, Ikeja Lagos Ikeja</t>
  </si>
  <si>
    <t xml:space="preserve">Tessy Beauty Salon</t>
  </si>
  <si>
    <t xml:space="preserve">13 Salami St</t>
  </si>
  <si>
    <t xml:space="preserve">The Beauty Hub</t>
  </si>
  <si>
    <t xml:space="preserve">Tikavi Beauty Centre</t>
  </si>
  <si>
    <t xml:space="preserve">Ajegunle St</t>
  </si>
  <si>
    <t xml:space="preserve">Block 10 Ajegunle St</t>
  </si>
  <si>
    <t xml:space="preserve">Trendy Ladies</t>
  </si>
  <si>
    <t xml:space="preserve">H997+WVC, Ibadiaran St</t>
  </si>
  <si>
    <t xml:space="preserve">Workstation</t>
  </si>
  <si>
    <t xml:space="preserve">Lagos NG</t>
  </si>
  <si>
    <t xml:space="preserve">Coworking space</t>
  </si>
  <si>
    <t xml:space="preserve">Lagos NG, 350 - 360 Ikorodu Rd</t>
  </si>
  <si>
    <t xml:space="preserve">Base Barbing Salon</t>
  </si>
  <si>
    <t xml:space="preserve">H9CC+V49, Maryland Mende, Abbey Street</t>
  </si>
  <si>
    <t xml:space="preserve">Conception Barbing</t>
  </si>
  <si>
    <t xml:space="preserve">1, First Welder Bus Stop</t>
  </si>
  <si>
    <t xml:space="preserve">Favour Barbing Salon</t>
  </si>
  <si>
    <t xml:space="preserve">Onigbongbo, Maryland, 3 D Olayide Benson</t>
  </si>
  <si>
    <t xml:space="preserve">Femi Barbering Salon</t>
  </si>
  <si>
    <t xml:space="preserve">5 Ijaola St</t>
  </si>
  <si>
    <t xml:space="preserve">Gentlemen Quarters</t>
  </si>
  <si>
    <t xml:space="preserve">19 Aina Eleko St</t>
  </si>
  <si>
    <t xml:space="preserve">Good Day Barbing Salon</t>
  </si>
  <si>
    <t xml:space="preserve">Lion Barbing Saloon</t>
  </si>
  <si>
    <t xml:space="preserve">19 Campos St</t>
  </si>
  <si>
    <t xml:space="preserve">Nurtured Beauty Barbing Salon</t>
  </si>
  <si>
    <t xml:space="preserve">H99H+FPC</t>
  </si>
  <si>
    <t xml:space="preserve">H99H+FPC, Bamidele Adebule St</t>
  </si>
  <si>
    <t xml:space="preserve">Ori Ade Barbing Salon</t>
  </si>
  <si>
    <t xml:space="preserve">25 Oke Lane</t>
  </si>
  <si>
    <t xml:space="preserve">Prince Barbing Salon</t>
  </si>
  <si>
    <t xml:space="preserve">13 Araromi St</t>
  </si>
  <si>
    <t xml:space="preserve">Ajenifuja Clinic</t>
  </si>
  <si>
    <t xml:space="preserve">3 Ogala Street</t>
  </si>
  <si>
    <t xml:space="preserve">+23412612966</t>
  </si>
  <si>
    <t xml:space="preserve">bethphage medical centre</t>
  </si>
  <si>
    <t xml:space="preserve">12 Okugade Okunneye St</t>
  </si>
  <si>
    <t xml:space="preserve">+2348028297398</t>
  </si>
  <si>
    <t xml:space="preserve">Bumps Place &amp; Skincare Clinics</t>
  </si>
  <si>
    <t xml:space="preserve">14A Bayo Dejonwon Street</t>
  </si>
  <si>
    <t xml:space="preserve">+2348034406962</t>
  </si>
  <si>
    <t xml:space="preserve">Chion Family Medical Centre</t>
  </si>
  <si>
    <t xml:space="preserve">7 Oki Ln</t>
  </si>
  <si>
    <t xml:space="preserve">+2348052826321</t>
  </si>
  <si>
    <t xml:space="preserve">Cynosure Aesthetic Plastic Surgery Clinic</t>
  </si>
  <si>
    <t xml:space="preserve">7 Okunola Aina Street</t>
  </si>
  <si>
    <t xml:space="preserve">Beauty / Health</t>
  </si>
  <si>
    <t xml:space="preserve">7 Okunola Aina Street, Off Sunmola Street, beside Shoprite, Mende Maryland, Lagos</t>
  </si>
  <si>
    <t xml:space="preserve">+2347038332696</t>
  </si>
  <si>
    <t xml:space="preserve">Folarin Fountain Hospital</t>
  </si>
  <si>
    <t xml:space="preserve">7 Aderibigbe Shitta St</t>
  </si>
  <si>
    <t xml:space="preserve">+2348023122089</t>
  </si>
  <si>
    <t xml:space="preserve">Gladys Clinic</t>
  </si>
  <si>
    <t xml:space="preserve">3 Olaide Benson St</t>
  </si>
  <si>
    <t xml:space="preserve">+2348052053273</t>
  </si>
  <si>
    <t xml:space="preserve">Haematology Mavens Specialist Clinic</t>
  </si>
  <si>
    <t xml:space="preserve">No 1, Oguntonade Close, beside Suya Spot along Sunmola Street, by Maryland Mall</t>
  </si>
  <si>
    <t xml:space="preserve">+2348077585312</t>
  </si>
  <si>
    <t xml:space="preserve">hale</t>
  </si>
  <si>
    <t xml:space="preserve">19D Bush St</t>
  </si>
  <si>
    <t xml:space="preserve">Medical clinic</t>
  </si>
  <si>
    <t xml:space="preserve">+2348100560003</t>
  </si>
  <si>
    <t xml:space="preserve">Help Laboratories &amp; Checkup Centre</t>
  </si>
  <si>
    <t xml:space="preserve">1 Ikorodu Road, Maryland, Lagos</t>
  </si>
  <si>
    <t xml:space="preserve">+2348023092332</t>
  </si>
  <si>
    <t xml:space="preserve">IFPF Hospital</t>
  </si>
  <si>
    <t xml:space="preserve">5 Oki Ln</t>
  </si>
  <si>
    <t xml:space="preserve">IOM Migration Health Assessment Centre (MHAC), Lagos</t>
  </si>
  <si>
    <t xml:space="preserve">corner of</t>
  </si>
  <si>
    <t xml:space="preserve">corner of, 1, Isaac John Street, Oduduwa Way</t>
  </si>
  <si>
    <t xml:space="preserve">Jentoscopes Specialist ENT Clinics</t>
  </si>
  <si>
    <t xml:space="preserve">21 Okunola-Aina St</t>
  </si>
  <si>
    <t xml:space="preserve">Specialized clinic</t>
  </si>
  <si>
    <t xml:space="preserve">21 Okunola-Aina St, off Sunmola Street</t>
  </si>
  <si>
    <t xml:space="preserve">+2348034308565</t>
  </si>
  <si>
    <t xml:space="preserve">lerafia</t>
  </si>
  <si>
    <t xml:space="preserve">16B Faramobi Ajike St</t>
  </si>
  <si>
    <t xml:space="preserve">16B Faramobi Ajike St, Mende, Lagos 100232, Lagos, Nigeria</t>
  </si>
  <si>
    <t xml:space="preserve">+2347019221173</t>
  </si>
  <si>
    <t xml:space="preserve">http://lerafia.com/</t>
  </si>
  <si>
    <t xml:space="preserve">https://www.google.com/maps/place/?q=place_id:ChIJVVUlZI-NOxAR3GwGKT0SFeY</t>
  </si>
  <si>
    <t xml:space="preserve">MART Life Detox Clinic</t>
  </si>
  <si>
    <t xml:space="preserve">Yet court</t>
  </si>
  <si>
    <t xml:space="preserve">Health resort</t>
  </si>
  <si>
    <t xml:space="preserve">Yet court, 13 Maryland Cres</t>
  </si>
  <si>
    <t xml:space="preserve">Mart Medicare</t>
  </si>
  <si>
    <t xml:space="preserve">14-16 Mobolaji Bank Anthony Way</t>
  </si>
  <si>
    <t xml:space="preserve">+2348023195521</t>
  </si>
  <si>
    <t xml:space="preserve">Maryland Medical Centre</t>
  </si>
  <si>
    <t xml:space="preserve">H9G8+VPH</t>
  </si>
  <si>
    <t xml:space="preserve">H9G8+VPH, Maryland Cres</t>
  </si>
  <si>
    <t xml:space="preserve">Medical Art Center (MART GROUP)</t>
  </si>
  <si>
    <t xml:space="preserve">Lofom House</t>
  </si>
  <si>
    <t xml:space="preserve">Fertility clinic</t>
  </si>
  <si>
    <t xml:space="preserve">Lofom House, 21 Mobolaji Bank Anthony Way</t>
  </si>
  <si>
    <t xml:space="preserve">+2348103251336</t>
  </si>
  <si>
    <t xml:space="preserve">Medical Guild</t>
  </si>
  <si>
    <t xml:space="preserve">Medical group</t>
  </si>
  <si>
    <t xml:space="preserve">Mende Primary Health Centre</t>
  </si>
  <si>
    <t xml:space="preserve">6 Prince Bode Oluwo St</t>
  </si>
  <si>
    <t xml:space="preserve">Ocupational Health Clinic</t>
  </si>
  <si>
    <t xml:space="preserve">7 Ayodeji Oyinlola St</t>
  </si>
  <si>
    <t xml:space="preserve">+2348079288470</t>
  </si>
  <si>
    <t xml:space="preserve">OneHealth Medical Center Ikeja</t>
  </si>
  <si>
    <t xml:space="preserve">25a Mobolaji Bank Anthony Way</t>
  </si>
  <si>
    <t xml:space="preserve">+2349088999233</t>
  </si>
  <si>
    <t xml:space="preserve">Paxherbal Hospital, Lagos</t>
  </si>
  <si>
    <t xml:space="preserve">St Agnes</t>
  </si>
  <si>
    <t xml:space="preserve">Alternative medicine clinic</t>
  </si>
  <si>
    <t xml:space="preserve">St Agnes, catholic church Social Building</t>
  </si>
  <si>
    <t xml:space="preserve">+2348052940885</t>
  </si>
  <si>
    <t xml:space="preserve">Rola Specialist Clinic</t>
  </si>
  <si>
    <t xml:space="preserve">H98C+5F9</t>
  </si>
  <si>
    <t xml:space="preserve">Specialized hospital</t>
  </si>
  <si>
    <t xml:space="preserve">SkiNuture Health Wellness Online</t>
  </si>
  <si>
    <t xml:space="preserve">322 Ikorodu Rd</t>
  </si>
  <si>
    <t xml:space="preserve">322 Ikorodu Rd, Maryland, Ikeja 100232, Lagos</t>
  </si>
  <si>
    <t xml:space="preserve">+2349093014125</t>
  </si>
  <si>
    <t xml:space="preserve">St. Agnes Catholic Church Clinic</t>
  </si>
  <si>
    <t xml:space="preserve">+2348082048782</t>
  </si>
  <si>
    <t xml:space="preserve">St. Nicholas Hospital -Maryland</t>
  </si>
  <si>
    <t xml:space="preserve">18 Faramobi Ajike St</t>
  </si>
  <si>
    <t xml:space="preserve">+2349063256299</t>
  </si>
  <si>
    <t xml:space="preserve">Starcare International Hospital</t>
  </si>
  <si>
    <t xml:space="preserve">21 Mobolaji Bank Anthony Way</t>
  </si>
  <si>
    <t xml:space="preserve">Private hospital</t>
  </si>
  <si>
    <t xml:space="preserve">21 Mobolaji Bank Anthony Way, GRA</t>
  </si>
  <si>
    <t xml:space="preserve">+2349112199995</t>
  </si>
  <si>
    <t xml:space="preserve">Wasimi Primary Health Centre, Maryland</t>
  </si>
  <si>
    <t xml:space="preserve">33a Adeyemi St</t>
  </si>
  <si>
    <t xml:space="preserve">Consultant Dental Clinic</t>
  </si>
  <si>
    <t xml:space="preserve">1A Ikorodu Rd</t>
  </si>
  <si>
    <t xml:space="preserve">Health consultant</t>
  </si>
  <si>
    <t xml:space="preserve">+2348033887041</t>
  </si>
  <si>
    <t xml:space="preserve">Osagie Dental Clinic</t>
  </si>
  <si>
    <t xml:space="preserve">359-360</t>
  </si>
  <si>
    <t xml:space="preserve">359-360, Suite, Business Plaza, BC 21 Ikorodu Rd</t>
  </si>
  <si>
    <t xml:space="preserve">+2348033087126</t>
  </si>
  <si>
    <t xml:space="preserve">Schubbs Dental Clinics</t>
  </si>
  <si>
    <t xml:space="preserve">formerly 11A</t>
  </si>
  <si>
    <t xml:space="preserve">formerly 11A, 86 Isaac John St</t>
  </si>
  <si>
    <t xml:space="preserve">+2347046310735</t>
  </si>
  <si>
    <t xml:space="preserve">All-One Fahmly Pharmacy &amp; Stores</t>
  </si>
  <si>
    <t xml:space="preserve">1 Bayo Adejonwo Street</t>
  </si>
  <si>
    <t xml:space="preserve">1 Bayo Adejonwo Street, Mende, Lagos</t>
  </si>
  <si>
    <t xml:space="preserve">+2349052917978</t>
  </si>
  <si>
    <t xml:space="preserve">Asset Pharmacy</t>
  </si>
  <si>
    <t xml:space="preserve">First Floor</t>
  </si>
  <si>
    <t xml:space="preserve">First Floor, Maryland Mall, 350-360 Ikorodu Road, Maryland, Lagos</t>
  </si>
  <si>
    <t xml:space="preserve">+2349094802410</t>
  </si>
  <si>
    <t xml:space="preserve">Axion Group</t>
  </si>
  <si>
    <t xml:space="preserve">6A Sobo Sifere Street</t>
  </si>
  <si>
    <t xml:space="preserve">Pharmaceutical / Health</t>
  </si>
  <si>
    <t xml:space="preserve">6A Sobo Sifere Street, Mende Maryland, Lagos</t>
  </si>
  <si>
    <t xml:space="preserve">+2348167492476</t>
  </si>
  <si>
    <t xml:space="preserve">Bayer Nigeria Ltd</t>
  </si>
  <si>
    <t xml:space="preserve">376 Ikorodu Rd</t>
  </si>
  <si>
    <t xml:space="preserve">Pharmaceutical company</t>
  </si>
  <si>
    <t xml:space="preserve">+2349038867174</t>
  </si>
  <si>
    <t xml:space="preserve">Chard Pharmacy &amp; Stores</t>
  </si>
  <si>
    <t xml:space="preserve">11 Adebowale Tade Street</t>
  </si>
  <si>
    <t xml:space="preserve">11 Adebowale Tade Street, Mende, Lagos</t>
  </si>
  <si>
    <t xml:space="preserve">+2347033760924</t>
  </si>
  <si>
    <t xml:space="preserve">Chitonix Pharmacy</t>
  </si>
  <si>
    <t xml:space="preserve">+2348023215505</t>
  </si>
  <si>
    <t xml:space="preserve">Cutting Edge Pharmacy</t>
  </si>
  <si>
    <t xml:space="preserve">26 Ajose St</t>
  </si>
  <si>
    <t xml:space="preserve">+2349077255045</t>
  </si>
  <si>
    <t xml:space="preserve">EDENVILLE PHARMACY-MENDE</t>
  </si>
  <si>
    <t xml:space="preserve">4 Abbi St</t>
  </si>
  <si>
    <t xml:space="preserve">+2349062033886</t>
  </si>
  <si>
    <t xml:space="preserve">God First Pharmacy</t>
  </si>
  <si>
    <t xml:space="preserve">. 349 / 344</t>
  </si>
  <si>
    <t xml:space="preserve">Shop No. 349 / 344, Onigbongbo Market, Olaide Benson St</t>
  </si>
  <si>
    <t xml:space="preserve">+2348033620111</t>
  </si>
  <si>
    <t xml:space="preserve">HealthAceng</t>
  </si>
  <si>
    <t xml:space="preserve">3a Olaide Benson St</t>
  </si>
  <si>
    <t xml:space="preserve">+2348061107837</t>
  </si>
  <si>
    <t xml:space="preserve">Lonestar Pharmacy &amp; Stores Health</t>
  </si>
  <si>
    <t xml:space="preserve">+2348135627643</t>
  </si>
  <si>
    <t xml:space="preserve">Lonestar Pharmacy &amp; Stores Nigeria Limited</t>
  </si>
  <si>
    <t xml:space="preserve">1 Ijaola St</t>
  </si>
  <si>
    <t xml:space="preserve">+2348062542940</t>
  </si>
  <si>
    <t xml:space="preserve">Medix Pharmacy</t>
  </si>
  <si>
    <t xml:space="preserve">3 Mende Ajose Maryland lagos 7 Adebambo street obanikoro lag</t>
  </si>
  <si>
    <t xml:space="preserve">3 Mende Ajose Maryland lagos 7 Adebambo street obanikoro lagos 58, ikosi road off CMD road ketu, Ajose St</t>
  </si>
  <si>
    <t xml:space="preserve">+2348032011961</t>
  </si>
  <si>
    <t xml:space="preserve">MedLink Pharmacy</t>
  </si>
  <si>
    <t xml:space="preserve">5 Aderibigbe Shitta St</t>
  </si>
  <si>
    <t xml:space="preserve">Medlink Pharmacy &amp; Supermarket</t>
  </si>
  <si>
    <t xml:space="preserve">+2348180394308</t>
  </si>
  <si>
    <t xml:space="preserve">Medplus Maryland Mall</t>
  </si>
  <si>
    <t xml:space="preserve">Maryland Mall, 350/360 Ikorodu Road, Maryland, Lagos</t>
  </si>
  <si>
    <t xml:space="preserve">+2348183003894</t>
  </si>
  <si>
    <t xml:space="preserve">Medplus Pharmacy - Oduduwa</t>
  </si>
  <si>
    <t xml:space="preserve">15 Oduduwa Way</t>
  </si>
  <si>
    <t xml:space="preserve">15 Oduduwa Way, LGA</t>
  </si>
  <si>
    <t xml:space="preserve">+2348113965417</t>
  </si>
  <si>
    <t xml:space="preserve">Mende Pharmacy</t>
  </si>
  <si>
    <t xml:space="preserve">Ajose St</t>
  </si>
  <si>
    <t xml:space="preserve">Ajose St, Mende, Lagos 105102</t>
  </si>
  <si>
    <t xml:space="preserve">Nett Pharmacy</t>
  </si>
  <si>
    <t xml:space="preserve">350/360 Ikorodu Rd</t>
  </si>
  <si>
    <t xml:space="preserve">+2349139385763</t>
  </si>
  <si>
    <t xml:space="preserve">Pius &amp; Gina Pharmacy</t>
  </si>
  <si>
    <t xml:space="preserve">21 Mobolaji Bank Anthony Way, Maryland, Lagos 101233</t>
  </si>
  <si>
    <t xml:space="preserve">+2349062431962</t>
  </si>
  <si>
    <t xml:space="preserve">PRINCE EBEANO SUPERMARKET GRA, IKEJA</t>
  </si>
  <si>
    <t xml:space="preserve">14 Isaac John St</t>
  </si>
  <si>
    <t xml:space="preserve">+2348026651017</t>
  </si>
  <si>
    <t xml:space="preserve">St. David's Pharmacy</t>
  </si>
  <si>
    <t xml:space="preserve">+2347032946611</t>
  </si>
  <si>
    <t xml:space="preserve">The Place Restaurant, Maryland Mall</t>
  </si>
  <si>
    <t xml:space="preserve">+2348131867091</t>
  </si>
  <si>
    <t xml:space="preserve">Variety Pharmacy and Stores</t>
  </si>
  <si>
    <t xml:space="preserve">+2349158676090</t>
  </si>
  <si>
    <t xml:space="preserve">AJEE-BOL INTERNATIONAL SCHOOL</t>
  </si>
  <si>
    <t xml:space="preserve">11 Oki Ln</t>
  </si>
  <si>
    <t xml:space="preserve">Community Senior High School</t>
  </si>
  <si>
    <t xml:space="preserve">Dejawon Street</t>
  </si>
  <si>
    <t xml:space="preserve">Dejawon Street, Maryland, Ikeja</t>
  </si>
  <si>
    <t xml:space="preserve">+2348023124258</t>
  </si>
  <si>
    <t xml:space="preserve">Garaven Electrical And Book</t>
  </si>
  <si>
    <t xml:space="preserve">25 Ajose Street</t>
  </si>
  <si>
    <t xml:space="preserve">Bookshop / Electrical</t>
  </si>
  <si>
    <t xml:space="preserve">25 Ajose Street, Mende, Lagos</t>
  </si>
  <si>
    <t xml:space="preserve">+2348104130693</t>
  </si>
  <si>
    <t xml:space="preserve">Halifield Schools, Maryland</t>
  </si>
  <si>
    <t xml:space="preserve">2 Oki Ln</t>
  </si>
  <si>
    <t xml:space="preserve">School center</t>
  </si>
  <si>
    <t xml:space="preserve">Howbury School</t>
  </si>
  <si>
    <t xml:space="preserve">6 Alegbe Cl</t>
  </si>
  <si>
    <t xml:space="preserve">Combined primary and secondary school</t>
  </si>
  <si>
    <t xml:space="preserve">Infodowi Bookshop</t>
  </si>
  <si>
    <t xml:space="preserve">7 Adesoye Street</t>
  </si>
  <si>
    <t xml:space="preserve">Bookshop</t>
  </si>
  <si>
    <t xml:space="preserve">7 Adesoye Street, Mende, Lagos</t>
  </si>
  <si>
    <t xml:space="preserve">+2348062374707</t>
  </si>
  <si>
    <t xml:space="preserve">KICC International School</t>
  </si>
  <si>
    <t xml:space="preserve">13 James Oki St</t>
  </si>
  <si>
    <t xml:space="preserve">Lydlois Prodigy Koncept</t>
  </si>
  <si>
    <t xml:space="preserve">3B Ebun-Otti Drive</t>
  </si>
  <si>
    <t xml:space="preserve">Education / Bookshop</t>
  </si>
  <si>
    <t xml:space="preserve">3B Ebun-Otti Drive, Mende, Lagos</t>
  </si>
  <si>
    <t xml:space="preserve">+2348024203742</t>
  </si>
  <si>
    <t xml:space="preserve">Maryland Comprehensive High School</t>
  </si>
  <si>
    <t xml:space="preserve">Maryland Comprehensive Secondary School</t>
  </si>
  <si>
    <t xml:space="preserve">H9C9+FP2</t>
  </si>
  <si>
    <t xml:space="preserve">Private educational institution</t>
  </si>
  <si>
    <t xml:space="preserve">Maryland Convent Private School</t>
  </si>
  <si>
    <t xml:space="preserve">Middle Saints School</t>
  </si>
  <si>
    <t xml:space="preserve">41 Ajose St</t>
  </si>
  <si>
    <t xml:space="preserve">Narrowhill International</t>
  </si>
  <si>
    <t xml:space="preserve">No. 5 Ikorodu Road</t>
  </si>
  <si>
    <t xml:space="preserve">No. 5 Ikorodu Road, Maryland, Lagos</t>
  </si>
  <si>
    <t xml:space="preserve">+2348023331654</t>
  </si>
  <si>
    <t xml:space="preserve">Niralof Special Education Services</t>
  </si>
  <si>
    <t xml:space="preserve">21 Mobolaji Bank Anthony Way, Maryland, Lagos</t>
  </si>
  <si>
    <t xml:space="preserve">+2348127747837</t>
  </si>
  <si>
    <t xml:space="preserve">Olivier Preparatory-Schools</t>
  </si>
  <si>
    <t xml:space="preserve">2 Adedotun Dina Cres, Mende, Lagos 105102</t>
  </si>
  <si>
    <t xml:space="preserve">+2348063364200</t>
  </si>
  <si>
    <t xml:space="preserve">Orange Academy</t>
  </si>
  <si>
    <t xml:space="preserve">8 Aderibigbe Shitta St</t>
  </si>
  <si>
    <t xml:space="preserve">Art school</t>
  </si>
  <si>
    <t xml:space="preserve">Silverwood School Maryland, Lagos</t>
  </si>
  <si>
    <t xml:space="preserve">6 First avenue street</t>
  </si>
  <si>
    <t xml:space="preserve">6 First avenue street, Ismail Est</t>
  </si>
  <si>
    <t xml:space="preserve">St. Agnes Nursery And Primary School</t>
  </si>
  <si>
    <t xml:space="preserve">H999+MHJ</t>
  </si>
  <si>
    <t xml:space="preserve">The Booksbrook School</t>
  </si>
  <si>
    <t xml:space="preserve">31 Okunola-Aina St</t>
  </si>
  <si>
    <t xml:space="preserve">Preschool</t>
  </si>
  <si>
    <t xml:space="preserve">Topmost International Comp. Sec. School</t>
  </si>
  <si>
    <t xml:space="preserve">2 Ikorodu Rd</t>
  </si>
  <si>
    <t xml:space="preserve">YYF Books Accessories</t>
  </si>
  <si>
    <t xml:space="preserve">36 Bamidele Adebule Street</t>
  </si>
  <si>
    <t xml:space="preserve">36 Bamidele Adebule Street, Mende, Lagos</t>
  </si>
  <si>
    <t xml:space="preserve">+2348123058976</t>
  </si>
  <si>
    <t xml:space="preserve">Christ The Rock Baptist Church, Mende Maryland</t>
  </si>
  <si>
    <t xml:space="preserve">7 Abbi St</t>
  </si>
  <si>
    <t xml:space="preserve">Baptist church</t>
  </si>
  <si>
    <t xml:space="preserve">Citizens of Light Church</t>
  </si>
  <si>
    <t xml:space="preserve">Freedom Dome</t>
  </si>
  <si>
    <t xml:space="preserve">Freedom Dome, 3 Ikorodu Rd</t>
  </si>
  <si>
    <t xml:space="preserve">Global Harvest Church, Lagos</t>
  </si>
  <si>
    <t xml:space="preserve">378 Ikorodu Rd</t>
  </si>
  <si>
    <t xml:space="preserve">Pentecostal church</t>
  </si>
  <si>
    <t xml:space="preserve">Harvest Word Assembly</t>
  </si>
  <si>
    <t xml:space="preserve">Plot 374, Jadesola House, Ikorodu Rd, behind Maryland BRT Bus stop</t>
  </si>
  <si>
    <t xml:space="preserve">Lighthouse NG</t>
  </si>
  <si>
    <t xml:space="preserve">1b Emmanuel St</t>
  </si>
  <si>
    <t xml:space="preserve">RCCG, Rivers of Joy Parish</t>
  </si>
  <si>
    <t xml:space="preserve">25 Wasimi</t>
  </si>
  <si>
    <t xml:space="preserve">25 Wasimi, Ikorodu Rd</t>
  </si>
  <si>
    <t xml:space="preserve">Rivers of Living Waters Ministries Maryland Lagos</t>
  </si>
  <si>
    <t xml:space="preserve">540 Ikorodu Rd</t>
  </si>
  <si>
    <t xml:space="preserve">Christian church</t>
  </si>
  <si>
    <t xml:space="preserve">St Agnes Catholic Church</t>
  </si>
  <si>
    <t xml:space="preserve">Catholic church</t>
  </si>
  <si>
    <t xml:space="preserve">TBC OUT OF ZION</t>
  </si>
  <si>
    <t xml:space="preserve">Cane Village</t>
  </si>
  <si>
    <t xml:space="preserve">Cane Village, Mende, Maryland</t>
  </si>
  <si>
    <t xml:space="preserve">The Baptizing Church</t>
  </si>
  <si>
    <t xml:space="preserve">H9HC+CH8</t>
  </si>
  <si>
    <t xml:space="preserve">The Covenant Nation Maryland</t>
  </si>
  <si>
    <t xml:space="preserve">370 Ikorodu Rd</t>
  </si>
  <si>
    <t xml:space="preserve">The Elevation Church Mainland (Pistis Hub)</t>
  </si>
  <si>
    <t xml:space="preserve">The L.O.G.I.C Church Lagos Mainland</t>
  </si>
  <si>
    <t xml:space="preserve">3c Olaide Benson St</t>
  </si>
  <si>
    <t xml:space="preserve">Tree By The River Church</t>
  </si>
  <si>
    <t xml:space="preserve">15 Ikorodu Rd</t>
  </si>
  <si>
    <t xml:space="preserve">Adline Clothing</t>
  </si>
  <si>
    <t xml:space="preserve">32 Atiba Osborne</t>
  </si>
  <si>
    <t xml:space="preserve">32 Atiba Osborne, Mende, Maryland</t>
  </si>
  <si>
    <t xml:space="preserve">+2348091756087</t>
  </si>
  <si>
    <t xml:space="preserve">BG Mart Superstore</t>
  </si>
  <si>
    <t xml:space="preserve">Bokku Mart Maryland</t>
  </si>
  <si>
    <t xml:space="preserve">17 Ajose St</t>
  </si>
  <si>
    <t xml:space="preserve">Capable Hands Supermarket</t>
  </si>
  <si>
    <t xml:space="preserve">8/10 Bode Oliwo Street</t>
  </si>
  <si>
    <t xml:space="preserve">Supermarket / Grocery</t>
  </si>
  <si>
    <t xml:space="preserve">8/10 Bode Oliwo Street, Mende Maryland, Ikeja</t>
  </si>
  <si>
    <t xml:space="preserve">+2348033301638</t>
  </si>
  <si>
    <t xml:space="preserve">De-Greato Kraft and furniture limited RC9662873</t>
  </si>
  <si>
    <t xml:space="preserve">382 Ikorodu-Ososun Rd</t>
  </si>
  <si>
    <t xml:space="preserve">Furniture store</t>
  </si>
  <si>
    <t xml:space="preserve">382 Ikorodu-Ososun Rd, Mende, Lagos 012234</t>
  </si>
  <si>
    <t xml:space="preserve">Essenza Maryland Mall</t>
  </si>
  <si>
    <t xml:space="preserve">Funtasticaland</t>
  </si>
  <si>
    <t xml:space="preserve">Funtasticaland, Ikorodu Rd</t>
  </si>
  <si>
    <t xml:space="preserve">+2349062277459</t>
  </si>
  <si>
    <t xml:space="preserve">Ilupeju Supermarket Limited</t>
  </si>
  <si>
    <t xml:space="preserve">Ground Floor Olatunji House</t>
  </si>
  <si>
    <t xml:space="preserve">Ground Floor Olatunji House, 229 Ikorodu Rd</t>
  </si>
  <si>
    <t xml:space="preserve">Maryland mall</t>
  </si>
  <si>
    <t xml:space="preserve">H988+XVW Maryland mall</t>
  </si>
  <si>
    <t xml:space="preserve">Mende Market</t>
  </si>
  <si>
    <t xml:space="preserve">12 Atiba Osborne St</t>
  </si>
  <si>
    <t xml:space="preserve">Market / Community Asset</t>
  </si>
  <si>
    <t xml:space="preserve">12 Atiba Osborne St, Mende, Lagos 105102</t>
  </si>
  <si>
    <t xml:space="preserve">Mumm T Boutique</t>
  </si>
  <si>
    <t xml:space="preserve">Off Gbongbo Street</t>
  </si>
  <si>
    <t xml:space="preserve">Off Gbongbo Street, 10 Araromi St</t>
  </si>
  <si>
    <t xml:space="preserve">+2347062397235</t>
  </si>
  <si>
    <t xml:space="preserve">Myrrh &amp; Frankincense Oil Perfumes</t>
  </si>
  <si>
    <t xml:space="preserve">24 Oseni St, opposite GTBank, Mende, Lagos 100232, Lagos, Nigeria</t>
  </si>
  <si>
    <t xml:space="preserve">+2348120121498</t>
  </si>
  <si>
    <t xml:space="preserve">https://www.google.com/maps/place/?q=place_id:ChIJZTvjQkmNOxAR5rQL0F8y3Jo</t>
  </si>
  <si>
    <t xml:space="preserve">Obinna Auto Spare Part</t>
  </si>
  <si>
    <t xml:space="preserve">6 Mende</t>
  </si>
  <si>
    <t xml:space="preserve">6 Mende, Adejowon Street</t>
  </si>
  <si>
    <t xml:space="preserve">+2348075712254</t>
  </si>
  <si>
    <t xml:space="preserve">Onigbongbo market</t>
  </si>
  <si>
    <t xml:space="preserve">H9C8+544</t>
  </si>
  <si>
    <t xml:space="preserve">Premier Serve Supermart</t>
  </si>
  <si>
    <t xml:space="preserve">Adedotun Dina Cres</t>
  </si>
  <si>
    <t xml:space="preserve">+2347061120776</t>
  </si>
  <si>
    <t xml:space="preserve">Purple Maryland (Formerly Maryland Mall)</t>
  </si>
  <si>
    <t xml:space="preserve">Shopping Centre</t>
  </si>
  <si>
    <t xml:space="preserve">350 Ikorodu Rd, Anthony, Lagos 100211</t>
  </si>
  <si>
    <t xml:space="preserve">+2349028431997</t>
  </si>
  <si>
    <t xml:space="preserve">Romero Superstore</t>
  </si>
  <si>
    <t xml:space="preserve">+2347069015700</t>
  </si>
  <si>
    <t xml:space="preserve">Ruby's Apparel</t>
  </si>
  <si>
    <t xml:space="preserve">Abbi St</t>
  </si>
  <si>
    <t xml:space="preserve">+2348160094984</t>
  </si>
  <si>
    <t xml:space="preserve">Shopinverse</t>
  </si>
  <si>
    <t xml:space="preserve">Maryland Mall, 350-360 Ikorodu Rd</t>
  </si>
  <si>
    <t xml:space="preserve">+2347061989638</t>
  </si>
  <si>
    <t xml:space="preserve">Spar</t>
  </si>
  <si>
    <t xml:space="preserve">299 Ikorodu Rd</t>
  </si>
  <si>
    <t xml:space="preserve">Hypermarket</t>
  </si>
  <si>
    <t xml:space="preserve">+2348153681085</t>
  </si>
  <si>
    <t xml:space="preserve">Ben Boutique</t>
  </si>
  <si>
    <t xml:space="preserve">+2347066074965</t>
  </si>
  <si>
    <t xml:space="preserve">CakeLagos - Cake Shop</t>
  </si>
  <si>
    <t xml:space="preserve">Ikorodu Road Baale Palace</t>
  </si>
  <si>
    <t xml:space="preserve">Cake shop</t>
  </si>
  <si>
    <t xml:space="preserve">No 7 Ikorodu Road Baale Palace, behind the BRT</t>
  </si>
  <si>
    <t xml:space="preserve">Citizen Electronics</t>
  </si>
  <si>
    <t xml:space="preserve">14 Mobolaji Bank Anthony Way</t>
  </si>
  <si>
    <t xml:space="preserve">Electronics</t>
  </si>
  <si>
    <t xml:space="preserve">14 Mobolaji Bank Anthony Way, Maryland, Ikeja</t>
  </si>
  <si>
    <t xml:space="preserve">+2347086199776</t>
  </si>
  <si>
    <t xml:space="preserve">Deronkes Collectables</t>
  </si>
  <si>
    <t xml:space="preserve">10 Aminu Street</t>
  </si>
  <si>
    <t xml:space="preserve">10 Aminu Street, Mende, Lagos</t>
  </si>
  <si>
    <t xml:space="preserve">+2347033842662</t>
  </si>
  <si>
    <t xml:space="preserve">HERITAGE FASHION</t>
  </si>
  <si>
    <t xml:space="preserve">13 Araromi St, Onigbongbo</t>
  </si>
  <si>
    <t xml:space="preserve">Honnete Nigeria Limited</t>
  </si>
  <si>
    <t xml:space="preserve">Fashion / Fabrics</t>
  </si>
  <si>
    <t xml:space="preserve">15 Sunmola Street, Mende, Lagos</t>
  </si>
  <si>
    <t xml:space="preserve">+2348037836818</t>
  </si>
  <si>
    <t xml:space="preserve">Icon Shoes Depot</t>
  </si>
  <si>
    <t xml:space="preserve">5 Abbi Street</t>
  </si>
  <si>
    <t xml:space="preserve">Fashion / Footwear</t>
  </si>
  <si>
    <t xml:space="preserve">5 Abbi Street, Mende Maryland, Ikeja</t>
  </si>
  <si>
    <t xml:space="preserve">+2348038231710</t>
  </si>
  <si>
    <t xml:space="preserve">MTN Store Maryland Mall</t>
  </si>
  <si>
    <t xml:space="preserve">Telecom / Retail</t>
  </si>
  <si>
    <t xml:space="preserve">Maryland Mall, Ikorodu Road, Maryland, Lagos</t>
  </si>
  <si>
    <t xml:space="preserve">+2348031000180</t>
  </si>
  <si>
    <t xml:space="preserve">MyOs by Titi Osoba</t>
  </si>
  <si>
    <t xml:space="preserve">61a Ajose St</t>
  </si>
  <si>
    <t xml:space="preserve">Haute couture fashion house</t>
  </si>
  <si>
    <t xml:space="preserve">+2348037145520</t>
  </si>
  <si>
    <t xml:space="preserve">RAVELLE STYLES</t>
  </si>
  <si>
    <t xml:space="preserve">14 Mende Road</t>
  </si>
  <si>
    <t xml:space="preserve">14 Mende Road, Maryland Lagos</t>
  </si>
  <si>
    <t xml:space="preserve">SEDA</t>
  </si>
  <si>
    <t xml:space="preserve">1 Abioye street mende</t>
  </si>
  <si>
    <t xml:space="preserve">1 Abioye street mende, Maryland</t>
  </si>
  <si>
    <t xml:space="preserve">Udo's Stitches &amp; Boutique</t>
  </si>
  <si>
    <t xml:space="preserve">+2348094582000</t>
  </si>
  <si>
    <t xml:space="preserve">Achievements laundry and dry cleaner</t>
  </si>
  <si>
    <t xml:space="preserve">21 Atiba Osborne St</t>
  </si>
  <si>
    <t xml:space="preserve">+2348034874624</t>
  </si>
  <si>
    <t xml:space="preserve">AGY Fashion Designer</t>
  </si>
  <si>
    <t xml:space="preserve">7 Akerele Ln</t>
  </si>
  <si>
    <t xml:space="preserve">Tailor</t>
  </si>
  <si>
    <t xml:space="preserve">BABACUS MECHANICAL SERVICES MARYLAND Plumbing and Air Conditioning</t>
  </si>
  <si>
    <t xml:space="preserve">2d Abiola Cl</t>
  </si>
  <si>
    <t xml:space="preserve">2d Abiola Cl, Shonibare Est</t>
  </si>
  <si>
    <t xml:space="preserve">+2349061231305</t>
  </si>
  <si>
    <t xml:space="preserve">Bellumina Interior Design Studio</t>
  </si>
  <si>
    <t xml:space="preserve">301 Ikorodu-Ososun Road</t>
  </si>
  <si>
    <t xml:space="preserve">Interior / Home</t>
  </si>
  <si>
    <t xml:space="preserve">301 Ikorodu-Ososun Road, Maryland, Lagos</t>
  </si>
  <si>
    <t xml:space="preserve">+2348062154311</t>
  </si>
  <si>
    <t xml:space="preserve">Bos Jum Dry Cleaning And Laundry Services</t>
  </si>
  <si>
    <t xml:space="preserve">4 Adedotun Dina Crescent Street</t>
  </si>
  <si>
    <t xml:space="preserve">4 Adedotun Dina Crescent Street, Mende</t>
  </si>
  <si>
    <t xml:space="preserve">+2348156386192</t>
  </si>
  <si>
    <t xml:space="preserve">Clean Effects</t>
  </si>
  <si>
    <t xml:space="preserve">+2348033141796</t>
  </si>
  <si>
    <t xml:space="preserve">Clean Rite Dry Cleaning &amp; Laundry Services</t>
  </si>
  <si>
    <t xml:space="preserve">Tiamiyu Olushile St</t>
  </si>
  <si>
    <t xml:space="preserve">+2348187775535</t>
  </si>
  <si>
    <t xml:space="preserve">CleanAce Drycleaners &amp; Launderers</t>
  </si>
  <si>
    <t xml:space="preserve">5 Ikorodu Rd</t>
  </si>
  <si>
    <t xml:space="preserve">+2348129902536</t>
  </si>
  <si>
    <t xml:space="preserve">FEMAB PLUMBING WORKS</t>
  </si>
  <si>
    <t xml:space="preserve">Okungade</t>
  </si>
  <si>
    <t xml:space="preserve">Okungade, Okuneye Ave</t>
  </si>
  <si>
    <t xml:space="preserve">+2348033585849</t>
  </si>
  <si>
    <t xml:space="preserve">HNLS Dry Cleaner Services</t>
  </si>
  <si>
    <t xml:space="preserve">2 Ajose St</t>
  </si>
  <si>
    <t xml:space="preserve">+2348113462890</t>
  </si>
  <si>
    <t xml:space="preserve">House of woora Fashion Academy</t>
  </si>
  <si>
    <t xml:space="preserve">27th</t>
  </si>
  <si>
    <t xml:space="preserve">27th, 1st floor, Zion plaza, Mende Rd</t>
  </si>
  <si>
    <t xml:space="preserve">Laundry Express</t>
  </si>
  <si>
    <t xml:space="preserve">1B Bamidele Daramola St</t>
  </si>
  <si>
    <t xml:space="preserve">1B Bamidele Daramola St, Mende, Lagos 105102</t>
  </si>
  <si>
    <t xml:space="preserve">+2348104754846</t>
  </si>
  <si>
    <t xml:space="preserve">Lily</t>
  </si>
  <si>
    <t xml:space="preserve">4 Onigbogo Street</t>
  </si>
  <si>
    <t xml:space="preserve">+2348126344110</t>
  </si>
  <si>
    <t xml:space="preserve">Looklegend professional laundry and dry cleaning services</t>
  </si>
  <si>
    <t xml:space="preserve">17 Ibadiaran St</t>
  </si>
  <si>
    <t xml:space="preserve">+2347015384057</t>
  </si>
  <si>
    <t xml:space="preserve">Looks Like A Good Man - LLGM</t>
  </si>
  <si>
    <t xml:space="preserve">32 Ajose St</t>
  </si>
  <si>
    <t xml:space="preserve">Men's tailor</t>
  </si>
  <si>
    <t xml:space="preserve">Luxe Line Solution Ltd</t>
  </si>
  <si>
    <t xml:space="preserve">3 Ijaola Street</t>
  </si>
  <si>
    <t xml:space="preserve">Home / Bedding</t>
  </si>
  <si>
    <t xml:space="preserve">3 Ijaola Street, Onigbongbo, Maryland, Lagos</t>
  </si>
  <si>
    <t xml:space="preserve">+2348060394978</t>
  </si>
  <si>
    <t xml:space="preserve">Mohammed Fashion Designer</t>
  </si>
  <si>
    <t xml:space="preserve">Onigbongbo Market</t>
  </si>
  <si>
    <t xml:space="preserve">Onigbongbo Market, BLK/L/377, Shonny Hwy</t>
  </si>
  <si>
    <t xml:space="preserve">Moore Dry Cleaning Service</t>
  </si>
  <si>
    <t xml:space="preserve">+2349079407673</t>
  </si>
  <si>
    <t xml:space="preserve">N S Plumber</t>
  </si>
  <si>
    <t xml:space="preserve">21 Abbi St</t>
  </si>
  <si>
    <t xml:space="preserve">+2348178399517</t>
  </si>
  <si>
    <t xml:space="preserve">Nitkleeners Laundry &amp; Dry Cleaning</t>
  </si>
  <si>
    <t xml:space="preserve">25B Sunmola Street</t>
  </si>
  <si>
    <t xml:space="preserve">25B Sunmola Street, adjacent Pembroke House Schools</t>
  </si>
  <si>
    <t xml:space="preserve">+2348125025265</t>
  </si>
  <si>
    <t xml:space="preserve">Olivehaus Interiors Nig Ltd</t>
  </si>
  <si>
    <t xml:space="preserve">G1/G2 Shonny Highway</t>
  </si>
  <si>
    <t xml:space="preserve">G1/G2 Shonny Highway, Shonibare Estate, Maryland, Lagos</t>
  </si>
  <si>
    <t xml:space="preserve">+2348089533353</t>
  </si>
  <si>
    <t xml:space="preserve">Plumbing pro</t>
  </si>
  <si>
    <t xml:space="preserve">4 Ajegunle St</t>
  </si>
  <si>
    <t xml:space="preserve">+2349035882005</t>
  </si>
  <si>
    <t xml:space="preserve">Qtech Investment Limited</t>
  </si>
  <si>
    <t xml:space="preserve">16B Mobolaji Bank Anthony Way</t>
  </si>
  <si>
    <t xml:space="preserve">Electronics / Generators</t>
  </si>
  <si>
    <t xml:space="preserve">16B Mobolaji Bank Anthony Way, Maryland, Ikeja</t>
  </si>
  <si>
    <t xml:space="preserve">+2347042470601</t>
  </si>
  <si>
    <t xml:space="preserve">Smart Laundry Services</t>
  </si>
  <si>
    <t xml:space="preserve">25 Adeoye Adeyemi Rd</t>
  </si>
  <si>
    <t xml:space="preserve">+2348181971897</t>
  </si>
  <si>
    <t xml:space="preserve">Sparkling laundry 1</t>
  </si>
  <si>
    <t xml:space="preserve">odugbesan</t>
  </si>
  <si>
    <t xml:space="preserve">No 1 odugbesan, Atiba Osborne St</t>
  </si>
  <si>
    <t xml:space="preserve">+2349032851162</t>
  </si>
  <si>
    <t xml:space="preserve">Talented unisex saloon and dry cleaning services</t>
  </si>
  <si>
    <t xml:space="preserve">+2347051594953</t>
  </si>
  <si>
    <t xml:space="preserve">THE TRENDS DRYCLEANING&amp;LAUNDRY SERVICES LIMITED</t>
  </si>
  <si>
    <t xml:space="preserve">1 Ikorodu road Maryland Ikeja</t>
  </si>
  <si>
    <t xml:space="preserve">+2348034894884</t>
  </si>
  <si>
    <t xml:space="preserve">Top Fresh Laundry &amp; Drycleaning Services</t>
  </si>
  <si>
    <t xml:space="preserve">5 Aina Eleko Ln, Onigbongbo</t>
  </si>
  <si>
    <t xml:space="preserve">+2349133330326</t>
  </si>
  <si>
    <t xml:space="preserve">Topwash Laundry &amp; Dry Cleaning Services</t>
  </si>
  <si>
    <t xml:space="preserve">181 Ikorodu Rd</t>
  </si>
  <si>
    <t xml:space="preserve">+2348172120570</t>
  </si>
  <si>
    <t xml:space="preserve">Wash24 Laundry</t>
  </si>
  <si>
    <t xml:space="preserve">12 Ajegunle street</t>
  </si>
  <si>
    <t xml:space="preserve">12 Ajegunle street, Onigbongbo</t>
  </si>
  <si>
    <t xml:space="preserve">+2347052096845</t>
  </si>
  <si>
    <t xml:space="preserve">Washinteen Dry Cleaning &amp; Laundry Services</t>
  </si>
  <si>
    <t xml:space="preserve">H98F+52P</t>
  </si>
  <si>
    <t xml:space="preserve">H98F+52P, Ope-Ifa Cres</t>
  </si>
  <si>
    <t xml:space="preserve">Washline Dry Cleaning And Laundry</t>
  </si>
  <si>
    <t xml:space="preserve">3 Isaac John St</t>
  </si>
  <si>
    <t xml:space="preserve">+2347029692275</t>
  </si>
  <si>
    <t xml:space="preserve">Arowojobe Estate</t>
  </si>
  <si>
    <t xml:space="preserve">235 Arowojobe Mende</t>
  </si>
  <si>
    <t xml:space="preserve">Housing development</t>
  </si>
  <si>
    <t xml:space="preserve">+2349049971696</t>
  </si>
  <si>
    <t xml:space="preserve">Bamiwale Real Estate Agency</t>
  </si>
  <si>
    <t xml:space="preserve">5 Ajayi St</t>
  </si>
  <si>
    <t xml:space="preserve">+2349022346117</t>
  </si>
  <si>
    <t xml:space="preserve">Blue Bird Estate</t>
  </si>
  <si>
    <t xml:space="preserve">Maryland Estate</t>
  </si>
  <si>
    <t xml:space="preserve">Maryland Estate, 11 Aderibigbe Shitta St</t>
  </si>
  <si>
    <t xml:space="preserve">+23413429241</t>
  </si>
  <si>
    <t xml:space="preserve">Boomanage Properties</t>
  </si>
  <si>
    <t xml:space="preserve">The Workstation Maryland Shopping Mall</t>
  </si>
  <si>
    <t xml:space="preserve">+2348139096910</t>
  </si>
  <si>
    <t xml:space="preserve">Buy Land In Lagos</t>
  </si>
  <si>
    <t xml:space="preserve">14a Bayo Adejonwo St</t>
  </si>
  <si>
    <t xml:space="preserve">+2348084219399</t>
  </si>
  <si>
    <t xml:space="preserve">H988+XWC</t>
  </si>
  <si>
    <t xml:space="preserve">Amusement center</t>
  </si>
  <si>
    <t xml:space="preserve">H988+XWC, 360 Ikorodu Rd</t>
  </si>
  <si>
    <t xml:space="preserve">Genesis Deluxe Cinemas Maryland</t>
  </si>
  <si>
    <t xml:space="preserve">Movie theater</t>
  </si>
  <si>
    <t xml:space="preserve">Help From Above Empire</t>
  </si>
  <si>
    <t xml:space="preserve">22 Olatunbosun St</t>
  </si>
  <si>
    <t xml:space="preserve">22 Olatunbosun St, Shonibare Est</t>
  </si>
  <si>
    <t xml:space="preserve">+2348033081669</t>
  </si>
  <si>
    <t xml:space="preserve">LandCrowdy</t>
  </si>
  <si>
    <t xml:space="preserve">+2348117758384</t>
  </si>
  <si>
    <t xml:space="preserve">Legrande Properties Development Company ltd</t>
  </si>
  <si>
    <t xml:space="preserve">Mende Villa</t>
  </si>
  <si>
    <t xml:space="preserve">Mende Villa, 12 Olatunde Sanni Cres</t>
  </si>
  <si>
    <t xml:space="preserve">+2348033198622</t>
  </si>
  <si>
    <t xml:space="preserve">Lestina International limited</t>
  </si>
  <si>
    <t xml:space="preserve">H9H8+3M8</t>
  </si>
  <si>
    <t xml:space="preserve">Real estate developer</t>
  </si>
  <si>
    <t xml:space="preserve">+2347055257602</t>
  </si>
  <si>
    <t xml:space="preserve">Mango Bake Shop Maryland | Best Banana Bread in Lagos</t>
  </si>
  <si>
    <t xml:space="preserve">Maryland</t>
  </si>
  <si>
    <t xml:space="preserve">5A Aderibigbe Shitta St</t>
  </si>
  <si>
    <t xml:space="preserve">Mende Villa Estate</t>
  </si>
  <si>
    <t xml:space="preserve">H9GG+6Q5</t>
  </si>
  <si>
    <t xml:space="preserve">H9GG+6Q5, Olatunde Sanni Cres</t>
  </si>
  <si>
    <t xml:space="preserve">Murrie Homes</t>
  </si>
  <si>
    <t xml:space="preserve">Ballume street Okupe Estate</t>
  </si>
  <si>
    <t xml:space="preserve">Plot 9b Ballume street Okupe Estate, Mende</t>
  </si>
  <si>
    <t xml:space="preserve">+2348120277555</t>
  </si>
  <si>
    <t xml:space="preserve">NY Developers Limited</t>
  </si>
  <si>
    <t xml:space="preserve">Arowojobe Estate, Mende - Maryland</t>
  </si>
  <si>
    <t xml:space="preserve">+2348099999111</t>
  </si>
  <si>
    <t xml:space="preserve">Oakside Realty</t>
  </si>
  <si>
    <t xml:space="preserve">14a Bayo Dejonwo Street</t>
  </si>
  <si>
    <t xml:space="preserve">+2348148605254</t>
  </si>
  <si>
    <t xml:space="preserve">Parkland Amusement Park</t>
  </si>
  <si>
    <t xml:space="preserve">8 Emmanuel St</t>
  </si>
  <si>
    <t xml:space="preserve">Amusement park</t>
  </si>
  <si>
    <t xml:space="preserve">Peer2Own</t>
  </si>
  <si>
    <t xml:space="preserve">1 Adedotun Dina Cres</t>
  </si>
  <si>
    <t xml:space="preserve">+2348079661547</t>
  </si>
  <si>
    <t xml:space="preserve">Real Estate Way Nigeria</t>
  </si>
  <si>
    <t xml:space="preserve">14 Adedotun Dina Cres</t>
  </si>
  <si>
    <t xml:space="preserve">+2347083719524</t>
  </si>
  <si>
    <t xml:space="preserve">Realtormax Project International Nigeria Limited</t>
  </si>
  <si>
    <t xml:space="preserve">37 Maryland Cres</t>
  </si>
  <si>
    <t xml:space="preserve">+2348023045575</t>
  </si>
  <si>
    <t xml:space="preserve">Rentease</t>
  </si>
  <si>
    <t xml:space="preserve">5c Aderibigbe Shitta St</t>
  </si>
  <si>
    <t xml:space="preserve">+2349169835731</t>
  </si>
  <si>
    <t xml:space="preserve">Shonibare Estate</t>
  </si>
  <si>
    <t xml:space="preserve">Shonny Hwy</t>
  </si>
  <si>
    <t xml:space="preserve">Apartment building</t>
  </si>
  <si>
    <t xml:space="preserve">+2349063709104</t>
  </si>
  <si>
    <t xml:space="preserve">Sophizo Realty Limited</t>
  </si>
  <si>
    <t xml:space="preserve">Olaide Benson St</t>
  </si>
  <si>
    <t xml:space="preserve">No 3B Olaide Benson St</t>
  </si>
  <si>
    <t xml:space="preserve">+2348063159756</t>
  </si>
  <si>
    <t xml:space="preserve">Suru Homes Limited</t>
  </si>
  <si>
    <t xml:space="preserve">2 Shonny Hwy</t>
  </si>
  <si>
    <t xml:space="preserve">2 Shonny Hwy, Shonibare Est</t>
  </si>
  <si>
    <t xml:space="preserve">+2348033882414</t>
  </si>
  <si>
    <t xml:space="preserve">Thinkmint Nigeria</t>
  </si>
  <si>
    <t xml:space="preserve">7b Prince Bode Oluwo St</t>
  </si>
  <si>
    <t xml:space="preserve">+2348097845065</t>
  </si>
  <si>
    <t xml:space="preserve">Watchmen Meadows Realtor Ltd</t>
  </si>
  <si>
    <t xml:space="preserve">Okupe Street</t>
  </si>
  <si>
    <t xml:space="preserve">Plot 6 Okupe Street, beside ShopRite Complex</t>
  </si>
  <si>
    <t xml:space="preserve">+2348103757943</t>
  </si>
  <si>
    <t xml:space="preserve">Abiodun Opawale &amp; Co</t>
  </si>
  <si>
    <t xml:space="preserve">7A Ikorodu Rd</t>
  </si>
  <si>
    <t xml:space="preserve">+2348034544440</t>
  </si>
  <si>
    <t xml:space="preserve">ABRAHAM M. &amp; Co</t>
  </si>
  <si>
    <t xml:space="preserve">72 Sunmola Street Mende</t>
  </si>
  <si>
    <t xml:space="preserve">Lawyer</t>
  </si>
  <si>
    <t xml:space="preserve">72 Sunmola Street Mende, Maryland</t>
  </si>
  <si>
    <t xml:space="preserve">+2348137034488</t>
  </si>
  <si>
    <t xml:space="preserve">AIA Professional Services Limited</t>
  </si>
  <si>
    <t xml:space="preserve">Idiroko Maryland</t>
  </si>
  <si>
    <t xml:space="preserve">Tax consultant</t>
  </si>
  <si>
    <t xml:space="preserve">Idiroko Maryland, 299 Ikorodu Rd</t>
  </si>
  <si>
    <t xml:space="preserve">+2348033005344</t>
  </si>
  <si>
    <t xml:space="preserve">ATK CONSULTING LIMITED</t>
  </si>
  <si>
    <t xml:space="preserve">Olatunji House, 299 Ikorodu Road Idi Iroko Bus Stop Maryland Ikeja</t>
  </si>
  <si>
    <t xml:space="preserve">+2348028532914</t>
  </si>
  <si>
    <t xml:space="preserve">Baker Tilly Nigeria</t>
  </si>
  <si>
    <t xml:space="preserve">376</t>
  </si>
  <si>
    <t xml:space="preserve">376, Kresta Laurel Complex, Ikorodu Rd</t>
  </si>
  <si>
    <t xml:space="preserve">+2348023378194</t>
  </si>
  <si>
    <t xml:space="preserve">Fal business consulting</t>
  </si>
  <si>
    <t xml:space="preserve">12 Araromi St</t>
  </si>
  <si>
    <t xml:space="preserve">+2348027796353</t>
  </si>
  <si>
    <t xml:space="preserve">Gabriel Orokunle &amp; Co.</t>
  </si>
  <si>
    <t xml:space="preserve">4th Floor, Olatunji House, 299 Ikorodu Rd</t>
  </si>
  <si>
    <t xml:space="preserve">+2348033447401</t>
  </si>
  <si>
    <t xml:space="preserve">Genera</t>
  </si>
  <si>
    <t xml:space="preserve">350-360 Ikorodu-Ososun Road</t>
  </si>
  <si>
    <t xml:space="preserve">350-360 Ikorodu-Ososun Road, Maryland, Lagos</t>
  </si>
  <si>
    <t xml:space="preserve">+2347062230959</t>
  </si>
  <si>
    <t xml:space="preserve">Goodmark Insurance Brokers</t>
  </si>
  <si>
    <t xml:space="preserve">Suite 314 Opic Plaza</t>
  </si>
  <si>
    <t xml:space="preserve">Suite 314 Opic Plaza, Mobolaji Bank Anthony Way, Maryland, Ikeja</t>
  </si>
  <si>
    <t xml:space="preserve">+2348023087912</t>
  </si>
  <si>
    <t xml:space="preserve">Grok Consulting Limited</t>
  </si>
  <si>
    <t xml:space="preserve">11B Tola Adewunmi Street</t>
  </si>
  <si>
    <t xml:space="preserve">Financial / Professional</t>
  </si>
  <si>
    <t xml:space="preserve">11B Tola Adewunmi Street, Maryland TAAT Estate, Lagos</t>
  </si>
  <si>
    <t xml:space="preserve">+2348102639197</t>
  </si>
  <si>
    <t xml:space="preserve">GUMCO</t>
  </si>
  <si>
    <t xml:space="preserve">368 Ikorodu Rd</t>
  </si>
  <si>
    <t xml:space="preserve">368 Ikorodu Rd, Maryland, Lagos 105102</t>
  </si>
  <si>
    <t xml:space="preserve">+23412719450</t>
  </si>
  <si>
    <t xml:space="preserve">Hallmark Capital Limited</t>
  </si>
  <si>
    <t xml:space="preserve">7 Igbile Street</t>
  </si>
  <si>
    <t xml:space="preserve">7 Igbile Street, Mende Maryland, Lagos</t>
  </si>
  <si>
    <t xml:space="preserve">+2348186123653</t>
  </si>
  <si>
    <t xml:space="preserve">Hynstein Nigeria Limited</t>
  </si>
  <si>
    <t xml:space="preserve">9B Adedotun Dina Crescent</t>
  </si>
  <si>
    <t xml:space="preserve">9B Adedotun Dina Crescent, Maryland, Lagos</t>
  </si>
  <si>
    <t xml:space="preserve">+2348096365303</t>
  </si>
  <si>
    <t xml:space="preserve">John Ajayi &amp; Co</t>
  </si>
  <si>
    <t xml:space="preserve">299 Ikorodu Road</t>
  </si>
  <si>
    <t xml:space="preserve">Accounting / Professional</t>
  </si>
  <si>
    <t xml:space="preserve">299 Ikorodu Road, Idiroko, Maryland, Ikeja</t>
  </si>
  <si>
    <t xml:space="preserve">+2348023026327</t>
  </si>
  <si>
    <t xml:space="preserve">KICC Prayerdome</t>
  </si>
  <si>
    <t xml:space="preserve">13 Oki Ln</t>
  </si>
  <si>
    <t xml:space="preserve">Association / Organization</t>
  </si>
  <si>
    <t xml:space="preserve">LAWLINKS LEGAL PRACTITIONERS</t>
  </si>
  <si>
    <t xml:space="preserve">Agro Premium Commodities</t>
  </si>
  <si>
    <t xml:space="preserve">Agro Premium Commodities, 23 Sunmola Street</t>
  </si>
  <si>
    <t xml:space="preserve">+2348038783424</t>
  </si>
  <si>
    <t xml:space="preserve">Leitung Gate Limited</t>
  </si>
  <si>
    <t xml:space="preserve">4C Olatubosun Street</t>
  </si>
  <si>
    <t xml:space="preserve">4C Olatubosun Street, Shonibare Estate, Maryland, Lagos</t>
  </si>
  <si>
    <t xml:space="preserve">+23412930366</t>
  </si>
  <si>
    <t xml:space="preserve">LIMBsimple</t>
  </si>
  <si>
    <t xml:space="preserve">4 Adesoye St</t>
  </si>
  <si>
    <t xml:space="preserve">4 Adesoye St, Mende, Lagos 100211</t>
  </si>
  <si>
    <t xml:space="preserve">+2349090008883</t>
  </si>
  <si>
    <t xml:space="preserve">Mealplannerkitchn</t>
  </si>
  <si>
    <t xml:space="preserve">+2348022620072</t>
  </si>
  <si>
    <t xml:space="preserve">Montana Residence</t>
  </si>
  <si>
    <t xml:space="preserve">Munchies Fast Food Limited</t>
  </si>
  <si>
    <t xml:space="preserve">8 Isaac John St</t>
  </si>
  <si>
    <t xml:space="preserve">Navianco Insurance Brokers Limited</t>
  </si>
  <si>
    <t xml:space="preserve">1 Mobolaji Bank Anthony Way</t>
  </si>
  <si>
    <t xml:space="preserve">1 Mobolaji Bank Anthony Way, O.J. Holdings Building, Maryland, Ikeja</t>
  </si>
  <si>
    <t xml:space="preserve">Onigbongbo Micro Tax Office</t>
  </si>
  <si>
    <t xml:space="preserve">4B Mobolaji Bank Anthony Way</t>
  </si>
  <si>
    <t xml:space="preserve">Tax / Government Service</t>
  </si>
  <si>
    <t xml:space="preserve">4B Mobolaji Bank Anthony Way, Onigbongbo Maryland, Ikeja</t>
  </si>
  <si>
    <t xml:space="preserve">+2348113955031</t>
  </si>
  <si>
    <t xml:space="preserve">Overwood Investments</t>
  </si>
  <si>
    <t xml:space="preserve">12 Maryland Crescent</t>
  </si>
  <si>
    <t xml:space="preserve">12 Maryland Crescent, Maryland, Lagos</t>
  </si>
  <si>
    <t xml:space="preserve">+2349037936601</t>
  </si>
  <si>
    <t xml:space="preserve">Pepper Rice</t>
  </si>
  <si>
    <t xml:space="preserve">Rotimi Ibiyode &amp; Co</t>
  </si>
  <si>
    <t xml:space="preserve">Suite 313 Opic Plaza</t>
  </si>
  <si>
    <t xml:space="preserve">Suite 313 Opic Plaza, Mobolaji Bank Anthony Way, Maryland, Ikeja</t>
  </si>
  <si>
    <t xml:space="preserve">+2348033085515</t>
  </si>
  <si>
    <t xml:space="preserve">Sages &amp; Scribes Consultants</t>
  </si>
  <si>
    <t xml:space="preserve">Maryland Estate, 5A Aderibigbe Shitta St</t>
  </si>
  <si>
    <t xml:space="preserve">+2348034735875</t>
  </si>
  <si>
    <t xml:space="preserve">Step Nigeria</t>
  </si>
  <si>
    <t xml:space="preserve">58 Ajose Adeogun St</t>
  </si>
  <si>
    <t xml:space="preserve">58 Ajose Adeogun St, Mende, Lagos 105102</t>
  </si>
  <si>
    <t xml:space="preserve">+2347056063404</t>
  </si>
  <si>
    <t xml:space="preserve">THE MO OPTIMUM COMPANY</t>
  </si>
  <si>
    <t xml:space="preserve">301 Ikorodu Rd</t>
  </si>
  <si>
    <t xml:space="preserve">301 Ikorodu Rd, Maryland, Lagos 100212</t>
  </si>
  <si>
    <t xml:space="preserve">+2348144177341</t>
  </si>
  <si>
    <t xml:space="preserve">Trendy Inn Limited</t>
  </si>
  <si>
    <t xml:space="preserve">UrBizEdge Limited</t>
  </si>
  <si>
    <t xml:space="preserve">37 Sunmola Street</t>
  </si>
  <si>
    <t xml:space="preserve">37 Sunmola Street, Mende, Lagos 105102</t>
  </si>
  <si>
    <t xml:space="preserve">+2347039902445</t>
  </si>
  <si>
    <t xml:space="preserve">Virtual Accountant NG</t>
  </si>
  <si>
    <t xml:space="preserve">291 Ikorodu Road Idiroko Bus Stop Maryland Ikeja</t>
  </si>
  <si>
    <t xml:space="preserve">291 Ikorodu Road Idiroko Bus Stop Maryland Ikeja, Lagos 234001, Lagos, Nigeria</t>
  </si>
  <si>
    <t xml:space="preserve">+2348029753761</t>
  </si>
  <si>
    <t xml:space="preserve">https://www.google.com/maps/place/?q=place_id:ChIJxX2rQ4iNOxARbdcyfduTJzo</t>
  </si>
  <si>
    <t xml:space="preserve">Weatherheads Group</t>
  </si>
  <si>
    <t xml:space="preserve">1 Isaac John St</t>
  </si>
  <si>
    <t xml:space="preserve">+2348035160199</t>
  </si>
  <si>
    <t xml:space="preserve">Zane Organic Skincare</t>
  </si>
  <si>
    <t xml:space="preserve">A2z auto engineering workshop</t>
  </si>
  <si>
    <t xml:space="preserve">onigbongbo Central mosque</t>
  </si>
  <si>
    <t xml:space="preserve">onigbongbo Central mosque, 13 Palace Rd</t>
  </si>
  <si>
    <t xml:space="preserve">+2348116720214</t>
  </si>
  <si>
    <t xml:space="preserve">Asphalt Autos Nigeria</t>
  </si>
  <si>
    <t xml:space="preserve">54 Ajose St</t>
  </si>
  <si>
    <t xml:space="preserve">+2348166433106</t>
  </si>
  <si>
    <t xml:space="preserve">Auto mechanic work shop</t>
  </si>
  <si>
    <t xml:space="preserve">4 atiba Osborne Street mende Maryland Lagos</t>
  </si>
  <si>
    <t xml:space="preserve">Arena</t>
  </si>
  <si>
    <t xml:space="preserve">+2349024381150</t>
  </si>
  <si>
    <t xml:space="preserve">CAS Touch Auto Workshop</t>
  </si>
  <si>
    <t xml:space="preserve">Auto body shop</t>
  </si>
  <si>
    <t xml:space="preserve">+2348039503656</t>
  </si>
  <si>
    <t xml:space="preserve">Complete Autocare Services</t>
  </si>
  <si>
    <t xml:space="preserve">by Military Cantonment</t>
  </si>
  <si>
    <t xml:space="preserve">by Military Cantonment, Maryland, 14b Ijaola St</t>
  </si>
  <si>
    <t xml:space="preserve">+2348139503656</t>
  </si>
  <si>
    <t xml:space="preserve">Despacito Auto Services Center</t>
  </si>
  <si>
    <t xml:space="preserve">Mechanic</t>
  </si>
  <si>
    <t xml:space="preserve">Maryland, ikorodu-ososun road, 200m before Maryland Mall</t>
  </si>
  <si>
    <t xml:space="preserve">+2349042222250</t>
  </si>
  <si>
    <t xml:space="preserve">First Class Auto Center</t>
  </si>
  <si>
    <t xml:space="preserve">Guarded Wheels Car Wash</t>
  </si>
  <si>
    <t xml:space="preserve">H99G+QXR</t>
  </si>
  <si>
    <t xml:space="preserve">H99G+QXR, Adekayode St</t>
  </si>
  <si>
    <t xml:space="preserve">OG Harry Automobile</t>
  </si>
  <si>
    <t xml:space="preserve">1 Tola adewumi Cl</t>
  </si>
  <si>
    <t xml:space="preserve">+2348025667744</t>
  </si>
  <si>
    <t xml:space="preserve">Parkit Car Wash &amp; Spa</t>
  </si>
  <si>
    <t xml:space="preserve">Maryland mall, 350-360 Ikorodu Rd</t>
  </si>
  <si>
    <t xml:space="preserve">+2349031526466</t>
  </si>
  <si>
    <t xml:space="preserve">The Motor Groomers Maryland</t>
  </si>
  <si>
    <t xml:space="preserve">+2348101161204</t>
  </si>
  <si>
    <t xml:space="preserve">Total Package Solutions Automobile Services</t>
  </si>
  <si>
    <t xml:space="preserve">8 Ibironke Cres</t>
  </si>
  <si>
    <t xml:space="preserve">+2348023195397</t>
  </si>
  <si>
    <t xml:space="preserve">Tritan Autoworks</t>
  </si>
  <si>
    <t xml:space="preserve">+2348096385216</t>
  </si>
  <si>
    <t xml:space="preserve">Benymart apartments</t>
  </si>
  <si>
    <t xml:space="preserve">42 Adeoye Adeyemi Rd</t>
  </si>
  <si>
    <t xml:space="preserve">Short term apartment rental agency</t>
  </si>
  <si>
    <t xml:space="preserve">Casimier Studios</t>
  </si>
  <si>
    <t xml:space="preserve">27 Atiba Osborne St</t>
  </si>
  <si>
    <t xml:space="preserve">+2348036844463</t>
  </si>
  <si>
    <t xml:space="preserve">Charleys Lounge, Bar and Restaurant</t>
  </si>
  <si>
    <t xml:space="preserve">Cold Studios</t>
  </si>
  <si>
    <t xml:space="preserve">13 Abbi St</t>
  </si>
  <si>
    <t xml:space="preserve">+2347030823667</t>
  </si>
  <si>
    <t xml:space="preserve">D'Lords Chills &amp; Grills</t>
  </si>
  <si>
    <t xml:space="preserve">364 Ikorodu-Ososun Rd</t>
  </si>
  <si>
    <t xml:space="preserve">Eni's Restaurant and Lounge</t>
  </si>
  <si>
    <t xml:space="preserve">37 Ajose St</t>
  </si>
  <si>
    <t xml:space="preserve">37 Ajose St, Mende, Lagos 105102</t>
  </si>
  <si>
    <t xml:space="preserve">+2348132204578</t>
  </si>
  <si>
    <t xml:space="preserve">Face of Maryland Beauty Pageant</t>
  </si>
  <si>
    <t xml:space="preserve">3b Olaide Benson St</t>
  </si>
  <si>
    <t xml:space="preserve">Entertainment agency</t>
  </si>
  <si>
    <t xml:space="preserve">Famoux Lounge &amp; Bar Car Wash n Grill</t>
  </si>
  <si>
    <t xml:space="preserve">Lounge bar</t>
  </si>
  <si>
    <t xml:space="preserve">Local Government Area, 54 Ajose Street, Mende Kosofe, 80 Ajose St</t>
  </si>
  <si>
    <t xml:space="preserve">Favoured Place</t>
  </si>
  <si>
    <t xml:space="preserve">23 Ikorodu Rd</t>
  </si>
  <si>
    <t xml:space="preserve">+2349037090689</t>
  </si>
  <si>
    <t xml:space="preserve">FotoSpeed Lagos / Kodak Nigeria / Indigo Africa</t>
  </si>
  <si>
    <t xml:space="preserve">+2349077677778</t>
  </si>
  <si>
    <t xml:space="preserve">G3 Event Centre</t>
  </si>
  <si>
    <t xml:space="preserve">19 Oki Ln</t>
  </si>
  <si>
    <t xml:space="preserve">Conference center</t>
  </si>
  <si>
    <t xml:space="preserve">Genesis Cinemas Maryland Mall</t>
  </si>
  <si>
    <t xml:space="preserve">Entertainment</t>
  </si>
  <si>
    <t xml:space="preserve">+2348090442086</t>
  </si>
  <si>
    <t xml:space="preserve">Khadijat Event Ventures</t>
  </si>
  <si>
    <t xml:space="preserve">44 Sunmola Street Mende Maryland</t>
  </si>
  <si>
    <t xml:space="preserve">44 Sunmola Street Mende Maryland, beside Maryland Mall</t>
  </si>
  <si>
    <t xml:space="preserve">+2349027772640</t>
  </si>
  <si>
    <t xml:space="preserve">KIJ Villa</t>
  </si>
  <si>
    <t xml:space="preserve">9A Alshonny Cl</t>
  </si>
  <si>
    <t xml:space="preserve">9A Alshonny Cl, Shonibare Est</t>
  </si>
  <si>
    <t xml:space="preserve">+2349053400451</t>
  </si>
  <si>
    <t xml:space="preserve">Leisure Residence</t>
  </si>
  <si>
    <t xml:space="preserve">7 Akin Adekomaya</t>
  </si>
  <si>
    <t xml:space="preserve">+2348028928249</t>
  </si>
  <si>
    <t xml:space="preserve">Mo's Lashbar</t>
  </si>
  <si>
    <t xml:space="preserve">Optimum Lounge &amp; Residence</t>
  </si>
  <si>
    <t xml:space="preserve">Party, Meeting, Events, Training Halls Hire, Maryland</t>
  </si>
  <si>
    <t xml:space="preserve">Olatunji House, 299 Ikorodu Road, Idi Iroko Bus Stop, Maryland</t>
  </si>
  <si>
    <t xml:space="preserve">+2347017263830</t>
  </si>
  <si>
    <t xml:space="preserve">ProArt Creative Cloud Ltd</t>
  </si>
  <si>
    <t xml:space="preserve">364 Ikorodu-Ososun Rd, opposite Zenith Bank Plc</t>
  </si>
  <si>
    <t xml:space="preserve">+2349058209000</t>
  </si>
  <si>
    <t xml:space="preserve">Purple Crib Studios</t>
  </si>
  <si>
    <t xml:space="preserve">Chevron Estate</t>
  </si>
  <si>
    <t xml:space="preserve">Chevron Estate, 10 Huitt close</t>
  </si>
  <si>
    <t xml:space="preserve">+2347030720244</t>
  </si>
  <si>
    <t xml:space="preserve">Sentinel Event Centre</t>
  </si>
  <si>
    <t xml:space="preserve">13 A Ikorodu Rd</t>
  </si>
  <si>
    <t xml:space="preserve">+2348073684635</t>
  </si>
  <si>
    <t xml:space="preserve">Seventh Day Adventist Church Maryland</t>
  </si>
  <si>
    <t xml:space="preserve">524 Ikorodu Rd</t>
  </si>
  <si>
    <t xml:space="preserve">Seventh-day Adventist church</t>
  </si>
  <si>
    <t xml:space="preserve">Six Fifteen Bar &amp; Event Centre</t>
  </si>
  <si>
    <t xml:space="preserve">Starco Photo Studio</t>
  </si>
  <si>
    <t xml:space="preserve">2 Araromi St</t>
  </si>
  <si>
    <t xml:space="preserve">+2348104726253</t>
  </si>
  <si>
    <t xml:space="preserve">The Novus Centre</t>
  </si>
  <si>
    <t xml:space="preserve">12K Ismail Est</t>
  </si>
  <si>
    <t xml:space="preserve">12K Ismail Est, Kosofe, Lagos 101233, Lagos, Nigeria</t>
  </si>
  <si>
    <t xml:space="preserve">+2348099452731</t>
  </si>
  <si>
    <t xml:space="preserve">https://www.google.com/maps/place/?q=place_id:ChIJ3Z877SGNOxARXaRa40pb8a0</t>
  </si>
  <si>
    <t xml:space="preserve">The Place Maryland Mall</t>
  </si>
  <si>
    <t xml:space="preserve">Maryland Mall, Old Maryland Shopping Complex, Maryland, Lagos</t>
  </si>
  <si>
    <t xml:space="preserve">+2347067643666</t>
  </si>
  <si>
    <t xml:space="preserve">The Real Bar Spot</t>
  </si>
  <si>
    <t xml:space="preserve">H9G9+78P</t>
  </si>
  <si>
    <t xml:space="preserve">H9G9+78P, Bayo Adejonwo St</t>
  </si>
  <si>
    <t xml:space="preserve">Waffrika Studios</t>
  </si>
  <si>
    <t xml:space="preserve">19B Bush St</t>
  </si>
  <si>
    <t xml:space="preserve">+2349072478752</t>
  </si>
  <si>
    <t xml:space="preserve">YOMISALAAM PHOTOGRAPHY</t>
  </si>
  <si>
    <t xml:space="preserve">+2348094311709</t>
  </si>
  <si>
    <t xml:space="preserve">Zen Studios</t>
  </si>
  <si>
    <t xml:space="preserve">15 Akinwunmi Street</t>
  </si>
  <si>
    <t xml:space="preserve">Amato Kitchen And Bar</t>
  </si>
  <si>
    <t xml:space="preserve">+2349090030143</t>
  </si>
  <si>
    <t xml:space="preserve">Bosfol</t>
  </si>
  <si>
    <t xml:space="preserve">8 Ijaola Street</t>
  </si>
  <si>
    <t xml:space="preserve">Food / Catering</t>
  </si>
  <si>
    <t xml:space="preserve">8 Ijaola Street, Maryland, Ikeja, Lagos</t>
  </si>
  <si>
    <t xml:space="preserve">+2348023548182</t>
  </si>
  <si>
    <t xml:space="preserve">Bukrash Catering Services</t>
  </si>
  <si>
    <t xml:space="preserve">H9C7+86H</t>
  </si>
  <si>
    <t xml:space="preserve">H9C7+86H, Araromi St</t>
  </si>
  <si>
    <t xml:space="preserve">Cravings By Hauwa</t>
  </si>
  <si>
    <t xml:space="preserve">6 Solanke Cl</t>
  </si>
  <si>
    <t xml:space="preserve">+2349021380566</t>
  </si>
  <si>
    <t xml:space="preserve">Creative Cooks</t>
  </si>
  <si>
    <t xml:space="preserve">11B Adeoye Adeyemi Rd</t>
  </si>
  <si>
    <t xml:space="preserve">+2348035761513</t>
  </si>
  <si>
    <t xml:space="preserve">D'zauce Comestibles</t>
  </si>
  <si>
    <t xml:space="preserve">+2348067693707</t>
  </si>
  <si>
    <t xml:space="preserve">EDIBLESBYDHARMY'S KITCHEN VENTURES</t>
  </si>
  <si>
    <t xml:space="preserve">FLAT 15, TA Lagbaja Cantonment, CBQ 10</t>
  </si>
  <si>
    <t xml:space="preserve">+2349021801482</t>
  </si>
  <si>
    <t xml:space="preserve">Honeybee Catering Service</t>
  </si>
  <si>
    <t xml:space="preserve">2 Oguntonade Close</t>
  </si>
  <si>
    <t xml:space="preserve">2 Oguntonade Close, Mende Maryland, Lagos</t>
  </si>
  <si>
    <t xml:space="preserve">+2348059385879</t>
  </si>
  <si>
    <t xml:space="preserve">Kadines Soup Pot</t>
  </si>
  <si>
    <t xml:space="preserve">7 Olabisi Cl</t>
  </si>
  <si>
    <t xml:space="preserve">+2349094850003</t>
  </si>
  <si>
    <t xml:space="preserve">Lux Treat Catering Services</t>
  </si>
  <si>
    <t xml:space="preserve">7 Sunmola Street, Maryland, Lagos</t>
  </si>
  <si>
    <t xml:space="preserve">+2348130354444</t>
  </si>
  <si>
    <t xml:space="preserve">Spicedge</t>
  </si>
  <si>
    <t xml:space="preserve">+23418975603</t>
  </si>
  <si>
    <t xml:space="preserve">Spicedge Foods</t>
  </si>
  <si>
    <t xml:space="preserve">8 Aderibigbe Shitta Street</t>
  </si>
  <si>
    <t xml:space="preserve">8 Aderibigbe Shitta Street, Off Ikorodu Road, Maryland, Lagos</t>
  </si>
  <si>
    <t xml:space="preserve">+2349090994948</t>
  </si>
  <si>
    <t xml:space="preserve">Temmy Tastee Catering Services</t>
  </si>
  <si>
    <t xml:space="preserve">1 Ajegunle Street</t>
  </si>
  <si>
    <t xml:space="preserve">1 Ajegunle Street, Maryland, Ikeja, Lagos</t>
  </si>
  <si>
    <t xml:space="preserve">+2348062237455</t>
  </si>
  <si>
    <t xml:space="preserve">Vesper Signatures</t>
  </si>
  <si>
    <t xml:space="preserve">4 Akerele Ln</t>
  </si>
  <si>
    <t xml:space="preserve">+2349022177640</t>
  </si>
  <si>
    <t xml:space="preserve">Vicbos Caterers</t>
  </si>
  <si>
    <t xml:space="preserve">COVERAGE BY CATCHMENT</t>
  </si>
  <si>
    <t xml:space="preserve">Businesses</t>
  </si>
  <si>
    <t xml:space="preserve">Priority B</t>
  </si>
  <si>
    <t xml:space="preserve">Priority C</t>
  </si>
  <si>
    <t xml:space="preserve">With phone</t>
  </si>
  <si>
    <t xml:space="preserve">COVERAGE BY CATEGORY (18-CATEGORY TAXONOMY)</t>
  </si>
  <si>
    <t xml:space="preserve">Avg Google rating</t>
  </si>
  <si>
    <t xml:space="preserve">RESEARCH MATRIX - WHERE THE GAPS ARE</t>
  </si>
  <si>
    <t xml:space="preserve">Target per cell is a planning benchmark for a catchment of this size, not a hard quota. Sort by Gap to see what to canvass next.</t>
  </si>
  <si>
    <t xml:space="preserve">Found</t>
  </si>
  <si>
    <t xml:space="preserve">Target</t>
  </si>
  <si>
    <t xml:space="preserve">Gap</t>
  </si>
  <si>
    <t xml:space="preserve">Coverage</t>
  </si>
  <si>
    <t xml:space="preserve">Status</t>
  </si>
  <si>
    <t xml:space="preserve">Next Action</t>
  </si>
  <si>
    <t xml:space="preserve">WHERE THE DATA CAME FROM</t>
  </si>
  <si>
    <t xml:space="preserve">Source</t>
  </si>
  <si>
    <t xml:space="preserve">What it contributed</t>
  </si>
  <si>
    <t xml:space="preserve">Records</t>
  </si>
  <si>
    <t xml:space="preserve">How it was used</t>
  </si>
  <si>
    <t xml:space="preserve">Reference</t>
  </si>
  <si>
    <t xml:space="preserve">Names, addresses, phones, websites, ratings, review counts and coordinates for the Anthony Village catchment across 48 category searches.</t>
  </si>
  <si>
    <t xml:space="preserve">Primary discovery + verification for Anthony</t>
  </si>
  <si>
    <t xml:space="preserve">https://apify.com/compass/crawler-google-places</t>
  </si>
  <si>
    <t xml:space="preserve">The same fields for the Maryland / Mende catchment, collected across 28 category searches centred on 6.5700 / 3.3685.</t>
  </si>
  <si>
    <t xml:space="preserve">Primary discovery + verification for Maryland</t>
  </si>
  <si>
    <t xml:space="preserve">https://www.google.com/maps</t>
  </si>
  <si>
    <t xml:space="preserve">Legacy seed database</t>
  </si>
  <si>
    <t xml:space="preserve">The 265 records in the previous workbook, sourced from Finelib, NGEX, Cybo and local search.</t>
  </si>
  <si>
    <t xml:space="preserve">Retained in full; re-categorised and re-assigned by catchment</t>
  </si>
  <si>
    <t xml:space="preserve">Anthony_Community_Media_MASTER_DATABASE_SUMMARIES_POPULATED.xlsx</t>
  </si>
  <si>
    <t xml:space="preserve">Legacy + Google (merged)</t>
  </si>
  <si>
    <t xml:space="preserve">Records that appeared in both the old database and Google Maps, merged into a single richer row.</t>
  </si>
  <si>
    <t xml:space="preserve">Cross-verification - highest confidence records</t>
  </si>
  <si>
    <t xml:space="preserve">Both of the above</t>
  </si>
  <si>
    <t xml:space="preserve">Finelib</t>
  </si>
  <si>
    <t xml:space="preserve">Area and category business listings with phones and addresses.</t>
  </si>
  <si>
    <t xml:space="preserve">see legacy</t>
  </si>
  <si>
    <t xml:space="preserve">Directory cross-reference</t>
  </si>
  <si>
    <t xml:space="preserve">https://www.finelib.com/cities/lagos/areas-and-suburbs/anthony-village</t>
  </si>
  <si>
    <t xml:space="preserve">NGEX</t>
  </si>
  <si>
    <t xml:space="preserve">Area and category listings and business profiles.</t>
  </si>
  <si>
    <t xml:space="preserve">Cross-reference + categories</t>
  </si>
  <si>
    <t xml:space="preserve">https://ngex.com/</t>
  </si>
  <si>
    <t xml:space="preserve">Cybo</t>
  </si>
  <si>
    <t xml:space="preserve">Street and postal-code business listings.</t>
  </si>
  <si>
    <t xml:space="preserve">Cross-reference</t>
  </si>
  <si>
    <t xml:space="preserve">https://www.cybo.com/</t>
  </si>
  <si>
    <t xml:space="preserve">OpenStreetMap</t>
  </si>
  <si>
    <t xml:space="preserve">Street-level points of interest used to confirm the true boundaries of the Maryland / Mende catchment.</t>
  </si>
  <si>
    <t xml:space="preserve">boundary check</t>
  </si>
  <si>
    <t xml:space="preserve">Geographic validation only</t>
  </si>
  <si>
    <t xml:space="preserve">https://www.openstreetmap.org/</t>
  </si>
  <si>
    <t xml:space="preserve">OUT-OF-AREA POOL (NOT PART OF THE MASTER COUNT)</t>
  </si>
  <si>
    <t xml:space="preserve">Businesses captured by the same scrape that fall outside the two target catchments - mostly Ilupeju, Gbagada, Obanikoro, Oshodi and Ikeja GRA. Kept here in case the magazine expands its footprint. These are NOT counted anywhere else in this workbook.</t>
  </si>
  <si>
    <t xml:space="preserve">157 GARDENS EVENT CENTER</t>
  </si>
  <si>
    <t xml:space="preserve">157 Ikorodu Rd, Onipanu, Lagos 102215, Lagos, Nigeria</t>
  </si>
  <si>
    <t xml:space="preserve">+2349033984069</t>
  </si>
  <si>
    <t xml:space="preserve">https://www.157gardens.com/</t>
  </si>
  <si>
    <t xml:space="preserve">2talk Barbershop</t>
  </si>
  <si>
    <t xml:space="preserve">2 idera street oworonshoki, 2 Idera St, Oworosoki, Lagos, Nigeria</t>
  </si>
  <si>
    <t xml:space="preserve">+2348082868332</t>
  </si>
  <si>
    <t xml:space="preserve">https://2talk-barbershop.vercel.app/</t>
  </si>
  <si>
    <t xml:space="preserve">34SND Pictures</t>
  </si>
  <si>
    <t xml:space="preserve">1 Buraimoh St, Obanikoro, Lagos 102216, Lagos, Nigeria</t>
  </si>
  <si>
    <t xml:space="preserve">+2347010335542</t>
  </si>
  <si>
    <t xml:space="preserve">369 Concepts</t>
  </si>
  <si>
    <t xml:space="preserve">23 Obalodu St, Ilupeju, Lagos 102215, Lagos, Nigeria</t>
  </si>
  <si>
    <t xml:space="preserve">+2348127202139</t>
  </si>
  <si>
    <t xml:space="preserve">A New U Gym and Spa</t>
  </si>
  <si>
    <t xml:space="preserve">52 Salaudeen Akano St, Kosofe, Lagos 105102, Lagos, Nigeria</t>
  </si>
  <si>
    <t xml:space="preserve">+2348033083244</t>
  </si>
  <si>
    <t xml:space="preserve">A1 PLUMBING SOLUTIONS</t>
  </si>
  <si>
    <t xml:space="preserve">H86W+9V3, Akinpelu St, Mafoluku Oshodi, Lagos 102214, Lagos, Nigeria</t>
  </si>
  <si>
    <t xml:space="preserve">+2347060718725</t>
  </si>
  <si>
    <t xml:space="preserve">A2 Barber Shop</t>
  </si>
  <si>
    <t xml:space="preserve">27 Adifase St, Somolu, Lagos 102216, Lagos, Nigeria</t>
  </si>
  <si>
    <t xml:space="preserve">AA Store</t>
  </si>
  <si>
    <t xml:space="preserve">Lagos NG, 4 Alaba St, Oworosoki, Oworonshoki 105102, Lagos, Nigeria</t>
  </si>
  <si>
    <t xml:space="preserve">+2348025619340</t>
  </si>
  <si>
    <t xml:space="preserve">AB Electronics</t>
  </si>
  <si>
    <t xml:space="preserve">Oshodi Road Oshodi Local Government Area, Oshodi-Isolo, Lagos, Nigeria</t>
  </si>
  <si>
    <t xml:space="preserve">+2348130409105</t>
  </si>
  <si>
    <t xml:space="preserve">AB Soyemi Car Wash</t>
  </si>
  <si>
    <t xml:space="preserve">32 Boladale St, Orile Oshodi, Lagos 102214, Lagos, Nigeria</t>
  </si>
  <si>
    <t xml:space="preserve">Abbey Japanese Mechanical Specialist</t>
  </si>
  <si>
    <t xml:space="preserve">Akinyemi Street off Fatai Atare, Matori Street, Way, Lagos, Nigeria</t>
  </si>
  <si>
    <t xml:space="preserve">+2348186586747</t>
  </si>
  <si>
    <t xml:space="preserve">Abdul Lateef Memorial School</t>
  </si>
  <si>
    <t xml:space="preserve">Local Government, 14 Pako Bustop, Apapa Oworonshoki Expy, Kosofe, Oworonshoki 100221, Lagos, Nigeria</t>
  </si>
  <si>
    <t xml:space="preserve">+2348179181712</t>
  </si>
  <si>
    <t xml:space="preserve">Abednigo Nursery school</t>
  </si>
  <si>
    <t xml:space="preserve">Kindergarten</t>
  </si>
  <si>
    <t xml:space="preserve">12 C.A.C St, Papa Ajao, Lagos 102215, Lagos, Nigeria</t>
  </si>
  <si>
    <t xml:space="preserve">Abitex trading Store(main store)</t>
  </si>
  <si>
    <t xml:space="preserve">Oshodi market, 8, Macarthy lane, off Brown St, Oshodi, Lagos, Nigeria</t>
  </si>
  <si>
    <t xml:space="preserve">+2348037195943</t>
  </si>
  <si>
    <t xml:space="preserve">Abiye Clinic and Maternity Home</t>
  </si>
  <si>
    <t xml:space="preserve">HC42+299, Oworosoki, Lagos 105102, Lagos, Nigeria</t>
  </si>
  <si>
    <t xml:space="preserve">Academy Press PLC</t>
  </si>
  <si>
    <t xml:space="preserve">Commercial printer</t>
  </si>
  <si>
    <t xml:space="preserve">28/32 Ilupeju Industrial Ave, Ilupeju, Lagos 100252, Lagos, Nigeria</t>
  </si>
  <si>
    <t xml:space="preserve">+2349030001367</t>
  </si>
  <si>
    <t xml:space="preserve">http://academypress-plc.com/</t>
  </si>
  <si>
    <t xml:space="preserve">Acculab Diagnostic Limited</t>
  </si>
  <si>
    <t xml:space="preserve">62 Jagun Molu St, Bariga, Lagos 100223, Lagos, Nigeria</t>
  </si>
  <si>
    <t xml:space="preserve">+2347050948565</t>
  </si>
  <si>
    <t xml:space="preserve">Acem Insurance</t>
  </si>
  <si>
    <t xml:space="preserve">H948+3RG, Ikorodu Road Service Lane, Ilupeju, Lagos 102216, Lagos, Nigeria</t>
  </si>
  <si>
    <t xml:space="preserve">Acharomi plumbing solution</t>
  </si>
  <si>
    <t xml:space="preserve">9 Akin-Lawanson St, Oshodi-Isolo, Lagos 102214, Lagos, Nigeria</t>
  </si>
  <si>
    <t xml:space="preserve">+2349035870924</t>
  </si>
  <si>
    <t xml:space="preserve">Acorn Insurance Brokers Ltd</t>
  </si>
  <si>
    <t xml:space="preserve">223 Ikorodu Rd, Ilupeju, Lagos 100252, Lagos, Nigeria</t>
  </si>
  <si>
    <t xml:space="preserve">ADAspecial catering services</t>
  </si>
  <si>
    <t xml:space="preserve">25 Adeyinka St, Ilupeju, Lagos 102215, Lagos, Nigeria</t>
  </si>
  <si>
    <t xml:space="preserve">+2348066460771</t>
  </si>
  <si>
    <t xml:space="preserve">Addide Akoka Supermarket</t>
  </si>
  <si>
    <t xml:space="preserve">75 St Finbarr's College Rd, Akoka, Lagos 102216, Lagos, Nigeria</t>
  </si>
  <si>
    <t xml:space="preserve">+2348024335018</t>
  </si>
  <si>
    <t xml:space="preserve">http://www.addide.com/</t>
  </si>
  <si>
    <t xml:space="preserve">Addide HQ</t>
  </si>
  <si>
    <t xml:space="preserve">16/18 Dahomey St, Somolu, Barriga 102216, Lagos, Nigeria</t>
  </si>
  <si>
    <t xml:space="preserve">Adebiyi Eniola Photography</t>
  </si>
  <si>
    <t xml:space="preserve">6 Oluseun Cres, behind corona school, Gbagada, Lagos 200001, Lagos, Nigeria</t>
  </si>
  <si>
    <t xml:space="preserve">+2347081804286</t>
  </si>
  <si>
    <t xml:space="preserve">Adedoyin spa</t>
  </si>
  <si>
    <t xml:space="preserve">4 BODE JOSEPH STR, Oworo Rd, Yaba, Lagos, Nigeria</t>
  </si>
  <si>
    <t xml:space="preserve">+2348035781634</t>
  </si>
  <si>
    <t xml:space="preserve">Adegbite Adeyemo &amp; Co (Chartered Accountants)</t>
  </si>
  <si>
    <t xml:space="preserve">+2348029112556</t>
  </si>
  <si>
    <t xml:space="preserve">http://www.adegbiteadeyemo.com/</t>
  </si>
  <si>
    <t xml:space="preserve">Ademola Dere &amp; Co</t>
  </si>
  <si>
    <t xml:space="preserve">Odi-olowo, 6 Coker Rd, Ilupeju, Lagos 102215, Lagos, Nigeria</t>
  </si>
  <si>
    <t xml:space="preserve">+2348039118528</t>
  </si>
  <si>
    <t xml:space="preserve">Adewale Plumbing Ltd</t>
  </si>
  <si>
    <t xml:space="preserve">Old Adeoye St, Mafoluku Oshodi, Lagos 102214, Lagos, Nigeria</t>
  </si>
  <si>
    <t xml:space="preserve">Adex Beauty Salon</t>
  </si>
  <si>
    <t xml:space="preserve">7 Adetoke St, Brigade, Lagos 102216, Lagos, Nigeria</t>
  </si>
  <si>
    <t xml:space="preserve">+2348081633847</t>
  </si>
  <si>
    <t xml:space="preserve">Adexen</t>
  </si>
  <si>
    <t xml:space="preserve">Allied House, 227 Town Planning Way, Ikorodu Rd, Ilupeju, Lagos 102215, Lagos, Nigeria</t>
  </si>
  <si>
    <t xml:space="preserve">+2348024346820</t>
  </si>
  <si>
    <t xml:space="preserve">http://www.adexen.com/</t>
  </si>
  <si>
    <t xml:space="preserve">Adeyemi Provision Store</t>
  </si>
  <si>
    <t xml:space="preserve">Store</t>
  </si>
  <si>
    <t xml:space="preserve">29 Church St, Mafoluku Oshodi, Lagos 102214, Lagos, Nigeria</t>
  </si>
  <si>
    <t xml:space="preserve">+2348044080893</t>
  </si>
  <si>
    <t xml:space="preserve">Ado Guest House</t>
  </si>
  <si>
    <t xml:space="preserve">Guest house</t>
  </si>
  <si>
    <t xml:space="preserve">Oloruntoyin St, Somolu, Lagos 102216, Lagos, Nigeria</t>
  </si>
  <si>
    <t xml:space="preserve">Afaha and Afaha Investment</t>
  </si>
  <si>
    <t xml:space="preserve">Oshodi, Lagos 100261, Lagos, Nigeria</t>
  </si>
  <si>
    <t xml:space="preserve">+2348033907736</t>
  </si>
  <si>
    <t xml:space="preserve">https://www.facebook.com/share/1BNPYnrNBR/</t>
  </si>
  <si>
    <t xml:space="preserve">Affordable Properties</t>
  </si>
  <si>
    <t xml:space="preserve">Sura Mogaji St, Ilupeju, Lagos 100252, Lagos, Nigeria</t>
  </si>
  <si>
    <t xml:space="preserve">+2347038319834</t>
  </si>
  <si>
    <t xml:space="preserve">AFUS REAL ESTATE SERVICES LTD</t>
  </si>
  <si>
    <t xml:space="preserve">Odi-olowo, 16 Kolawole Shonibare St, Ilupeju, Lagos 100252, Lagos, Nigeria</t>
  </si>
  <si>
    <t xml:space="preserve">+2348036210138</t>
  </si>
  <si>
    <t xml:space="preserve">Aikson Global Associates Limited</t>
  </si>
  <si>
    <t xml:space="preserve">Digital printing service</t>
  </si>
  <si>
    <t xml:space="preserve">1, Ajose Adeogun close, off Oyefeso Ave, Obanikoro, Lagos 100232, Lagos, Nigeria</t>
  </si>
  <si>
    <t xml:space="preserve">+2348033439963</t>
  </si>
  <si>
    <t xml:space="preserve">http://www.aiksonglobal.com/</t>
  </si>
  <si>
    <t xml:space="preserve">Air Liquide Nigeria Plc</t>
  </si>
  <si>
    <t xml:space="preserve">84 Ladipo St, Mushin, Lagos 102215, Lagos, Nigeria</t>
  </si>
  <si>
    <t xml:space="preserve">Airport Golden Tulip Hotel</t>
  </si>
  <si>
    <t xml:space="preserve">Airport Golden Tulip Hotel Lagos, 40–42 Airport Rd, opposite Ibis Hotel Royale, Ajao Estate, Ikeja 102214, Lagos, Nigeria</t>
  </si>
  <si>
    <t xml:space="preserve">+2348157003333</t>
  </si>
  <si>
    <t xml:space="preserve">https://airportgoldentuliphotel.com/</t>
  </si>
  <si>
    <t xml:space="preserve">AJ salon</t>
  </si>
  <si>
    <t xml:space="preserve">Shop 75 ojo street, mushin, Lagos 300001, Lagos, Nigeria</t>
  </si>
  <si>
    <t xml:space="preserve">+2348154610351</t>
  </si>
  <si>
    <t xml:space="preserve">Ajerem properties</t>
  </si>
  <si>
    <t xml:space="preserve">Commercial real estate agency</t>
  </si>
  <si>
    <t xml:space="preserve">215-219 Olabode house obanikoro illupeju lagos, Mushin, Ikeja 100001, Lagos, Nigeria</t>
  </si>
  <si>
    <t xml:space="preserve">+2348155055276</t>
  </si>
  <si>
    <t xml:space="preserve">Ajitech Electrical Engineering Limited</t>
  </si>
  <si>
    <t xml:space="preserve">10, 33 Micheal St, Ojuolobun Street, Victoria Island, Lagos 102214, Lagos, Nigeria</t>
  </si>
  <si>
    <t xml:space="preserve">+2348168036108</t>
  </si>
  <si>
    <t xml:space="preserve">Ajoke A.K And Beauty Salon</t>
  </si>
  <si>
    <t xml:space="preserve">7 Peluola St, Oworosoki, Lagos 105102, Lagos, Nigeria</t>
  </si>
  <si>
    <t xml:space="preserve">+2348020927268</t>
  </si>
  <si>
    <t xml:space="preserve">Akara Ogheneworo Photograph</t>
  </si>
  <si>
    <t xml:space="preserve">17 Esther Oshiyemi St, Ilupeju, Lagos 102215, Lagos, Nigeria</t>
  </si>
  <si>
    <t xml:space="preserve">Akefada International Ltd</t>
  </si>
  <si>
    <t xml:space="preserve">248 Ikorodu Rd, Obanikoro, Lagos 102216, Lagos, Nigeria</t>
  </si>
  <si>
    <t xml:space="preserve">+2349026669981</t>
  </si>
  <si>
    <t xml:space="preserve">http://www.akefadainternational.com/</t>
  </si>
  <si>
    <t xml:space="preserve">Akintola Williams Deloitte</t>
  </si>
  <si>
    <t xml:space="preserve">Business center</t>
  </si>
  <si>
    <t xml:space="preserve">Akintola Williams Deloitte House, 235 Ikorodu Rd, Ilupeju, Lagos 102215, Lagos, Nigeria</t>
  </si>
  <si>
    <t xml:space="preserve">https://www2.deloitte.com/</t>
  </si>
  <si>
    <t xml:space="preserve">Akonji S Supermarket</t>
  </si>
  <si>
    <t xml:space="preserve">New Garage, 1 Alarape St, Bariga, Lagos 102216, Lagos, Nigeria</t>
  </si>
  <si>
    <t xml:space="preserve">+2348034945917</t>
  </si>
  <si>
    <t xml:space="preserve">Al - Irshad Nursery and Primary School</t>
  </si>
  <si>
    <t xml:space="preserve">29 Akinwunmi St, Gbagada, Lagos 105102, Lagos, Nigeria</t>
  </si>
  <si>
    <t xml:space="preserve">Alan King 1875</t>
  </si>
  <si>
    <t xml:space="preserve">274 Ikorodu Rd, Obanikoro, Lagos 102216, Lagos, Nigeria</t>
  </si>
  <si>
    <t xml:space="preserve">+2348023164277</t>
  </si>
  <si>
    <t xml:space="preserve">http://alanking1875.com/</t>
  </si>
  <si>
    <t xml:space="preserve">Alaro guest house</t>
  </si>
  <si>
    <t xml:space="preserve">Campground</t>
  </si>
  <si>
    <t xml:space="preserve">Ali, off, olojojo bus stop, No 15, Oworonshoki, Lagos, Nigeria</t>
  </si>
  <si>
    <t xml:space="preserve">+2347016954422</t>
  </si>
  <si>
    <t xml:space="preserve">Alayo Beauty Salon</t>
  </si>
  <si>
    <t xml:space="preserve">Off Alayaki Street, Mushin, 89 Olateju St, Lagos, Nigeria</t>
  </si>
  <si>
    <t xml:space="preserve">+2348187472344</t>
  </si>
  <si>
    <t xml:space="preserve">Aldamak Nouran Secondary School</t>
  </si>
  <si>
    <t xml:space="preserve">High school</t>
  </si>
  <si>
    <t xml:space="preserve">9 Alarape St, Abule Okuta, Lekki 106104, Lagos, Nigeria</t>
  </si>
  <si>
    <t xml:space="preserve">+2348145251485</t>
  </si>
  <si>
    <t xml:space="preserve">Alextino auto care services enterprise</t>
  </si>
  <si>
    <t xml:space="preserve">Car accessories store</t>
  </si>
  <si>
    <t xml:space="preserve">ihuoma plaza, 117 Ladipo St, Mushin, Papa 100253, Lagos, Nigeria</t>
  </si>
  <si>
    <t xml:space="preserve">+2348136998645</t>
  </si>
  <si>
    <t xml:space="preserve">Alhaji Jide Limited</t>
  </si>
  <si>
    <t xml:space="preserve">Off Shokunbi Street, 9 Olorunnisola St, Mushin, Lagos, Nigeria</t>
  </si>
  <si>
    <t xml:space="preserve">+2348163941446</t>
  </si>
  <si>
    <t xml:space="preserve">Alice's African Restaurant</t>
  </si>
  <si>
    <t xml:space="preserve">H84V+2G5, Orile Oshodi, Lagos 102214, Lagos, Nigeria</t>
  </si>
  <si>
    <t xml:space="preserve">ALL PRINT | Graphic Design | Printing And Branding In Lagos, Nigeria.</t>
  </si>
  <si>
    <t xml:space="preserve">12 Ore-Ofero St, somolu, Lagos 102216, Lagos, Nigeria</t>
  </si>
  <si>
    <t xml:space="preserve">+2348101638842</t>
  </si>
  <si>
    <t xml:space="preserve">Allamyne Pharmacy</t>
  </si>
  <si>
    <t xml:space="preserve">G9XV+57F, Ashimowu St, Abule Okuta, Lagos 102216, Lagos, Nigeria</t>
  </si>
  <si>
    <t xml:space="preserve">Alowonle Jedi Spot</t>
  </si>
  <si>
    <t xml:space="preserve">H93V+4XX, Olaleye St, Gbagada, Lagos 105102, Lagos, Nigeria</t>
  </si>
  <si>
    <t xml:space="preserve">Alpha &amp; Partners</t>
  </si>
  <si>
    <t xml:space="preserve">19, Town Planning Way, 1st Floor (Right Wing, Ilupeju, Lagos, Nigeria</t>
  </si>
  <si>
    <t xml:space="preserve">https://alphaandpartners.com.ng/</t>
  </si>
  <si>
    <t xml:space="preserve">Alpha Plus Print Solutions</t>
  </si>
  <si>
    <t xml:space="preserve">Local Government, 74 Ladipo St, off Chicken George Bus-Stop, Mushin, Lagos 100253, Lagos, Nigeria</t>
  </si>
  <si>
    <t xml:space="preserve">+2347065023542</t>
  </si>
  <si>
    <t xml:space="preserve">Alphrem &amp; Co.</t>
  </si>
  <si>
    <t xml:space="preserve">13 Association Ave, Ilupeju, Lagos 102215, Lagos, Nigeria</t>
  </si>
  <si>
    <t xml:space="preserve">+2349052289015</t>
  </si>
  <si>
    <t xml:space="preserve">Altruistic</t>
  </si>
  <si>
    <t xml:space="preserve">Computer service</t>
  </si>
  <si>
    <t xml:space="preserve">2nd floor, underbridge b/stop, left wing shops, 14 Oshodi Rd, beside first bank plc kairo market, oshodi, Lagos 100261, Nigeria</t>
  </si>
  <si>
    <t xml:space="preserve">Amaco auto</t>
  </si>
  <si>
    <t xml:space="preserve">28 Osoro St, ladipo road, Mushin, Lagos 100253, Lagos, Nigeria</t>
  </si>
  <si>
    <t xml:space="preserve">+2349065291647</t>
  </si>
  <si>
    <t xml:space="preserve">Amanda Asagba</t>
  </si>
  <si>
    <t xml:space="preserve">19 Town Planning Way, Ilupeju, Lagos 102215, Lagos, Nigeria</t>
  </si>
  <si>
    <t xml:space="preserve">+2348035353306</t>
  </si>
  <si>
    <t xml:space="preserve">Amatex Paradise Guest House</t>
  </si>
  <si>
    <t xml:space="preserve">8Jagunmolu Street, Somolu, Lagos 102216, Lagos, Nigeria</t>
  </si>
  <si>
    <t xml:space="preserve">Amazing Eagle Hair Salon</t>
  </si>
  <si>
    <t xml:space="preserve">9,Oke Owo Crescent, Olambe Rd, Ifo, Ogun State, Nigeria</t>
  </si>
  <si>
    <t xml:space="preserve">+2348108161508</t>
  </si>
  <si>
    <t xml:space="preserve">Amberstone Children School</t>
  </si>
  <si>
    <t xml:space="preserve">Educational institution</t>
  </si>
  <si>
    <t xml:space="preserve">14, Olayinka Street, Off Olaleye Street, Sawmill Ifako Gbagada, Lagos, Nigeria., 10, Gbagada, Lagos, Nigeria</t>
  </si>
  <si>
    <t xml:space="preserve">+2348060065646</t>
  </si>
  <si>
    <t xml:space="preserve">Amicreatives Photography Studio</t>
  </si>
  <si>
    <t xml:space="preserve">3 Bello Cresent, Ilupeju, Lagos 102215, Lagos, Nigeria</t>
  </si>
  <si>
    <t xml:space="preserve">+2348023866483</t>
  </si>
  <si>
    <t xml:space="preserve">Amos &amp; Bros. Nigeria Ltd</t>
  </si>
  <si>
    <t xml:space="preserve">Oshodi Main Market, Oshodi pedestrian Overpass, Oshodi, Ikeja 102214, Lagos, Nigeria</t>
  </si>
  <si>
    <t xml:space="preserve">+2348093467259</t>
  </si>
  <si>
    <t xml:space="preserve">Anchorwin Pharmacy</t>
  </si>
  <si>
    <t xml:space="preserve">19,Ankpa Quarters, Ado, Lagos, Nigeria</t>
  </si>
  <si>
    <t xml:space="preserve">+2347039842470</t>
  </si>
  <si>
    <t xml:space="preserve">Angels Nail Studio</t>
  </si>
  <si>
    <t xml:space="preserve">20 Mafoluku Rd, Oshodi, Ikeja 102214, Lagos, Nigeria</t>
  </si>
  <si>
    <t xml:space="preserve">+2348030430731</t>
  </si>
  <si>
    <t xml:space="preserve">ANNY HAIR BEAUTY SALON</t>
  </si>
  <si>
    <t xml:space="preserve">12A Abiodun odeseye Harmony Estate Ifako Lagos 12A, Abiodun Odeseye Street Harmony Estate Ifako Gbagada. Ifako, Gbagada, 100001, Lagos, Nigeria</t>
  </si>
  <si>
    <t xml:space="preserve">+2348023947328</t>
  </si>
  <si>
    <t xml:space="preserve">Anuoluwapo Catering And Hotel Management</t>
  </si>
  <si>
    <t xml:space="preserve">1 Tinubu Cl, Ilupeju, Lagos 102215, Lagos, Nigeria</t>
  </si>
  <si>
    <t xml:space="preserve">+2348097304567</t>
  </si>
  <si>
    <t xml:space="preserve">Apelehin post office</t>
  </si>
  <si>
    <t xml:space="preserve">Post office</t>
  </si>
  <si>
    <t xml:space="preserve">Diya St, Abule Okuta, Lagos 102216, Lagos, Nigeria</t>
  </si>
  <si>
    <t xml:space="preserve">Aphamed Prints Ltd</t>
  </si>
  <si>
    <t xml:space="preserve">market, 9 Alabi St, off Adaranijo Street, Pedro, Lagos 100232, Lagos, Nigeria</t>
  </si>
  <si>
    <t xml:space="preserve">+2347013972790</t>
  </si>
  <si>
    <t xml:space="preserve">http://aphamed.com/</t>
  </si>
  <si>
    <t xml:space="preserve">Apostolic faith church, oworo parish</t>
  </si>
  <si>
    <t xml:space="preserve">Apostolic church</t>
  </si>
  <si>
    <t xml:space="preserve">8 Ade Sheke St, Oworosoki, Lagos 105102, Lagos, Nigeria</t>
  </si>
  <si>
    <t xml:space="preserve">Aqua Day Spa</t>
  </si>
  <si>
    <t xml:space="preserve">54-64 Lanre Awolokun St, Somolu, Lagos 102216, Lagos, Nigeria</t>
  </si>
  <si>
    <t xml:space="preserve">+2348084683544</t>
  </si>
  <si>
    <t xml:space="preserve">Aquila Nidus Montessori School</t>
  </si>
  <si>
    <t xml:space="preserve">Harmony Estate Ifako, 18 Ashafa Tijani St, Gbagada, Lagos 100242, Lagos, Nigeria</t>
  </si>
  <si>
    <t xml:space="preserve">+2347081864078</t>
  </si>
  <si>
    <t xml:space="preserve">Araromi Food Canteen</t>
  </si>
  <si>
    <t xml:space="preserve">62 Shotinoye St, Papa Ajao, Lagos 100253, Lagos, Nigeria</t>
  </si>
  <si>
    <t xml:space="preserve">Artistic Plus</t>
  </si>
  <si>
    <t xml:space="preserve">13 Alhaji Salahu street, sitaaga, Ibadan 200129, Lagos, Nigeria</t>
  </si>
  <si>
    <t xml:space="preserve">+2348038682537</t>
  </si>
  <si>
    <t xml:space="preserve">AskMrInsure | Best Insurance Agency In Lagos Nigeria | Insurance Agent s Near Me (You) | Professional Insurance Agency.</t>
  </si>
  <si>
    <t xml:space="preserve">Mile 7 Ikorodu Rd, Obanikoro, Lagos 100242, Lagos, Nigeria</t>
  </si>
  <si>
    <t xml:space="preserve">+2347084000022</t>
  </si>
  <si>
    <t xml:space="preserve">Assizes Lawfirm</t>
  </si>
  <si>
    <t xml:space="preserve">10 Ayodele Ojo St, Ilupeju, Lagos 100252, Lagos, Nigeria</t>
  </si>
  <si>
    <t xml:space="preserve">+2348033412508</t>
  </si>
  <si>
    <t xml:space="preserve">Astranad Pharmacy &amp; Store</t>
  </si>
  <si>
    <t xml:space="preserve">G9P4+423, Fafolu St, Mushin, Lagos 102215, Lagos, Nigeria</t>
  </si>
  <si>
    <t xml:space="preserve">+2348126486707</t>
  </si>
  <si>
    <t xml:space="preserve">Atirira</t>
  </si>
  <si>
    <t xml:space="preserve">11b Taiwo Koya St, Ilupeju, Lagos 102215, Lagos, Nigeria</t>
  </si>
  <si>
    <t xml:space="preserve">+2347040209218</t>
  </si>
  <si>
    <t xml:space="preserve">https://www.atirira.com/</t>
  </si>
  <si>
    <t xml:space="preserve">Aunty Kenny Provision Store</t>
  </si>
  <si>
    <t xml:space="preserve">48 Owoseni St, Mafoluku Oshodi, Lagos 102214, Lagos, Nigeria</t>
  </si>
  <si>
    <t xml:space="preserve">+2347041490552</t>
  </si>
  <si>
    <t xml:space="preserve">Auto Body Workshop</t>
  </si>
  <si>
    <t xml:space="preserve">38 Ilupeju Industrial Ave, Mushin, Lagos 102215, Lagos, Nigeria</t>
  </si>
  <si>
    <t xml:space="preserve">46 Osoro St, Mushin, Lagos 102215, Lagos, Nigeria</t>
  </si>
  <si>
    <t xml:space="preserve">+2348082581141</t>
  </si>
  <si>
    <t xml:space="preserve">Auto Spare Parts</t>
  </si>
  <si>
    <t xml:space="preserve">Auto body parts supplier</t>
  </si>
  <si>
    <t xml:space="preserve">Osoro St, Mushin, Lagos 102215, Lagos, Nigeria</t>
  </si>
  <si>
    <t xml:space="preserve">+2347048221992</t>
  </si>
  <si>
    <t xml:space="preserve">Auto Spare Parts Motor</t>
  </si>
  <si>
    <t xml:space="preserve">Motor vehicle dealer</t>
  </si>
  <si>
    <t xml:space="preserve">23/24 Block C Auto Spare Parts Motor, Ladipo St, Lagos, Nigeria</t>
  </si>
  <si>
    <t xml:space="preserve">+2347042165377</t>
  </si>
  <si>
    <t xml:space="preserve">http://www.motorspareparts.com/</t>
  </si>
  <si>
    <t xml:space="preserve">Autocare Diagnostics Nigeria Enterprise</t>
  </si>
  <si>
    <t xml:space="preserve">8 Olutunda St, Ilupeju, Lagos 102215, Lagos, Nigeria</t>
  </si>
  <si>
    <t xml:space="preserve">+2348181982545</t>
  </si>
  <si>
    <t xml:space="preserve">Autogig International Resources Limited</t>
  </si>
  <si>
    <t xml:space="preserve">144b Gbagada - Oworonshoki Expy, Pedro, Lagos 102216, Lagos, Nigeria</t>
  </si>
  <si>
    <t xml:space="preserve">+2348178793634</t>
  </si>
  <si>
    <t xml:space="preserve">Automedics limited</t>
  </si>
  <si>
    <t xml:space="preserve">Ilupeju Byepass, Onipanu, Lagos 100252, Lagos, Nigeria</t>
  </si>
  <si>
    <t xml:space="preserve">+2348095718075</t>
  </si>
  <si>
    <t xml:space="preserve">https://automedicsafrica.com/</t>
  </si>
  <si>
    <t xml:space="preserve">AUTOMOB ADVISORY SERVICES</t>
  </si>
  <si>
    <t xml:space="preserve">29 Adewale Cres, Apapa-Oshodi Express Way, off Kunle Akinosi, Isolo, Lagos 102214, Lagos, Nigeria</t>
  </si>
  <si>
    <t xml:space="preserve">+2348090547576</t>
  </si>
  <si>
    <t xml:space="preserve">Autoulicas International Limited</t>
  </si>
  <si>
    <t xml:space="preserve">Promise Land Lagos, 1-5 Jimade CLose, Ladipo St, Lagos, Nigeria</t>
  </si>
  <si>
    <t xml:space="preserve">+2347031804073</t>
  </si>
  <si>
    <t xml:space="preserve">Aventura Photography</t>
  </si>
  <si>
    <t xml:space="preserve">258 Ikorodu Rd, Obanikoro, Lagos 300001, Lagos, Nigeria</t>
  </si>
  <si>
    <t xml:space="preserve">+2348136647730</t>
  </si>
  <si>
    <t xml:space="preserve">Awesome Bezalel Event</t>
  </si>
  <si>
    <t xml:space="preserve">86 Shipeolu street Palmgrove, Palmgrove, Lagos 100231, Lagos, Nigeria</t>
  </si>
  <si>
    <t xml:space="preserve">+2348023554754</t>
  </si>
  <si>
    <t xml:space="preserve">http://www.instagram.com/awesomebezalelevent</t>
  </si>
  <si>
    <t xml:space="preserve">Awoof Berekete (Obanikoro)</t>
  </si>
  <si>
    <t xml:space="preserve">250 Ikorodu Rd, Obanikoro, Lagos 100232, Lagos, Nigeria</t>
  </si>
  <si>
    <t xml:space="preserve">+2348082796358</t>
  </si>
  <si>
    <t xml:space="preserve">AY Fitness Centre</t>
  </si>
  <si>
    <t xml:space="preserve">3 Okulaja St, Orege, Lagos 102216, Lagos, Nigeria</t>
  </si>
  <si>
    <t xml:space="preserve">+2347064443280</t>
  </si>
  <si>
    <t xml:space="preserve">Ayoade Toyib Consulting</t>
  </si>
  <si>
    <t xml:space="preserve">3/5 Town Planning Way, Ilupeju, Lagos 102215, Lagos, Nigeria</t>
  </si>
  <si>
    <t xml:space="preserve">+2348068287831</t>
  </si>
  <si>
    <t xml:space="preserve">https://ayoadetoyibconsulting.com.ng/</t>
  </si>
  <si>
    <t xml:space="preserve">Ayodar international signs company</t>
  </si>
  <si>
    <t xml:space="preserve">Neon sign shop</t>
  </si>
  <si>
    <t xml:space="preserve">Olorunsogo, 24 Palm Avenue, Mushin, Lagos 100253, Lagos, Nigeria</t>
  </si>
  <si>
    <t xml:space="preserve">https://www.instagram.com/ayodar_international_sign</t>
  </si>
  <si>
    <t xml:space="preserve">Az Concept</t>
  </si>
  <si>
    <t xml:space="preserve">27,Orile, Iloye Rd, Ilupeju, Ota, Ogun State, Nigeria</t>
  </si>
  <si>
    <t xml:space="preserve">+2347059195559</t>
  </si>
  <si>
    <t xml:space="preserve">B'S Natural Hair Salon</t>
  </si>
  <si>
    <t xml:space="preserve">52,diya street ifako, Gbagada, Lagos, Nigeria</t>
  </si>
  <si>
    <t xml:space="preserve">+2349079999856</t>
  </si>
  <si>
    <t xml:space="preserve">B-success Nursery and primary School</t>
  </si>
  <si>
    <t xml:space="preserve">G9VV+RM7, Jebina St, Somolu, Lagos 100001, Lagos, Nigeria</t>
  </si>
  <si>
    <t xml:space="preserve">Baba Tawa Carpenter</t>
  </si>
  <si>
    <t xml:space="preserve">10 Oduduwa St, Ajeromi-Ifelodun, Lagos 102215, Lagos, Nigeria</t>
  </si>
  <si>
    <t xml:space="preserve">+2347035755653</t>
  </si>
  <si>
    <t xml:space="preserve">BABS ADEJUWON &amp; CO</t>
  </si>
  <si>
    <t xml:space="preserve">5 Adebisi Ladejobi St, off Coker Road, Ilupeju, Lagos 102215, Lagos, Nigeria</t>
  </si>
  <si>
    <t xml:space="preserve">+2347025019857</t>
  </si>
  <si>
    <t xml:space="preserve">Baby Chidibe Supermarket</t>
  </si>
  <si>
    <t xml:space="preserve">28 Salami St, Oworosoki, Oworonshoki 105102, Lagos, Nigeria</t>
  </si>
  <si>
    <t xml:space="preserve">+2347055730777</t>
  </si>
  <si>
    <t xml:space="preserve">Bally69 Palace Hotels Ltd</t>
  </si>
  <si>
    <t xml:space="preserve">69 Ladipo St, opposite first bank, Papa Ajao, Lagos 102215, Lagos, Nigeria</t>
  </si>
  <si>
    <t xml:space="preserve">+2348108980769</t>
  </si>
  <si>
    <t xml:space="preserve">Bankz_Imagery</t>
  </si>
  <si>
    <t xml:space="preserve">Oshodi Rd, Mafoluku Oshodi, Lagos 100020, Lagos, Nigeria</t>
  </si>
  <si>
    <t xml:space="preserve">+2348142939403</t>
  </si>
  <si>
    <t xml:space="preserve">https://www.pexels.com/@big_bankz-2151550847/</t>
  </si>
  <si>
    <t xml:space="preserve">Baptist Guest House</t>
  </si>
  <si>
    <t xml:space="preserve">Lodging</t>
  </si>
  <si>
    <t xml:space="preserve">4 Tinubu Cl, Ilupeju, Lagos 100252, Lagos, Nigeria</t>
  </si>
  <si>
    <t xml:space="preserve">Bargello Multi-Store</t>
  </si>
  <si>
    <t xml:space="preserve">Industrial supermarket</t>
  </si>
  <si>
    <t xml:space="preserve">adedokun ifako, Block 3 Adedokun St, Gbagada, Lagos 100001, Lagos, Nigeria</t>
  </si>
  <si>
    <t xml:space="preserve">+2348121586943</t>
  </si>
  <si>
    <t xml:space="preserve">Battery Shop</t>
  </si>
  <si>
    <t xml:space="preserve">37 Salami Shuaibu St, Pedro, Lagos 102216, Lagos, Nigeria</t>
  </si>
  <si>
    <t xml:space="preserve">Baw And Company Solicitors</t>
  </si>
  <si>
    <t xml:space="preserve">9 Esther Oshiyemi St, Ilupeju, Lagos 102215, Lagos, Nigeria</t>
  </si>
  <si>
    <t xml:space="preserve">+2348083660393</t>
  </si>
  <si>
    <t xml:space="preserve">Baxmotex hotel</t>
  </si>
  <si>
    <t xml:space="preserve">William Ladega, via post office Mushin local government, Mushin, Lagos 100253, Lagos, Nigeria</t>
  </si>
  <si>
    <t xml:space="preserve">Bayo Media Prints (Printer in Shomolu Lagos)</t>
  </si>
  <si>
    <t xml:space="preserve">3 Sunday St, Shipeolu St, Somolu, Lagos 234001, Lagos, Nigeria</t>
  </si>
  <si>
    <t xml:space="preserve">+2348102841951</t>
  </si>
  <si>
    <t xml:space="preserve">https://www.bayomediaprints.com/</t>
  </si>
  <si>
    <t xml:space="preserve">BBQ Cottage</t>
  </si>
  <si>
    <t xml:space="preserve">Tinubu Cl, Ilupeju, Ikeja 102215, Lagos, Nigeria</t>
  </si>
  <si>
    <t xml:space="preserve">+2349075721228</t>
  </si>
  <si>
    <t xml:space="preserve">Beachhill Events and Decor</t>
  </si>
  <si>
    <t xml:space="preserve">Abeokuta St, Somolu, Palmgrove 100252, Lagos, Nigeria</t>
  </si>
  <si>
    <t xml:space="preserve">+2348067041943</t>
  </si>
  <si>
    <t xml:space="preserve">Beauty Box Spa, Nail and Beauty</t>
  </si>
  <si>
    <t xml:space="preserve">Day spa</t>
  </si>
  <si>
    <t xml:space="preserve">11 Agbor St, Int'l Airport Rd, off Osolo Way, Ajao Estate, Lagos 100263, Lagos, Nigeria</t>
  </si>
  <si>
    <t xml:space="preserve">+2349036384295</t>
  </si>
  <si>
    <t xml:space="preserve">Beauty Health Palace World</t>
  </si>
  <si>
    <t xml:space="preserve">Williams Sawmill, !3, Williams St, Gbagada, Lagos, Nigeria</t>
  </si>
  <si>
    <t xml:space="preserve">+2348023010783</t>
  </si>
  <si>
    <t xml:space="preserve">Bee haven beauty spa</t>
  </si>
  <si>
    <t xml:space="preserve">Health spa</t>
  </si>
  <si>
    <t xml:space="preserve">7 Adebare St, Ogudu, Lagos 105102, Lagos, Nigeria</t>
  </si>
  <si>
    <t xml:space="preserve">+2348128015621</t>
  </si>
  <si>
    <t xml:space="preserve">Beentychops</t>
  </si>
  <si>
    <t xml:space="preserve">Blk10 flat1-4 nitel qtrs cappa oshodi, Oshodi-Isolo, Lagos, Nigeria</t>
  </si>
  <si>
    <t xml:space="preserve">+2348131048917</t>
  </si>
  <si>
    <t xml:space="preserve">Befitting Properties Management Services</t>
  </si>
  <si>
    <t xml:space="preserve">227 Ikorodu Rd, Ilupeju, Lagos 102215, Lagos, Nigeria</t>
  </si>
  <si>
    <t xml:space="preserve">+2349048175993</t>
  </si>
  <si>
    <t xml:space="preserve">https://befittingproperties.com/</t>
  </si>
  <si>
    <t xml:space="preserve">Bella Boutique</t>
  </si>
  <si>
    <t xml:space="preserve">Abibat Mogaji Modern Market, Araromi St, Oshodi, Lagos 102214, Lagos, Nigeria</t>
  </si>
  <si>
    <t xml:space="preserve">+2347057321027</t>
  </si>
  <si>
    <t xml:space="preserve">Belli Events</t>
  </si>
  <si>
    <t xml:space="preserve">phase 1, crescenet gbagada estate, 18a Oluseun Cres, Somolu, Lagos 100234, Lagos, Nigeria</t>
  </si>
  <si>
    <t xml:space="preserve">+2348096249286</t>
  </si>
  <si>
    <t xml:space="preserve">Belluscourt Event Centre</t>
  </si>
  <si>
    <t xml:space="preserve">7a Ade Akinsanya Ave, Ilupeju, Lagos 102215, Lagos, Nigeria</t>
  </si>
  <si>
    <t xml:space="preserve">+2348060599391</t>
  </si>
  <si>
    <t xml:space="preserve">BEN ORGO</t>
  </si>
  <si>
    <t xml:space="preserve">H934+FM3, Ilupeju, Ikeja 102215, Lagos, Nigeria</t>
  </si>
  <si>
    <t xml:space="preserve">+2348111109170</t>
  </si>
  <si>
    <t xml:space="preserve">Ben Orgo/Mutual Benefits Assurance Plc</t>
  </si>
  <si>
    <t xml:space="preserve">challenge bus stop, 324 Agege Motor Rd, Mushin, Lagos 100253, Lagos, Nigeria</t>
  </si>
  <si>
    <t xml:space="preserve">+2348022099972</t>
  </si>
  <si>
    <t xml:space="preserve">BEST HAIR</t>
  </si>
  <si>
    <t xml:space="preserve">Wig shop</t>
  </si>
  <si>
    <t xml:space="preserve">12 Williams St, Gbagada, Lagos 105102, Lagos, Nigeria</t>
  </si>
  <si>
    <t xml:space="preserve">Bethel Insurance Brokers Limited</t>
  </si>
  <si>
    <t xml:space="preserve">64 Coker Rd, off Town Planning Way, Ilupeju, Lagos 102215, Lagos, Nigeria</t>
  </si>
  <si>
    <t xml:space="preserve">+2349097771960</t>
  </si>
  <si>
    <t xml:space="preserve">http://www.bethelinsurancebrokers.com/</t>
  </si>
  <si>
    <t xml:space="preserve">Bethix kitchen</t>
  </si>
  <si>
    <t xml:space="preserve">1 Isijiola St, Ilupeju, Obanikoro, 102215, Lagos, Nigeria</t>
  </si>
  <si>
    <t xml:space="preserve">+2348125874810</t>
  </si>
  <si>
    <t xml:space="preserve">BEYOND-SMILE DENTAL CLINIC (ALAPERE KETU)</t>
  </si>
  <si>
    <t xml:space="preserve">Dentist</t>
  </si>
  <si>
    <t xml:space="preserve">99, Demurin Street, Alapere, Ketu, by Ganiyu Olorunrinu Cl, opp. G &amp; G filling station, Junction, Lagos, Nigeria</t>
  </si>
  <si>
    <t xml:space="preserve">+2348127680106</t>
  </si>
  <si>
    <t xml:space="preserve">https://www.beyondsmile247.com/</t>
  </si>
  <si>
    <t xml:space="preserve">Bible Society Guest House</t>
  </si>
  <si>
    <t xml:space="preserve">Palmgrove Estate, 4 Commonwealth Ave, Ilupeju, Lagos 102215, Lagos, Nigeria</t>
  </si>
  <si>
    <t xml:space="preserve">+2348159094109</t>
  </si>
  <si>
    <t xml:space="preserve">Biga imo car wash</t>
  </si>
  <si>
    <t xml:space="preserve">8 Fatai Atere Way, Papa Ajao, Lagos 102215, Lagos, Nigeria</t>
  </si>
  <si>
    <t xml:space="preserve">+2347031175924</t>
  </si>
  <si>
    <t xml:space="preserve">Bimdox store</t>
  </si>
  <si>
    <t xml:space="preserve">22 miyaki street, Oworosoki, Oworonshoki 105102, Lagos, Nigeria</t>
  </si>
  <si>
    <t xml:space="preserve">Bims Resort &amp; Suites</t>
  </si>
  <si>
    <t xml:space="preserve">5 Oloruntoyin W. Abioye Street, behind Ascension College, Mushin, Imeke 102215, Lagos, Nigeria</t>
  </si>
  <si>
    <t xml:space="preserve">BIOPATH MEDICAL LABORATORY</t>
  </si>
  <si>
    <t xml:space="preserve">Laboratory</t>
  </si>
  <si>
    <t xml:space="preserve">Biopath Medical Laboratory Address: 175, Ikorodu Road, by Awoyokun Bus stop, Onipanu, Lagos, Nigeria</t>
  </si>
  <si>
    <t xml:space="preserve">+2348124385421</t>
  </si>
  <si>
    <t xml:space="preserve">https://biopathmedlab.com/</t>
  </si>
  <si>
    <t xml:space="preserve">Bisol Enterprises</t>
  </si>
  <si>
    <t xml:space="preserve">Oshodi, Oshodi Main Market, Orile Oshodi, Ikeja, Lagos, Nigeria</t>
  </si>
  <si>
    <t xml:space="preserve">+2348075752030</t>
  </si>
  <si>
    <t xml:space="preserve">Bj Beauty Saloon</t>
  </si>
  <si>
    <t xml:space="preserve">G9WV+FR2, Adetoke St, Abule Okuta, Lagos 102216, Lagos, Nigeria</t>
  </si>
  <si>
    <t xml:space="preserve">Blessed Andy Ventures</t>
  </si>
  <si>
    <t xml:space="preserve">Plot 7 Lsmpt Approved Mechanics Lagos, Somolu, Lagos, Nigeria</t>
  </si>
  <si>
    <t xml:space="preserve">+2348033466309</t>
  </si>
  <si>
    <t xml:space="preserve">Blessed CeeJ Auto parts ventures</t>
  </si>
  <si>
    <t xml:space="preserve">Shop I22, Ladipo Market, N0 24 Olapeju street Shop A17, No24 Olapeju St, Mushin, Lagos, Nigeria</t>
  </si>
  <si>
    <t xml:space="preserve">+2348160101258</t>
  </si>
  <si>
    <t xml:space="preserve">Blessed Provision Store</t>
  </si>
  <si>
    <t xml:space="preserve">Store equipment supplier</t>
  </si>
  <si>
    <t xml:space="preserve">No.18 Church St, Oshodi-Isolo, Lagos 102214, Lagos, Nigeria</t>
  </si>
  <si>
    <t xml:space="preserve">Blessed Store</t>
  </si>
  <si>
    <t xml:space="preserve">5 Olorunfunmi St, Oworosoki, Lagos 105102, Lagos, Nigeria</t>
  </si>
  <si>
    <t xml:space="preserve">+2348035743112</t>
  </si>
  <si>
    <t xml:space="preserve">Blessing Clinic</t>
  </si>
  <si>
    <t xml:space="preserve">22,ALHAJI ASHIRU STR., OWOROSOKI, Yaba, Lagos, Nigeria</t>
  </si>
  <si>
    <t xml:space="preserve">+2348076262798</t>
  </si>
  <si>
    <t xml:space="preserve">Blessing Supermarket</t>
  </si>
  <si>
    <t xml:space="preserve">12 Adeleke Adegboyega St, Bariga, Lagos 102216, Lagos, Nigeria</t>
  </si>
  <si>
    <t xml:space="preserve">+2348139553961</t>
  </si>
  <si>
    <t xml:space="preserve">Blessings Store Provision Store</t>
  </si>
  <si>
    <t xml:space="preserve">16 Ewenla St, Somolu, Lagos 102216, Lagos, Nigeria</t>
  </si>
  <si>
    <t xml:space="preserve">+2348161896465</t>
  </si>
  <si>
    <t xml:space="preserve">Blissful Plan</t>
  </si>
  <si>
    <t xml:space="preserve">Abibat Mogaji Modern Market, Oshodi Rd, Oshodi, Ikeja 102214, Lagos, Nigeria</t>
  </si>
  <si>
    <t xml:space="preserve">+2347031141718</t>
  </si>
  <si>
    <t xml:space="preserve">Blossom Cleaning Services</t>
  </si>
  <si>
    <t xml:space="preserve">Janitorial service</t>
  </si>
  <si>
    <t xml:space="preserve">4b, Igbeyin Adun Street, Gbagada, Lagos State 36, Rasheed Alaba Williams, Lekki Phase one, Gbagada, 100241, Lagos, Nigeria</t>
  </si>
  <si>
    <t xml:space="preserve">+2348025829223</t>
  </si>
  <si>
    <t xml:space="preserve">http://blossomglobalmultilinks.com/</t>
  </si>
  <si>
    <t xml:space="preserve">Blue Edge Partners</t>
  </si>
  <si>
    <t xml:space="preserve">3 Shagamu Ave, Ilupeju, Lagos 102215, Lagos, Nigeria</t>
  </si>
  <si>
    <t xml:space="preserve">+2348136588738</t>
  </si>
  <si>
    <t xml:space="preserve">Bobby Unisex Fashion</t>
  </si>
  <si>
    <t xml:space="preserve">H94W+47F, Williams St, Gbagada, Lagos 105102, Lagos, Nigeria</t>
  </si>
  <si>
    <t xml:space="preserve">+2347041016189</t>
  </si>
  <si>
    <t xml:space="preserve">Bokku! Mart Ifako-gbagada</t>
  </si>
  <si>
    <t xml:space="preserve">20 Williams St Kosofe Ifako, 20 Williams St, Gbagada, Lagos 105102, Lagos, Nigeria</t>
  </si>
  <si>
    <t xml:space="preserve">+2349010034710</t>
  </si>
  <si>
    <t xml:space="preserve">https://www.bokku.com/</t>
  </si>
  <si>
    <t xml:space="preserve">Bokku! Mart Shogbamu Street Bariga</t>
  </si>
  <si>
    <t xml:space="preserve">8 Shogbamu St, Somolu, Lagos 102216, Lagos, Nigeria</t>
  </si>
  <si>
    <t xml:space="preserve">+2349164867254</t>
  </si>
  <si>
    <t xml:space="preserve">Bomboy Clothing Centre</t>
  </si>
  <si>
    <t xml:space="preserve">Oshodi, 2 Oshodi Rd, Lagos, Nigeria</t>
  </si>
  <si>
    <t xml:space="preserve">+2348079687144</t>
  </si>
  <si>
    <t xml:space="preserve">Bond Feild Provision Store</t>
  </si>
  <si>
    <t xml:space="preserve">Ilupeju Palm groove lagos, Lagos, Nigeria</t>
  </si>
  <si>
    <t xml:space="preserve">+2347046815137</t>
  </si>
  <si>
    <t xml:space="preserve">BonsuirChef</t>
  </si>
  <si>
    <t xml:space="preserve">No.8 Akinsanya St, Palmgrove, Lagos 100252, Lagos, Nigeria</t>
  </si>
  <si>
    <t xml:space="preserve">+2349012822417</t>
  </si>
  <si>
    <t xml:space="preserve">Bootilicious Salon And Day Spa</t>
  </si>
  <si>
    <t xml:space="preserve">45 Shogbamu St, Gbagada, Lagos 105102, Lagos, Nigeria</t>
  </si>
  <si>
    <t xml:space="preserve">+2348182021052</t>
  </si>
  <si>
    <t xml:space="preserve">Brainyhair salon</t>
  </si>
  <si>
    <t xml:space="preserve">14, Olayinka Street, Off Olaleye Street, Sawmill Ifako Gbagada, Lagos, Nigeria., 15 adeite street, Ifako, Lagos 105102, Lagos, Nigeria</t>
  </si>
  <si>
    <t xml:space="preserve">+2348025613881</t>
  </si>
  <si>
    <t xml:space="preserve">Brand and Support Event</t>
  </si>
  <si>
    <t xml:space="preserve">1 Town Planning Way, Ilupeju, Lagos 102215, Lagos, Nigeria</t>
  </si>
  <si>
    <t xml:space="preserve">Brandall Promotional Merchandise Ltd</t>
  </si>
  <si>
    <t xml:space="preserve">13 Association Ave, Ilupeju, Lagos 100252, Lagos, Nigeria</t>
  </si>
  <si>
    <t xml:space="preserve">BRANDONE RESOURCES</t>
  </si>
  <si>
    <t xml:space="preserve">1, 5 Jimade St, off Ladipo Street, Mushin, Lagos 100253, Lagos, Nigeria</t>
  </si>
  <si>
    <t xml:space="preserve">+2348163227259</t>
  </si>
  <si>
    <t xml:space="preserve">Bright Future Home Accessories and Plumbing Materials</t>
  </si>
  <si>
    <t xml:space="preserve">Plumbing supply store</t>
  </si>
  <si>
    <t xml:space="preserve">2 Olorunfunmi St, Ilupeju, Lagos 102215, Lagos, Nigeria</t>
  </si>
  <si>
    <t xml:space="preserve">+2349031444695</t>
  </si>
  <si>
    <t xml:space="preserve">BRIGHTERDAN ELECTRICAL NIG. LTD.</t>
  </si>
  <si>
    <t xml:space="preserve">H84X+PHV, Irawo-Owuro Estate Abijo GRA Lekki, Lagos 105101, Lagos, Nigeria</t>
  </si>
  <si>
    <t xml:space="preserve">Briscoe Properties Limited</t>
  </si>
  <si>
    <t xml:space="preserve">18 Fatai Atere Way, Matori, Lagos 102215, Lagos, Nigeria</t>
  </si>
  <si>
    <t xml:space="preserve">+2347074754362</t>
  </si>
  <si>
    <t xml:space="preserve">https://briscoeproperties.com/</t>
  </si>
  <si>
    <t xml:space="preserve">Brite Smiles Dental Studio</t>
  </si>
  <si>
    <t xml:space="preserve">Suite 8, Jabita Court, 136 Alake Onile-Ere Cres, Gbagada, Lagos, Nigeria</t>
  </si>
  <si>
    <t xml:space="preserve">+2348125848782</t>
  </si>
  <si>
    <t xml:space="preserve">Broadwing Attorneys</t>
  </si>
  <si>
    <t xml:space="preserve">H926+FQ2, 43 Coker Road Ilupeju Ikeja, Coker Rd, Ilupeju, Lagos, Nigeria</t>
  </si>
  <si>
    <t xml:space="preserve">+2349010641247</t>
  </si>
  <si>
    <t xml:space="preserve">BTEvents</t>
  </si>
  <si>
    <t xml:space="preserve">Estate, 16 Alhaji Salisu St, Obanikoro, Lagos 100232, Lagos, Nigeria</t>
  </si>
  <si>
    <t xml:space="preserve">+2349031366647</t>
  </si>
  <si>
    <t xml:space="preserve">Bukky clothing store</t>
  </si>
  <si>
    <t xml:space="preserve">18 Owoseni St, oshodi, Lagos 300001, Lagos, Nigeria</t>
  </si>
  <si>
    <t xml:space="preserve">+2348080268868</t>
  </si>
  <si>
    <t xml:space="preserve">BusinessOntop Nigeria</t>
  </si>
  <si>
    <t xml:space="preserve">270 Ikorodu Road Service Lane, Obanikoro, Lagos 100001, Lagos, Nigeria</t>
  </si>
  <si>
    <t xml:space="preserve">+2347060498518</t>
  </si>
  <si>
    <t xml:space="preserve">http://www.businessontop.com.ng/</t>
  </si>
  <si>
    <t xml:space="preserve">Busy Body Car Wash</t>
  </si>
  <si>
    <t xml:space="preserve">Governor's Rd, 7B Association Ave, Ilupeju, Lagos 102215, Lagos, Nigeria</t>
  </si>
  <si>
    <t xml:space="preserve">+2348034905466</t>
  </si>
  <si>
    <t xml:space="preserve">Cafe Potoba Ilupeju</t>
  </si>
  <si>
    <t xml:space="preserve">Indian restaurant</t>
  </si>
  <si>
    <t xml:space="preserve">12 A Ilaka St, Ilupeju, Lagos 102215, Lagos, Nigeria</t>
  </si>
  <si>
    <t xml:space="preserve">+2347052463368</t>
  </si>
  <si>
    <t xml:space="preserve">Café Adisil - Pure Vegetarian &amp; Vegan Indian Restaurant.</t>
  </si>
  <si>
    <t xml:space="preserve">6 Johnson St, Ilupeju, Lagos 100252, Lagos, Nigeria</t>
  </si>
  <si>
    <t xml:space="preserve">+2349039359536</t>
  </si>
  <si>
    <t xml:space="preserve">http://www.cafeadisil.com/</t>
  </si>
  <si>
    <t xml:space="preserve">Caleb International</t>
  </si>
  <si>
    <t xml:space="preserve">Mosafelo Market, Oshodi, Agege Motor Rd, Ilupeju, Lagos, Nigeria</t>
  </si>
  <si>
    <t xml:space="preserve">+2349091752017</t>
  </si>
  <si>
    <t xml:space="preserve">Callys Global Concept</t>
  </si>
  <si>
    <t xml:space="preserve">Shop 1 Nitel Rd, Oshodi-Isolo, Lagos 102215, Lagos, Nigeria</t>
  </si>
  <si>
    <t xml:space="preserve">+2347030381368</t>
  </si>
  <si>
    <t xml:space="preserve">Calm &amp; Healing SPA</t>
  </si>
  <si>
    <t xml:space="preserve">Shopcity Supermarket Building, 35 Ajayi Aina St, Ifako, Lagos 105102, Lagos, Nigeria</t>
  </si>
  <si>
    <t xml:space="preserve">Calvaty Med Center</t>
  </si>
  <si>
    <t xml:space="preserve">G9P2+7QJ, Papa Ajao, Lagos 102215, Lagos, Nigeria</t>
  </si>
  <si>
    <t xml:space="preserve">Canaan Estate &amp; Homes Limited</t>
  </si>
  <si>
    <t xml:space="preserve">8/10 Ilupeju Byepass, Ilupeju, Lagos 102215, Lagos, Nigeria</t>
  </si>
  <si>
    <t xml:space="preserve">+2348099407666</t>
  </si>
  <si>
    <t xml:space="preserve">Captain Dental Clinic</t>
  </si>
  <si>
    <t xml:space="preserve">4 Twins Obasa St, Gbagada, Lagos 105102, Lagos, Nigeria</t>
  </si>
  <si>
    <t xml:space="preserve">+2348088072817</t>
  </si>
  <si>
    <t xml:space="preserve">Car Spa</t>
  </si>
  <si>
    <t xml:space="preserve">Kado, Abuja 102215, Federal Capital Territory, Nigeria</t>
  </si>
  <si>
    <t xml:space="preserve">Care More Provision Store</t>
  </si>
  <si>
    <t xml:space="preserve">31 Oshodi Rd, Orile Oshodi, Lagos 102214, Lagos, Nigeria</t>
  </si>
  <si>
    <t xml:space="preserve">+2348032134430</t>
  </si>
  <si>
    <t xml:space="preserve">Care+melody school</t>
  </si>
  <si>
    <t xml:space="preserve">Nursery school</t>
  </si>
  <si>
    <t xml:space="preserve">Ifesowapo St, off Line street, Oworosoki, Lagos 105102, Lagos, Nigeria</t>
  </si>
  <si>
    <t xml:space="preserve">+2348023696489</t>
  </si>
  <si>
    <t xml:space="preserve">Carpentry and Furniture Work</t>
  </si>
  <si>
    <t xml:space="preserve">Carpenter</t>
  </si>
  <si>
    <t xml:space="preserve">10 Iyemoja St, Airport, Lagos 100001, Lagos, Nigeria</t>
  </si>
  <si>
    <t xml:space="preserve">+2348033917206</t>
  </si>
  <si>
    <t xml:space="preserve">Carwash</t>
  </si>
  <si>
    <t xml:space="preserve">6c Ogunmefun St, Gbagada, Lagos 100013, Lagos, Nigeria</t>
  </si>
  <si>
    <t xml:space="preserve">Cata Spa</t>
  </si>
  <si>
    <t xml:space="preserve">18 Osolo Wy, Ajao Estate, Lagos 102214, Lagos, Nigeria</t>
  </si>
  <si>
    <t xml:space="preserve">+2349036834102</t>
  </si>
  <si>
    <t xml:space="preserve">http://cataluxuryapartments.com/</t>
  </si>
  <si>
    <t xml:space="preserve">Cedaland Pharmacy</t>
  </si>
  <si>
    <t xml:space="preserve">33 Alarape St, Bariga, Lagos 102216, Lagos, Nigeria</t>
  </si>
  <si>
    <t xml:space="preserve">+2348035424984</t>
  </si>
  <si>
    <t xml:space="preserve">Central Express Cleaners And Laundry</t>
  </si>
  <si>
    <t xml:space="preserve">6 Oduwobi Street, Ilupeju, Lagos 102215, Lagos, Nigeria</t>
  </si>
  <si>
    <t xml:space="preserve">Ceo Groceries Store</t>
  </si>
  <si>
    <t xml:space="preserve">11B Adeokun street, off Oworo Road, Oworosoki, Lagos 105102, Lagos, Nigeria</t>
  </si>
  <si>
    <t xml:space="preserve">+2347038144274</t>
  </si>
  <si>
    <t xml:space="preserve">Cgl - Homes &amp; Properties</t>
  </si>
  <si>
    <t xml:space="preserve">10 Association Ave, Ilupeju, Lagos 102215, Lagos, Nigeria</t>
  </si>
  <si>
    <t xml:space="preserve">Charing Cross Clinic</t>
  </si>
  <si>
    <t xml:space="preserve">Chicken George bus stop, 13 Efon Alaye St, off Ladipo Street, Papa Ajao, Lagos 102215, Lagos, Nigeria</t>
  </si>
  <si>
    <t xml:space="preserve">Charles C. Odunukwe Trading Company</t>
  </si>
  <si>
    <t xml:space="preserve">Ilasa, Opposite Ilasamaja Footbridge, Apapa/Oshodi Expressway, 6 Unity Avenu, Lagos, Nigeria</t>
  </si>
  <si>
    <t xml:space="preserve">+2348066721717</t>
  </si>
  <si>
    <t xml:space="preserve">Charles Osadiaye &amp; Company</t>
  </si>
  <si>
    <t xml:space="preserve">6 Association Ave, Ilupeju, Lagos 102215, Lagos, Nigeria</t>
  </si>
  <si>
    <t xml:space="preserve">+2348189323069</t>
  </si>
  <si>
    <t xml:space="preserve">Chi-ugome Medical Center</t>
  </si>
  <si>
    <t xml:space="preserve">35A Salawu Onikoyi St, Idumota, Lagos 105102, Lagos, Nigeria</t>
  </si>
  <si>
    <t xml:space="preserve">+2348184821720</t>
  </si>
  <si>
    <t xml:space="preserve">Chibest Super Market</t>
  </si>
  <si>
    <t xml:space="preserve">3 Olorunfunmi St, Oworosoki, Lagos 100242, Lagos, Nigeria</t>
  </si>
  <si>
    <t xml:space="preserve">+2348166366876</t>
  </si>
  <si>
    <t xml:space="preserve">Chicken Republic - Ilupeju</t>
  </si>
  <si>
    <t xml:space="preserve">12 Coker Rd, Ilupeju, Lagos 100246, Lagos, Nigeria</t>
  </si>
  <si>
    <t xml:space="preserve">+2348090165942</t>
  </si>
  <si>
    <t xml:space="preserve">https://www.chicken-republic.com/</t>
  </si>
  <si>
    <t xml:space="preserve">Chicken Republic - Osolo Way</t>
  </si>
  <si>
    <t xml:space="preserve">+234700064236423</t>
  </si>
  <si>
    <t xml:space="preserve">https://www.chicken-republic.com/store-locator/</t>
  </si>
  <si>
    <t xml:space="preserve">Chidi Okoro Supermarket</t>
  </si>
  <si>
    <t xml:space="preserve">8 Oyegunle St, Oworosoki, Lagos 100242, Lagos, Nigeria</t>
  </si>
  <si>
    <t xml:space="preserve">+2348127381216</t>
  </si>
  <si>
    <t xml:space="preserve">Chidon fashion Store</t>
  </si>
  <si>
    <t xml:space="preserve">10 Oshodi Rd, isiolo, Lagos 100261, Lagos, Nigeria</t>
  </si>
  <si>
    <t xml:space="preserve">+2348162267245</t>
  </si>
  <si>
    <t xml:space="preserve">Chief FRA Williams Chamber</t>
  </si>
  <si>
    <t xml:space="preserve">http://www.frawilliams.com/</t>
  </si>
  <si>
    <t xml:space="preserve">Chili Pepper’s Restaurant</t>
  </si>
  <si>
    <t xml:space="preserve">Family restaurant</t>
  </si>
  <si>
    <t xml:space="preserve">16 Association Ave, Ilupeju, Lagos 100252, Lagos, Nigeria</t>
  </si>
  <si>
    <t xml:space="preserve">+2348179068787</t>
  </si>
  <si>
    <t xml:space="preserve">Chimex Patent Medicine Store</t>
  </si>
  <si>
    <t xml:space="preserve">5 J Amu Street, Papa Ajao, Aliade 102215, Benue, Nigeria</t>
  </si>
  <si>
    <t xml:space="preserve">+2348163189325</t>
  </si>
  <si>
    <t xml:space="preserve">Chinyere Yoga Classes</t>
  </si>
  <si>
    <t xml:space="preserve">IYANO OWORO, 1 Ayoola Str, Abule Okuta, Lagos 102216, Lagos, Nigeria</t>
  </si>
  <si>
    <t xml:space="preserve">+2347087538917</t>
  </si>
  <si>
    <t xml:space="preserve">Chioma Provision Store</t>
  </si>
  <si>
    <t xml:space="preserve">6 Ago-Ijaye St, Orile Oshodi, Lagos 102214, Lagos, Nigeria</t>
  </si>
  <si>
    <t xml:space="preserve">+2348063889749</t>
  </si>
  <si>
    <t xml:space="preserve">Choices Beauty Salon</t>
  </si>
  <si>
    <t xml:space="preserve">1 Oriola St, Gbagada, Lagos 105102, Lagos, Nigeria</t>
  </si>
  <si>
    <t xml:space="preserve">+2348083756653</t>
  </si>
  <si>
    <t xml:space="preserve">Chriome Kitchen</t>
  </si>
  <si>
    <t xml:space="preserve">4 Macaulay St, Mushin, Lagos 102215, Lagos, Nigeria</t>
  </si>
  <si>
    <t xml:space="preserve">+2348143051040</t>
  </si>
  <si>
    <t xml:space="preserve">Chris Electrician</t>
  </si>
  <si>
    <t xml:space="preserve">Electrical supply store</t>
  </si>
  <si>
    <t xml:space="preserve">Okunmola Sgopping Complex, Oshodi, Agege Motor Rd, Lagos, Nigeria</t>
  </si>
  <si>
    <t xml:space="preserve">+2348056558755</t>
  </si>
  <si>
    <t xml:space="preserve">Chris Izu Computers</t>
  </si>
  <si>
    <t xml:space="preserve">Oshodi, 17 Suwebatu Ajala St, Lagos, Nigeria</t>
  </si>
  <si>
    <t xml:space="preserve">+2347032230307</t>
  </si>
  <si>
    <t xml:space="preserve">CHRIST APOSTOLIC CHURCH (DELIVERANCE DISTRICT)</t>
  </si>
  <si>
    <t xml:space="preserve">22 Adeokun St, Oworosoki, Lagos 105102, Lagos, Nigeria</t>
  </si>
  <si>
    <t xml:space="preserve">+2348078454158</t>
  </si>
  <si>
    <t xml:space="preserve">Christ Chosen Church of God International Bariga</t>
  </si>
  <si>
    <t xml:space="preserve">G9VV+PHP, St Finbarr's College Rd, Bariga, Lagos 102216, Lagos, Nigeria</t>
  </si>
  <si>
    <t xml:space="preserve">Christ The Redeemer Secondary School, Gbagada, Lagos.</t>
  </si>
  <si>
    <t xml:space="preserve">Secondary school</t>
  </si>
  <si>
    <t xml:space="preserve">3, 4 Morenikeji St, Gbagada, Lagos 102216, Lagos, Nigeria</t>
  </si>
  <si>
    <t xml:space="preserve">+2348180042533</t>
  </si>
  <si>
    <t xml:space="preserve">https://www.crssschools.com.ng/</t>
  </si>
  <si>
    <t xml:space="preserve">Christ The Redeemer's School Oworo</t>
  </si>
  <si>
    <t xml:space="preserve">Religious school</t>
  </si>
  <si>
    <t xml:space="preserve">52 Oworo Rd, Kosofe, Lagos 105102, Lagos, Nigeria</t>
  </si>
  <si>
    <t xml:space="preserve">+2348122167767</t>
  </si>
  <si>
    <t xml:space="preserve">Christian Evangelical Assembly</t>
  </si>
  <si>
    <t xml:space="preserve">Gospel church</t>
  </si>
  <si>
    <t xml:space="preserve">1 Olapeju St, Mushin, Lagos 102215, Lagos, Nigeria</t>
  </si>
  <si>
    <t xml:space="preserve">+2348036761642</t>
  </si>
  <si>
    <t xml:space="preserve">Chukason Automotive Limited</t>
  </si>
  <si>
    <t xml:space="preserve">Ladipo Block 18 shop 40 Aguiyi ironsi international market (Paramo, Mushin, Lagos, Nigeria</t>
  </si>
  <si>
    <t xml:space="preserve">+2348134245503</t>
  </si>
  <si>
    <t xml:space="preserve">https://chukasonlimited.com/</t>
  </si>
  <si>
    <t xml:space="preserve">Clean and fresh solution</t>
  </si>
  <si>
    <t xml:space="preserve">Odi-olowo LCDA, 3 Amu St, Mushin, Lagos 100253, Lagos, Nigeria</t>
  </si>
  <si>
    <t xml:space="preserve">+2349066113750</t>
  </si>
  <si>
    <t xml:space="preserve">Click Fix Technology</t>
  </si>
  <si>
    <t xml:space="preserve">Testimony Plaza, 2, 125 Oshile Street, Emmanuel St, Somolu, Lagos, Nigeria</t>
  </si>
  <si>
    <t xml:space="preserve">+2348138807336</t>
  </si>
  <si>
    <t xml:space="preserve">https://clickfx.web.app/</t>
  </si>
  <si>
    <t xml:space="preserve">Closet Laundry Solution</t>
  </si>
  <si>
    <t xml:space="preserve">Suite 121, Ilupeju Shopping Complex, Town Planning Way, Ilupeju, Lagos 102215, Lagos, Nigeria</t>
  </si>
  <si>
    <t xml:space="preserve">+2348023856795</t>
  </si>
  <si>
    <t xml:space="preserve">Clothing by curvesbyannaa</t>
  </si>
  <si>
    <t xml:space="preserve">6 Adebambo St, off Kolawole Shonibare Street, Obanikoro, Lagos 100232, Lagos, Nigeria</t>
  </si>
  <si>
    <t xml:space="preserve">+2348165920829</t>
  </si>
  <si>
    <t xml:space="preserve">Coded Photography</t>
  </si>
  <si>
    <t xml:space="preserve">23 Okusaga St, Ilupeju, Lagos 100001, Lagos, Nigeria</t>
  </si>
  <si>
    <t xml:space="preserve">+2347085187308</t>
  </si>
  <si>
    <t xml:space="preserve">Coleman Wires and Cables (IDEAL ELECTRICAL SOLUTIONS)</t>
  </si>
  <si>
    <t xml:space="preserve">Cable company</t>
  </si>
  <si>
    <t xml:space="preserve">13 Town Planning Way, Ilupeju, Lagos 102215, Lagos, Nigeria</t>
  </si>
  <si>
    <t xml:space="preserve">+2348055746231</t>
  </si>
  <si>
    <t xml:space="preserve">Common Ground Super Store Groceries</t>
  </si>
  <si>
    <t xml:space="preserve">62 Shogbamu St, Abule Okuta, Lagos 100242, Lagos, Nigeria</t>
  </si>
  <si>
    <t xml:space="preserve">+2348077130267</t>
  </si>
  <si>
    <t xml:space="preserve">Consolidated Hallmark Insurance Plc</t>
  </si>
  <si>
    <t xml:space="preserve">Auto insurance agency</t>
  </si>
  <si>
    <t xml:space="preserve">266 Ikorodu Rd, Obanikoro, Lagos 102216, Lagos, Nigeria</t>
  </si>
  <si>
    <t xml:space="preserve">https://chhplc.com/</t>
  </si>
  <si>
    <t xml:space="preserve">cooliosloft</t>
  </si>
  <si>
    <t xml:space="preserve">https://www.atiriragallery.com/book-cooliosloft</t>
  </si>
  <si>
    <t xml:space="preserve">Coronet School</t>
  </si>
  <si>
    <t xml:space="preserve">Primary- 15, Kasali Street, Akintan–Meiran, Lagos Secondary- No. 7, Ewenla Close Off Kasali Street, Meiran Rd, Lagos, Nigeria</t>
  </si>
  <si>
    <t xml:space="preserve">+2348028329176</t>
  </si>
  <si>
    <t xml:space="preserve">Cosiba Pharmacy And Store</t>
  </si>
  <si>
    <t xml:space="preserve">16 Alarape St, Abule Okuta, Lagos 102216, Lagos, Nigeria</t>
  </si>
  <si>
    <t xml:space="preserve">COURAGE NURSERY AND PRIMARY SCHOOL</t>
  </si>
  <si>
    <t xml:space="preserve">18 Adio St, Abule Okuta, Lagos 100242, Lagos, Nigeria</t>
  </si>
  <si>
    <t xml:space="preserve">Cozann Pharmacy and Stores</t>
  </si>
  <si>
    <t xml:space="preserve">H92X+6WR, Oworo Road, Ekore, Oworosoki, Lagos, Nigeria</t>
  </si>
  <si>
    <t xml:space="preserve">CRESTMARK MEDICAL DIAGNOSTIC LABORATORY AND BLOOD BANKING SERVICES</t>
  </si>
  <si>
    <t xml:space="preserve">Medical laboratory</t>
  </si>
  <si>
    <t xml:space="preserve">bus stop, 161 Ikorodu Rd, beside lanre shittu motors, Onipanu, Lagos 100252, Lagos, Nigeria</t>
  </si>
  <si>
    <t xml:space="preserve">+2347031321491</t>
  </si>
  <si>
    <t xml:space="preserve">Crissam Company</t>
  </si>
  <si>
    <t xml:space="preserve">10 Ilojo Cres, Ikorodu Rd, Obanikoro, Lagos 102216, Lagos, Nigeria</t>
  </si>
  <si>
    <t xml:space="preserve">+2348033048578</t>
  </si>
  <si>
    <t xml:space="preserve">Crown of Glory Church of Christ</t>
  </si>
  <si>
    <t xml:space="preserve">18 Kiniun-Ifa St, Gbagada, Lagos 105102, Lagos, Nigeria</t>
  </si>
  <si>
    <t xml:space="preserve">+2348132629008</t>
  </si>
  <si>
    <t xml:space="preserve">Crownie Beauty Place</t>
  </si>
  <si>
    <t xml:space="preserve">Make-up artist</t>
  </si>
  <si>
    <t xml:space="preserve">Sawmill junction, 17 Williams St, Gbagada, Lagos 100234, Lagos, Nigeria</t>
  </si>
  <si>
    <t xml:space="preserve">+2347068700282</t>
  </si>
  <si>
    <t xml:space="preserve">https://msha.ke/crowniebeautyplace</t>
  </si>
  <si>
    <t xml:space="preserve">Crystal Accounts ERP</t>
  </si>
  <si>
    <t xml:space="preserve">2A Ilaka St, Ilupeju, Lagos 102215, Lagos, Nigeria</t>
  </si>
  <si>
    <t xml:space="preserve">+2348037871385</t>
  </si>
  <si>
    <t xml:space="preserve">Crystal Oyen School</t>
  </si>
  <si>
    <t xml:space="preserve">Montessori preschool</t>
  </si>
  <si>
    <t xml:space="preserve">32 Olaleye St, Bariga, Lagos 105102, Lagos, Nigeria</t>
  </si>
  <si>
    <t xml:space="preserve">+2348035376126</t>
  </si>
  <si>
    <t xml:space="preserve">Cube Salon, Spa And Makeup Studio</t>
  </si>
  <si>
    <t xml:space="preserve">8 Lateef Shofowora Street, General Hospital Rd, Gbagada, Lagos 105102, Lagos, Nigeria</t>
  </si>
  <si>
    <t xml:space="preserve">+2349022200499</t>
  </si>
  <si>
    <t xml:space="preserve">https://cubespa.com.ng/</t>
  </si>
  <si>
    <t xml:space="preserve">Cutyland Dry Cleaning Services</t>
  </si>
  <si>
    <t xml:space="preserve">Ilupeju Model Market, Shop 16B, Mushin, Lagos, Nigeria</t>
  </si>
  <si>
    <t xml:space="preserve">D &amp; M Link Furniture</t>
  </si>
  <si>
    <t xml:space="preserve">Furniture maker</t>
  </si>
  <si>
    <t xml:space="preserve">9 Wilmer St, Ilupeju, Lagos 102215, Lagos, Nigeria</t>
  </si>
  <si>
    <t xml:space="preserve">+2348023125810</t>
  </si>
  <si>
    <t xml:space="preserve">https://dmlinkfurniture.com.ng/home-page</t>
  </si>
  <si>
    <t xml:space="preserve">D Plumber</t>
  </si>
  <si>
    <t xml:space="preserve">9 Olorunnisola St, Onipanu, Lagos 102215, Lagos, Nigeria</t>
  </si>
  <si>
    <t xml:space="preserve">+2348057453131</t>
  </si>
  <si>
    <t xml:space="preserve">D'Bridge dental clinic</t>
  </si>
  <si>
    <t xml:space="preserve">Cappa bus stop, Digital bridge institute, 1 Nitel Rd, Oshodi, Lagos, Nigeria</t>
  </si>
  <si>
    <t xml:space="preserve">+2348136958121</t>
  </si>
  <si>
    <t xml:space="preserve">http://dbridgedentalclinic.com.ng/</t>
  </si>
  <si>
    <t xml:space="preserve">D'Cravin's Bistro</t>
  </si>
  <si>
    <t xml:space="preserve">12 Town Planning Way, Ilupeju, Lagos 100252, Lagos, Nigeria</t>
  </si>
  <si>
    <t xml:space="preserve">+2348161362175</t>
  </si>
  <si>
    <t xml:space="preserve">D'mayo Studios</t>
  </si>
  <si>
    <t xml:space="preserve">1 Buraimoh St, Somolu, Lagos 100232, Lagos, Nigeria</t>
  </si>
  <si>
    <t xml:space="preserve">+2348080806882</t>
  </si>
  <si>
    <t xml:space="preserve">http://www.dmayostudios.com/</t>
  </si>
  <si>
    <t xml:space="preserve">D's Cutz</t>
  </si>
  <si>
    <t xml:space="preserve">48 Oworo Rd, Oworosoki, Oworonshoki 105102, Lagos, Nigeria</t>
  </si>
  <si>
    <t xml:space="preserve">+2349094820009</t>
  </si>
  <si>
    <t xml:space="preserve">Dabest International</t>
  </si>
  <si>
    <t xml:space="preserve">H84X+2GF, Oshodi, Suwebatu Ajala St, Lagos, Nigeria</t>
  </si>
  <si>
    <t xml:space="preserve">Dammy Hair Saloon</t>
  </si>
  <si>
    <t xml:space="preserve">44 Omobokun St, Abule Okuta, Lagos 102216, Lagos, Nigeria</t>
  </si>
  <si>
    <t xml:space="preserve">+2348029715758</t>
  </si>
  <si>
    <t xml:space="preserve">Damola</t>
  </si>
  <si>
    <t xml:space="preserve">Oshodi Main Market, Oshodi Rd, Oshodi, Ikeja 102214, Lagos, Nigeria</t>
  </si>
  <si>
    <t xml:space="preserve">+2348069783623</t>
  </si>
  <si>
    <t xml:space="preserve">Daniel Adewuni</t>
  </si>
  <si>
    <t xml:space="preserve">New Garage, 62 Shogbamu St, Gbagada, Lagos 102216, Lagos, Nigeria</t>
  </si>
  <si>
    <t xml:space="preserve">Daniel O. Alalade And Company</t>
  </si>
  <si>
    <t xml:space="preserve">10 Ilojo Cres, Obanikoro, Lagos 102216, Lagos, Nigeria</t>
  </si>
  <si>
    <t xml:space="preserve">+2348037127515</t>
  </si>
  <si>
    <t xml:space="preserve">Danito Multichoice Drycleaning</t>
  </si>
  <si>
    <t xml:space="preserve">H926+GR6, Coker Rd, Mushin, Lagos 102215, Lagos, Nigeria</t>
  </si>
  <si>
    <t xml:space="preserve">+2348062453213</t>
  </si>
  <si>
    <t xml:space="preserve">Dansmart Elektrotech</t>
  </si>
  <si>
    <t xml:space="preserve">Home automation company</t>
  </si>
  <si>
    <t xml:space="preserve">10 Coker Rd, Ilupeju, Lagos 100252, Lagos, Nigeria</t>
  </si>
  <si>
    <t xml:space="preserve">+2348053233770</t>
  </si>
  <si>
    <t xml:space="preserve">https://www.dansmart.net/</t>
  </si>
  <si>
    <t xml:space="preserve">Darlington Hall</t>
  </si>
  <si>
    <t xml:space="preserve">Plot CDE Industrial Cres, off Town Planning Way, Ilupeju, Lagos 102215, Lagos, Nigeria</t>
  </si>
  <si>
    <t xml:space="preserve">+2348105088877</t>
  </si>
  <si>
    <t xml:space="preserve">http://www.theeventswarehouse.com/</t>
  </si>
  <si>
    <t xml:space="preserve">Daysman Laudry And Cleaning</t>
  </si>
  <si>
    <t xml:space="preserve">H84X+7MQ, Suwebatu Ajala St, Orile Oshodi, Ikeja 102214, Lagos, Nigeria</t>
  </si>
  <si>
    <t xml:space="preserve">+2348066425382</t>
  </si>
  <si>
    <t xml:space="preserve">Dayson Nigeria Limited</t>
  </si>
  <si>
    <t xml:space="preserve">46B Faramobi Ajike St, Somolu, Lagos 105102, Lagos, Nigeria</t>
  </si>
  <si>
    <t xml:space="preserve">+2348022907155</t>
  </si>
  <si>
    <t xml:space="preserve">http://www.daysonlimited.com/</t>
  </si>
  <si>
    <t xml:space="preserve">Dazzle Hub</t>
  </si>
  <si>
    <t xml:space="preserve">293 Agege Motor Rd, Mushin, Lagos 102215, Lagos, Nigeria</t>
  </si>
  <si>
    <t xml:space="preserve">+2348066467408</t>
  </si>
  <si>
    <t xml:space="preserve">DBI Guest House</t>
  </si>
  <si>
    <t xml:space="preserve">by Cappa bus stop, 1 F.I.I.R.O Rd, Papa Ajao, Lagos 100001, Lagos, Nigeria</t>
  </si>
  <si>
    <t xml:space="preserve">+254733280000</t>
  </si>
  <si>
    <t xml:space="preserve">DBIFITNESS</t>
  </si>
  <si>
    <t xml:space="preserve">1 Nitel Rd, Mushin, Lagos 100253, Lagos, Nigeria</t>
  </si>
  <si>
    <t xml:space="preserve">+2347062594879</t>
  </si>
  <si>
    <t xml:space="preserve">DC Laundry Clean</t>
  </si>
  <si>
    <t xml:space="preserve">7 Alabi St, Pedro, Lagos 100001, Lagos, Nigeria</t>
  </si>
  <si>
    <t xml:space="preserve">+2349072002235</t>
  </si>
  <si>
    <t xml:space="preserve">De KINGS EYES CLINIC, OWORONSHOKI</t>
  </si>
  <si>
    <t xml:space="preserve">Eye care center</t>
  </si>
  <si>
    <t xml:space="preserve">12 Oduduwa St, Oworosoki, Iyanaoworo, SANDTEX PAINT BUILDING, Kosofe, Lagos 100242, Lagos, Nigeria</t>
  </si>
  <si>
    <t xml:space="preserve">+2348033730542</t>
  </si>
  <si>
    <t xml:space="preserve">http://www.facebook.com/dekingseyesclinic</t>
  </si>
  <si>
    <t xml:space="preserve">De Prince Auto Parts</t>
  </si>
  <si>
    <t xml:space="preserve">LADIPO MARKET, Local, Mushin, Lagos 100253, Lagos, Nigeria</t>
  </si>
  <si>
    <t xml:space="preserve">+2349036339950</t>
  </si>
  <si>
    <t xml:space="preserve">https://remedymorgan2-rgb.github.io/deprince-autoparts/</t>
  </si>
  <si>
    <t xml:space="preserve">De Rigo Enterprises (Printer in Shomolu Lagos)</t>
  </si>
  <si>
    <t xml:space="preserve">2 Awofeso St, off Shipeolu Street, Somolu, Lagos 234001, Lagos, Nigeria</t>
  </si>
  <si>
    <t xml:space="preserve">+2348021268687</t>
  </si>
  <si>
    <t xml:space="preserve">http://derigoenterprises.com/</t>
  </si>
  <si>
    <t xml:space="preserve">De Voss Guest House</t>
  </si>
  <si>
    <t xml:space="preserve">Motel</t>
  </si>
  <si>
    <t xml:space="preserve">H92X+X65, Ogunyomi St, Oworosoki, Lagos 105102, Lagos, Nigeria</t>
  </si>
  <si>
    <t xml:space="preserve">Debof Clinic</t>
  </si>
  <si>
    <t xml:space="preserve">G8QW+88W, Ladipo St, Mushin, Lagos 102215, Lagos, Nigeria</t>
  </si>
  <si>
    <t xml:space="preserve">DEBOLA ADEMOLA CONSULTING (Estate Surveyors &amp; Valuers)</t>
  </si>
  <si>
    <t xml:space="preserve">256 Ikorodu Rd, Obanikoro, Lagos 100232, Lagos, Nigeria</t>
  </si>
  <si>
    <t xml:space="preserve">+2348184165591</t>
  </si>
  <si>
    <t xml:space="preserve">https://www.consultsdac.com/</t>
  </si>
  <si>
    <t xml:space="preserve">DEEPER LIFE BIBLE CHURCH, OREMEJI GROUP, GBAGADA, LAGOS</t>
  </si>
  <si>
    <t xml:space="preserve">Religious organization</t>
  </si>
  <si>
    <t xml:space="preserve">1 Kiniun-Ifa St, off Williams Street, Gbagada, Lagos 100234, Lagos, Nigeria</t>
  </si>
  <si>
    <t xml:space="preserve">Deeper Life Church</t>
  </si>
  <si>
    <t xml:space="preserve">H94V+J4H, Bode Joseph St, Gbagada, Lagos 105102, Lagos, Nigeria</t>
  </si>
  <si>
    <t xml:space="preserve">http://dclm.org/</t>
  </si>
  <si>
    <t xml:space="preserve">Dee’s beauty hub</t>
  </si>
  <si>
    <t xml:space="preserve">Eyelash salon</t>
  </si>
  <si>
    <t xml:space="preserve">local government, 14 Jesus Rd, Gbagada, Lagos 100234, Lagos, Nigeria</t>
  </si>
  <si>
    <t xml:space="preserve">+2349022300037</t>
  </si>
  <si>
    <t xml:space="preserve">Defash catering services</t>
  </si>
  <si>
    <t xml:space="preserve">9 Okusaga St, Ilupeju, Lagos 102215, Lagos, Nigeria</t>
  </si>
  <si>
    <t xml:space="preserve">+2348020999776</t>
  </si>
  <si>
    <t xml:space="preserve">Defavours Dental Clinic Ogudu-Ojota, Lagos - Teeth Whitening, Braces &amp; Implants, Cosmetic Dentistry</t>
  </si>
  <si>
    <t xml:space="preserve">118 Ogudu Rd, Ogudu, Lagos 105102, Lagos, Nigeria</t>
  </si>
  <si>
    <t xml:space="preserve">+2348023316067</t>
  </si>
  <si>
    <t xml:space="preserve">https://defavoursdental.com.ng/</t>
  </si>
  <si>
    <t xml:space="preserve">Demo Property</t>
  </si>
  <si>
    <t xml:space="preserve">88 Ladipo St, Lagos Mainland, Lagos 102215, Lagos, Nigeria</t>
  </si>
  <si>
    <t xml:space="preserve">+2348038331004</t>
  </si>
  <si>
    <t xml:space="preserve">Denos Insurance Brokers Ltd</t>
  </si>
  <si>
    <t xml:space="preserve">38/40 Apapa Oworonshoki Expy, Orile Oshodi, Ikeja 102214, Lagos, Nigeria</t>
  </si>
  <si>
    <t xml:space="preserve">+2348023256984</t>
  </si>
  <si>
    <t xml:space="preserve">Dental and maxillofacial surgery</t>
  </si>
  <si>
    <t xml:space="preserve">Phase two estate, Plot 274 Lanre Awolokun St, Gbagada, Lagos 102216, Lagos, Nigeria</t>
  </si>
  <si>
    <t xml:space="preserve">+2348065522971</t>
  </si>
  <si>
    <t xml:space="preserve">Dentline Dental Clinic</t>
  </si>
  <si>
    <t xml:space="preserve">15 Ajayi Aina St, near Deeper life HQ, Gbagada, Lagos 100241, Lagos, Nigeria</t>
  </si>
  <si>
    <t xml:space="preserve">+2349155588070</t>
  </si>
  <si>
    <t xml:space="preserve">https://dentlineclinic.com/</t>
  </si>
  <si>
    <t xml:space="preserve">Deoogi Kitchen</t>
  </si>
  <si>
    <t xml:space="preserve">1 Ogunji St, opp. chicken repub, Ilupeju, Lagos 100232, Lagos, Nigeria</t>
  </si>
  <si>
    <t xml:space="preserve">+2348033306585</t>
  </si>
  <si>
    <t xml:space="preserve">Deseret International Hospital</t>
  </si>
  <si>
    <t xml:space="preserve">General hospital</t>
  </si>
  <si>
    <t xml:space="preserve">23 Oduduwa Cres, Ikeja GRA, Ikeja 211001, Lagos, Nigeria</t>
  </si>
  <si>
    <t xml:space="preserve">Deveevents Managements</t>
  </si>
  <si>
    <t xml:space="preserve">8 Obanikoro St, Obanikoro, Lagos 102216, Lagos, Nigeria</t>
  </si>
  <si>
    <t xml:space="preserve">+2348098427883</t>
  </si>
  <si>
    <t xml:space="preserve">DEVMAX AUTO PARTS</t>
  </si>
  <si>
    <t xml:space="preserve">Local Government, 25 OSORO STREET LADIPO MUSHIN MARKET, Mushin, Lagos 100001, Lagos, Nigeria</t>
  </si>
  <si>
    <t xml:space="preserve">+2347065245858</t>
  </si>
  <si>
    <t xml:space="preserve">Diadem Pharmacy And Store</t>
  </si>
  <si>
    <t xml:space="preserve">8 Oyo St, Akinyele, Lagos 102215, Lagos, Nigeria</t>
  </si>
  <si>
    <t xml:space="preserve">+2348062453391</t>
  </si>
  <si>
    <t xml:space="preserve">DIGO ELECTRICAL WORKS</t>
  </si>
  <si>
    <t xml:space="preserve">15 Ariyibi - Oke St, Mafoluku Oshodi, Lagos 102214, Lagos, Nigeria</t>
  </si>
  <si>
    <t xml:space="preserve">+2348057523191</t>
  </si>
  <si>
    <t xml:space="preserve">Dini Connection Event Centre</t>
  </si>
  <si>
    <t xml:space="preserve">7 11 Oludegun Ave, Orile Oshodi, Lagos 102214, Lagos, Nigeria</t>
  </si>
  <si>
    <t xml:space="preserve">+2349033078984</t>
  </si>
  <si>
    <t xml:space="preserve">Dip Fabric Care</t>
  </si>
  <si>
    <t xml:space="preserve">G9V9+WHQ, Salami Shuaibu St, Pedro, Lagos 102216, Lagos, Nigeria</t>
  </si>
  <si>
    <t xml:space="preserve">Divas Showroom</t>
  </si>
  <si>
    <t xml:space="preserve">New Garage, 41 Shogbamu St, Gbagada, Lagos 102216, Lagos, Nigeria</t>
  </si>
  <si>
    <t xml:space="preserve">+2348139569384</t>
  </si>
  <si>
    <t xml:space="preserve">Divine Events Center</t>
  </si>
  <si>
    <t xml:space="preserve">Shepherdhill Baptist Church Compound Obanikoro Bus, Obanikoro, Lagos, Nigeria</t>
  </si>
  <si>
    <t xml:space="preserve">+2348104490820</t>
  </si>
  <si>
    <t xml:space="preserve">https://m.facebook.com/Divine-Events-Centre-1755337481463707/</t>
  </si>
  <si>
    <t xml:space="preserve">Divine Point Investment Limited</t>
  </si>
  <si>
    <t xml:space="preserve">Power plant equipment supplier</t>
  </si>
  <si>
    <t xml:space="preserve">254 Ikorodu Rd, Obanikoro, Lagos 100011, Lagos, Nigeria</t>
  </si>
  <si>
    <t xml:space="preserve">+2348023093300</t>
  </si>
  <si>
    <t xml:space="preserve">http://www.divinepoint.com.ng/</t>
  </si>
  <si>
    <t xml:space="preserve">Diwura Catering Services</t>
  </si>
  <si>
    <t xml:space="preserve">2 Odubanjo St, Somolu, Lagos 102216, Lagos, Nigeria</t>
  </si>
  <si>
    <t xml:space="preserve">+2348121931132</t>
  </si>
  <si>
    <t xml:space="preserve">Doctor Laundry and Dry Cleaning service</t>
  </si>
  <si>
    <t xml:space="preserve">15Obanikoro Street, Pedro, Lagos 102216, Lagos, Nigeria</t>
  </si>
  <si>
    <t xml:space="preserve">+2348162645965</t>
  </si>
  <si>
    <t xml:space="preserve">Don Moore Barber's Shop</t>
  </si>
  <si>
    <t xml:space="preserve">Lateef Dosumu St, Gbagada, Lagos 105102, Lagos, Nigeria</t>
  </si>
  <si>
    <t xml:space="preserve">Donfix Plumbing Services</t>
  </si>
  <si>
    <t xml:space="preserve">Public bathroom</t>
  </si>
  <si>
    <t xml:space="preserve">11, Ogunji Street, Ilupeju, Odi-Olowo, Lagos 100001, Lagos, Nigeria</t>
  </si>
  <si>
    <t xml:space="preserve">+2348038379473</t>
  </si>
  <si>
    <t xml:space="preserve">http://www.donfixplumbingservices.wordpress.com/</t>
  </si>
  <si>
    <t xml:space="preserve">Dori Sons</t>
  </si>
  <si>
    <t xml:space="preserve">4B Bola Adewunmi St, Somolu, Lagos 105102, Lagos, Nigeria</t>
  </si>
  <si>
    <t xml:space="preserve">+2348035634866</t>
  </si>
  <si>
    <t xml:space="preserve">Dorsim Barber Shop</t>
  </si>
  <si>
    <t xml:space="preserve">G9VV+H98, Oriola St, Bariga, Lagos 102216, Lagos, Nigeria</t>
  </si>
  <si>
    <t xml:space="preserve">Double Tee Event &amp; catering Service</t>
  </si>
  <si>
    <t xml:space="preserve">31 Banjoko St, Mafoluku Oshodi, Lagos 102214, Lagos, Nigeria</t>
  </si>
  <si>
    <t xml:space="preserve">DRINKS VANTAGE</t>
  </si>
  <si>
    <t xml:space="preserve">Discount supermarket</t>
  </si>
  <si>
    <t xml:space="preserve">1 Oworo Rd, Oworosoki, Lagos 105102, Lagos, Nigeria</t>
  </si>
  <si>
    <t xml:space="preserve">+2348028585729</t>
  </si>
  <si>
    <t xml:space="preserve">DSP Computers LTD</t>
  </si>
  <si>
    <t xml:space="preserve">19 Esther Oshiyemi St, Ilupeju, Lagos 100252, Lagos, Nigeria</t>
  </si>
  <si>
    <t xml:space="preserve">+2348059307096</t>
  </si>
  <si>
    <t xml:space="preserve">http://www.dspcomputers.com.ng/</t>
  </si>
  <si>
    <t xml:space="preserve">Dynamic Spectrum Photographers</t>
  </si>
  <si>
    <t xml:space="preserve">Off Church Street, Oshodi, 14 Inasa St, Mushin, Lagos, Nigeria</t>
  </si>
  <si>
    <t xml:space="preserve">+2348066743022</t>
  </si>
  <si>
    <t xml:space="preserve">E.J Provisions Store</t>
  </si>
  <si>
    <t xml:space="preserve">Ilupeju, Lagos 101233, Lagos, Nigeria</t>
  </si>
  <si>
    <t xml:space="preserve">+2348167893859</t>
  </si>
  <si>
    <t xml:space="preserve">East Court Real Estate Brokerage</t>
  </si>
  <si>
    <t xml:space="preserve">Shopping Complex, Suite 188, Block A2-16, Sura Mogaji, Simpson St, Lagos Island, Lagos, Nigeria</t>
  </si>
  <si>
    <t xml:space="preserve">+2349096644703</t>
  </si>
  <si>
    <t xml:space="preserve">http://mceastcourt.com/</t>
  </si>
  <si>
    <t xml:space="preserve">Easy Carpentry Works Limited</t>
  </si>
  <si>
    <t xml:space="preserve">21 Ijagbemi St, Somolu, Lagos 102216, Lagos, Nigeria</t>
  </si>
  <si>
    <t xml:space="preserve">+2348055368767</t>
  </si>
  <si>
    <t xml:space="preserve">Ebanor Store</t>
  </si>
  <si>
    <t xml:space="preserve">21 Olorunfunmi St, Oworosoki, Lagos 105102, Lagos, Nigeria</t>
  </si>
  <si>
    <t xml:space="preserve">+2348063261812</t>
  </si>
  <si>
    <t xml:space="preserve">Ebi Bone Clinic &amp; Maternity Home</t>
  </si>
  <si>
    <t xml:space="preserve">Bonesetting house</t>
  </si>
  <si>
    <t xml:space="preserve">7 Lone St, Oworosoki, Lagos 105102, Lagos, Nigeria</t>
  </si>
  <si>
    <t xml:space="preserve">Ebliz Events Planner</t>
  </si>
  <si>
    <t xml:space="preserve">34 Church St, Oshodi, Lagos 102214, Lagos, Nigeria</t>
  </si>
  <si>
    <t xml:space="preserve">+2348032729699</t>
  </si>
  <si>
    <t xml:space="preserve">Eboh - Frank Computer Ltd</t>
  </si>
  <si>
    <t xml:space="preserve">Oshodi, 15 Araromi St, Lagos, Nigeria</t>
  </si>
  <si>
    <t xml:space="preserve">+2348082311457</t>
  </si>
  <si>
    <t xml:space="preserve">Ebony Beauty World</t>
  </si>
  <si>
    <t xml:space="preserve">HC22+8RR, Shakiru Adio St, Oworosoki, Lagos 105102, Lagos, Nigeria</t>
  </si>
  <si>
    <t xml:space="preserve">ECWA Church</t>
  </si>
  <si>
    <t xml:space="preserve">Evangelical church</t>
  </si>
  <si>
    <t xml:space="preserve">369 Agege Motor Rd, Papa Ajao, Lagos 102215, Lagos, Nigeria</t>
  </si>
  <si>
    <t xml:space="preserve">ECWA Guest House, Mushin</t>
  </si>
  <si>
    <t xml:space="preserve">Edu Motors</t>
  </si>
  <si>
    <t xml:space="preserve">Auto Market, F.Agha Park Berger, Apapa-Oshodi Express Way, Amuwo Odofin, Lagos, Nigeria</t>
  </si>
  <si>
    <t xml:space="preserve">+2348023453994</t>
  </si>
  <si>
    <t xml:space="preserve">Edwin Agbakwuru &amp; Co.</t>
  </si>
  <si>
    <t xml:space="preserve">35 Association Ave, Odo Olowu, Ilupeju, Lagos 102214, Lagos, Nigeria</t>
  </si>
  <si>
    <t xml:space="preserve">+2348036775008</t>
  </si>
  <si>
    <t xml:space="preserve">Ejike auto care</t>
  </si>
  <si>
    <t xml:space="preserve">17 Oloruntoyin St, Mushin, Lagos 100001, Lagos, Nigeria</t>
  </si>
  <si>
    <t xml:space="preserve">Ejike Boutique</t>
  </si>
  <si>
    <t xml:space="preserve">kairo Market, Oshodi, Lagos, Nigeria</t>
  </si>
  <si>
    <t xml:space="preserve">+2348167427329</t>
  </si>
  <si>
    <t xml:space="preserve">Ejiwunmi Canteen</t>
  </si>
  <si>
    <t xml:space="preserve">Shotinoye St, Mushin, Lagos 102215, Lagos, Nigeria</t>
  </si>
  <si>
    <t xml:space="preserve">Ejix Pharmacy And Medical Laboratory Services Limited</t>
  </si>
  <si>
    <t xml:space="preserve">25 Ajegunle St, Onipanu, Lagos 102215, Lagos, Nigeria</t>
  </si>
  <si>
    <t xml:space="preserve">Ekeson Auto Parts</t>
  </si>
  <si>
    <t xml:space="preserve">E58 Rowland street, off Osoro Street, Mushin, Lagos 100253, Lagos, Nigeria</t>
  </si>
  <si>
    <t xml:space="preserve">+2349061287894</t>
  </si>
  <si>
    <t xml:space="preserve">El-Bethel Nursery and Primary School</t>
  </si>
  <si>
    <t xml:space="preserve">by Okeowo St, 99 HotelGbagada, off Sawmill Busstop, Gbagada, Lagos 100234, Lagos, Nigeria</t>
  </si>
  <si>
    <t xml:space="preserve">+2348022879701</t>
  </si>
  <si>
    <t xml:space="preserve">http://elbethelschool.com/</t>
  </si>
  <si>
    <t xml:space="preserve">Elegant For Real</t>
  </si>
  <si>
    <t xml:space="preserve">2 Johnson St, Ilupeju, Lagos 102215, Lagos, Nigeria</t>
  </si>
  <si>
    <t xml:space="preserve">+2348137022396</t>
  </si>
  <si>
    <t xml:space="preserve">EMBRONX PRINT LIMITED</t>
  </si>
  <si>
    <t xml:space="preserve">Plot 6 Ilojo Cres, Obanikoro, Lagos 102216, Lagos, Nigeria</t>
  </si>
  <si>
    <t xml:space="preserve">+2349070576302</t>
  </si>
  <si>
    <t xml:space="preserve">https://embronxgroup.com/embronx-print-limited/</t>
  </si>
  <si>
    <t xml:space="preserve">Emeka Boutique</t>
  </si>
  <si>
    <t xml:space="preserve">Oshodi, 73 Brown St, Mushin, Lagos, Nigeria</t>
  </si>
  <si>
    <t xml:space="preserve">+2348082254114</t>
  </si>
  <si>
    <t xml:space="preserve">Emerald Day Secondary School</t>
  </si>
  <si>
    <t xml:space="preserve">Emerald School Drive, 1/2 Gandonu Estate, Gbagada, Lagos 100234, Lagos, Nigeria</t>
  </si>
  <si>
    <t xml:space="preserve">+2349025751734</t>
  </si>
  <si>
    <t xml:space="preserve">http://www.emeraldschools.com/</t>
  </si>
  <si>
    <t xml:space="preserve">Emerald Solution Service</t>
  </si>
  <si>
    <t xml:space="preserve">3 Buraimoh St, off Obanikoro Street, Obanikoro, Lagos 102216, Lagos, Nigeria</t>
  </si>
  <si>
    <t xml:space="preserve">+2347098732003</t>
  </si>
  <si>
    <t xml:space="preserve">EMICOOLAC</t>
  </si>
  <si>
    <t xml:space="preserve">No 5 adeyanju Ikorodu igbogbo Lagos Yabar, Lagos 110001, Lagos, Nigeria</t>
  </si>
  <si>
    <t xml:space="preserve">+2347051792487</t>
  </si>
  <si>
    <t xml:space="preserve">Emmanuel Oyeleke Photography</t>
  </si>
  <si>
    <t xml:space="preserve">3 Bello Cresent, off Esther Oshiyemi Street, Ilupeju, Lagos 100252, Lagos, Nigeria</t>
  </si>
  <si>
    <t xml:space="preserve">+2348081443667</t>
  </si>
  <si>
    <t xml:space="preserve">http://emmanueloyeleke.com/</t>
  </si>
  <si>
    <t xml:space="preserve">Emmanuel spa</t>
  </si>
  <si>
    <t xml:space="preserve">Health and beauty shop</t>
  </si>
  <si>
    <t xml:space="preserve">35 Oworo Rd, Oworosoki, Oworonshoki 105102, Lagos, Nigeria</t>
  </si>
  <si>
    <t xml:space="preserve">Enus Global</t>
  </si>
  <si>
    <t xml:space="preserve">12 shola, Ayinla Olugbode St, Ikorodu 100001, Lagos, Nigeria</t>
  </si>
  <si>
    <t xml:space="preserve">+2348039167841</t>
  </si>
  <si>
    <t xml:space="preserve">Epitome Day Nursery and Primary School</t>
  </si>
  <si>
    <t xml:space="preserve">18 Idera St, Oworosoki, Lagos 105102, Lagos, Nigeria</t>
  </si>
  <si>
    <t xml:space="preserve">+2348060471664</t>
  </si>
  <si>
    <t xml:space="preserve">Ereja Medical Centre</t>
  </si>
  <si>
    <t xml:space="preserve">1Ifako Road, Gbagada, Lagos 105102, Lagos, Nigeria</t>
  </si>
  <si>
    <t xml:space="preserve">Eromidayo</t>
  </si>
  <si>
    <t xml:space="preserve">Day care center</t>
  </si>
  <si>
    <t xml:space="preserve">53 Olorunsogo St, Mushin, Lagos 102215, Lagos, Nigeria</t>
  </si>
  <si>
    <t xml:space="preserve">+2348035646835</t>
  </si>
  <si>
    <t xml:space="preserve">Erranda Computer Technology</t>
  </si>
  <si>
    <t xml:space="preserve">204, Railway line, Ilupeju Mushin, Palmgrove, Lagos 100253, Lagos, Nigeria</t>
  </si>
  <si>
    <t xml:space="preserve">+2347083319909</t>
  </si>
  <si>
    <t xml:space="preserve">Escobar Clothing</t>
  </si>
  <si>
    <t xml:space="preserve">21 Church St, Oshodi, Lagos 102214, Lagos, Nigeria</t>
  </si>
  <si>
    <t xml:space="preserve">+2349063351270</t>
  </si>
  <si>
    <t xml:space="preserve">Estate Primary School</t>
  </si>
  <si>
    <t xml:space="preserve">G8QW+7M7, Papa Ajao, Lagos 102215, Lagos, Nigeria</t>
  </si>
  <si>
    <t xml:space="preserve">Esterified</t>
  </si>
  <si>
    <t xml:space="preserve">37 Oloruntoyin St, Bariga, Lagos 102216, Lagos, Nigeria</t>
  </si>
  <si>
    <t xml:space="preserve">Eva Adelaja Girls Secondary Grammar school</t>
  </si>
  <si>
    <t xml:space="preserve">G9VV+33Q, Bariga, Oworonshoki 102216, Lagos, Nigeria</t>
  </si>
  <si>
    <t xml:space="preserve">+2347061510471</t>
  </si>
  <si>
    <t xml:space="preserve">Eva Adelaja Primary Health Centre</t>
  </si>
  <si>
    <t xml:space="preserve">Community health center</t>
  </si>
  <si>
    <t xml:space="preserve">G9VV+736, Somolu, Lagos 102216, Lagos, Nigeria</t>
  </si>
  <si>
    <t xml:space="preserve">Eva Clean</t>
  </si>
  <si>
    <t xml:space="preserve">105 Kunle Akinosi St, Oshodi, Ikeja 102214, Lagos, Nigeria</t>
  </si>
  <si>
    <t xml:space="preserve">+2348033478434</t>
  </si>
  <si>
    <t xml:space="preserve">Eventful Limited</t>
  </si>
  <si>
    <t xml:space="preserve">1 Obokun Street, off Coker Rd, Ilupeju, Lagos, Nigeria</t>
  </si>
  <si>
    <t xml:space="preserve">+2348052249040</t>
  </si>
  <si>
    <t xml:space="preserve">http://www.eventfulnigeria.com/</t>
  </si>
  <si>
    <t xml:space="preserve">Events Chronicles</t>
  </si>
  <si>
    <t xml:space="preserve">Event ticket seller</t>
  </si>
  <si>
    <t xml:space="preserve">34 Obanikoro St, Obanikoro, Lagos 111011, Lagos, Nigeria</t>
  </si>
  <si>
    <t xml:space="preserve">+2348050662923</t>
  </si>
  <si>
    <t xml:space="preserve">http://www.eventschronicles.com/</t>
  </si>
  <si>
    <t xml:space="preserve">Everyevery Electrics</t>
  </si>
  <si>
    <t xml:space="preserve">68Brown, Street, Lagos, Nigeria</t>
  </si>
  <si>
    <t xml:space="preserve">+2349032828274</t>
  </si>
  <si>
    <t xml:space="preserve">Ewasconcept Events and Services</t>
  </si>
  <si>
    <t xml:space="preserve">28 Michael Adekoya St, Obanikoro, Lagos 102215, Lagos, Nigeria</t>
  </si>
  <si>
    <t xml:space="preserve">+2348090921962</t>
  </si>
  <si>
    <t xml:space="preserve">Excel barbing shop</t>
  </si>
  <si>
    <t xml:space="preserve">Shop 50 ojo street, mushin, Lagos 300001, Lagos, Nigeria</t>
  </si>
  <si>
    <t xml:space="preserve">+2347089664482</t>
  </si>
  <si>
    <t xml:space="preserve">Exelt Diagnostic Medical Laboratory</t>
  </si>
  <si>
    <t xml:space="preserve">G9RH+VVP, Somolu, Lagos 102216, Lagos, Nigeria</t>
  </si>
  <si>
    <t xml:space="preserve">+2349021252895</t>
  </si>
  <si>
    <t xml:space="preserve">Expatcare Health International Limited</t>
  </si>
  <si>
    <t xml:space="preserve">23B Fatai Atere Way, Emmanuel Plaza, 1St-4Th Floor Lagos Matori, Fatai Atere Way, Lagos, Nigeria</t>
  </si>
  <si>
    <t xml:space="preserve">+2348025240102</t>
  </si>
  <si>
    <t xml:space="preserve">Exquisite Barbershop</t>
  </si>
  <si>
    <t xml:space="preserve">49, Ajayi Aina Street Barracks Bus Stop Ifako, Gbagada, Lagos 100234, Lagos, Nigeria</t>
  </si>
  <si>
    <t xml:space="preserve">+2348127823321</t>
  </si>
  <si>
    <t xml:space="preserve">Extroclean</t>
  </si>
  <si>
    <t xml:space="preserve">Ojudu, 14 Obokun St, Ilupeju, Ikeja 102215, Lagos, Nigeria</t>
  </si>
  <si>
    <t xml:space="preserve">+2348038945315</t>
  </si>
  <si>
    <t xml:space="preserve">Eze Electrician</t>
  </si>
  <si>
    <t xml:space="preserve">Oshodi Okunmsla Plaza, Oshodi Rd, Ilupeju, Lagos 101233, Lagos, Nigeria</t>
  </si>
  <si>
    <t xml:space="preserve">+2348045778902</t>
  </si>
  <si>
    <t xml:space="preserve">Eze Francis auto spare parts</t>
  </si>
  <si>
    <t xml:space="preserve">116 Ladipo St, Mushin, Lagos 100253, Lagos, Nigeria</t>
  </si>
  <si>
    <t xml:space="preserve">Ezytech plumbing and borehole ventures</t>
  </si>
  <si>
    <t xml:space="preserve">5 Fafolu St, Mushin, Lagos 102215, Lagos, Nigeria</t>
  </si>
  <si>
    <t xml:space="preserve">+2349093739148</t>
  </si>
  <si>
    <t xml:space="preserve">F M Carpenters</t>
  </si>
  <si>
    <t xml:space="preserve">H85X+292, Oshodi, Ogunlana St, Lagos, Nigeria</t>
  </si>
  <si>
    <t xml:space="preserve">Fabklair</t>
  </si>
  <si>
    <t xml:space="preserve">new garage, 6A Adetoke St, Bariga, Lagos 102216, Lagos, Nigeria</t>
  </si>
  <si>
    <t xml:space="preserve">+2348183286560</t>
  </si>
  <si>
    <t xml:space="preserve">Fabrics Luxury</t>
  </si>
  <si>
    <t xml:space="preserve">33 Town Planning Way, Ilupeju, Lagos 102215, Lagos, Nigeria</t>
  </si>
  <si>
    <t xml:space="preserve">+2347039111064</t>
  </si>
  <si>
    <t xml:space="preserve">Fabulous Laundry</t>
  </si>
  <si>
    <t xml:space="preserve">25 Oshodi Rd, Orile Oshodi, Lagos 102214, Lagos, Nigeria</t>
  </si>
  <si>
    <t xml:space="preserve">+2348138035539</t>
  </si>
  <si>
    <t xml:space="preserve">Fafolu Clinic and Maternity Home</t>
  </si>
  <si>
    <t xml:space="preserve">22 Kumuyi St, Onipanu, Lagos 102215, Lagos, Nigeria</t>
  </si>
  <si>
    <t xml:space="preserve">Fafolu Mga Center</t>
  </si>
  <si>
    <t xml:space="preserve">G9Q3+2RC, Onipanu, Lagos 102215, Lagos, Nigeria</t>
  </si>
  <si>
    <t xml:space="preserve">Faith palace beauty salon</t>
  </si>
  <si>
    <t xml:space="preserve">No 2,idowu street mushin Lagos, Lagos 300001, Lagos, Nigeria</t>
  </si>
  <si>
    <t xml:space="preserve">+2348166585822</t>
  </si>
  <si>
    <t xml:space="preserve">Famous Cleaning Services</t>
  </si>
  <si>
    <t xml:space="preserve">25 Olusoji Idowu St, Ilupeju, Lagos 102215, Lagos, Nigeria</t>
  </si>
  <si>
    <t xml:space="preserve">+2348036414181</t>
  </si>
  <si>
    <t xml:space="preserve">Fash Guest House</t>
  </si>
  <si>
    <t xml:space="preserve">4 Adeleke Adegboyega St, Bariga, Lagos 102216, Lagos, Nigeria</t>
  </si>
  <si>
    <t xml:space="preserve">Femighty Barbing Saloon</t>
  </si>
  <si>
    <t xml:space="preserve">18 Mabawonku St, Oworosoki, Lagos 105102, Lagos, Nigeria</t>
  </si>
  <si>
    <t xml:space="preserve">Femigos Store</t>
  </si>
  <si>
    <t xml:space="preserve">G9W6+JQJ, Ilupeju Byepass, Ilupeja, Lagos 102215, Lagos, Nigeria</t>
  </si>
  <si>
    <t xml:space="preserve">+2348067253698</t>
  </si>
  <si>
    <t xml:space="preserve">First Consultant Dental Clinic, Ilupeju, Lagos</t>
  </si>
  <si>
    <t xml:space="preserve">Teju hospital premises, 22 Ilupeju Byepass, Ilupeju, Lagos 102215, Lagos, Nigeria</t>
  </si>
  <si>
    <t xml:space="preserve">+2348166136151</t>
  </si>
  <si>
    <t xml:space="preserve">http://www.firstconsultantdentals.com/</t>
  </si>
  <si>
    <t xml:space="preserve">First Consultant Dental Clinic, Isolo Formerly (Care 32 Dental Clinic)</t>
  </si>
  <si>
    <t xml:space="preserve">15 Osolo Wy, Ajao Estate, Lagos 102214, Lagos, Nigeria</t>
  </si>
  <si>
    <t xml:space="preserve">Fit &amp; Fine Boutique</t>
  </si>
  <si>
    <t xml:space="preserve">Inasa St, Mafoluku Oshodi, Lagos 102214, Lagos, Nigeria</t>
  </si>
  <si>
    <t xml:space="preserve">+2348065136920</t>
  </si>
  <si>
    <t xml:space="preserve">Fitables Bodycolours Spa</t>
  </si>
  <si>
    <t xml:space="preserve">56 Diya St, Gbagada, Lagos 105102, Lagos, Nigeria</t>
  </si>
  <si>
    <t xml:space="preserve">+2348037148997</t>
  </si>
  <si>
    <t xml:space="preserve">Fitables Exclusive Spa</t>
  </si>
  <si>
    <t xml:space="preserve">Gbagada, 3a Twins Obasa St, Gbagada, Lagos, Nigeria</t>
  </si>
  <si>
    <t xml:space="preserve">Fitness Barber Shop</t>
  </si>
  <si>
    <t xml:space="preserve">278 Agege Motor Rd, Onipanu, Ikeja 102215, Lagos, Nigeria</t>
  </si>
  <si>
    <t xml:space="preserve">+2348182127735</t>
  </si>
  <si>
    <t xml:space="preserve">fitness fashion</t>
  </si>
  <si>
    <t xml:space="preserve">medina estate, 5 Onyema St, Gbagada, Lagos 100001, Lagos, Nigeria</t>
  </si>
  <si>
    <t xml:space="preserve">+2348129652961</t>
  </si>
  <si>
    <t xml:space="preserve">Fittings Boutique</t>
  </si>
  <si>
    <t xml:space="preserve">Shop Gf3, Light Plaza, 32, Association Avenue, Ilupeju, Lagos, Lagos, Lagos, Nigeria</t>
  </si>
  <si>
    <t xml:space="preserve">+2348038601314</t>
  </si>
  <si>
    <t xml:space="preserve">Fixit45 Auto Hub Ilupeju</t>
  </si>
  <si>
    <t xml:space="preserve">Besides Temple School, 10B Olusoji Idowu St, Ilupeju, Lagos 100241, Lagos, Nigeria</t>
  </si>
  <si>
    <t xml:space="preserve">+2348080061040</t>
  </si>
  <si>
    <t xml:space="preserve">https://www.fixit45.com/</t>
  </si>
  <si>
    <t xml:space="preserve">Flakkies Catering Service</t>
  </si>
  <si>
    <t xml:space="preserve">10 Alabi St, off toyin, Pedro, Lagos 102216, Lagos, Nigeria</t>
  </si>
  <si>
    <t xml:space="preserve">+2348025047900</t>
  </si>
  <si>
    <t xml:space="preserve">Flavoured Spoon Catering</t>
  </si>
  <si>
    <t xml:space="preserve">34 Salami Shuaibu St, Pedro, Lagos 101241, Lagos, Nigeria</t>
  </si>
  <si>
    <t xml:space="preserve">+2348099177962</t>
  </si>
  <si>
    <t xml:space="preserve">FLORENCE SALOON</t>
  </si>
  <si>
    <t xml:space="preserve">No 1 Adeite ifako gbagada, Lagos 300001, Lagos, Nigeria</t>
  </si>
  <si>
    <t xml:space="preserve">+2348060877755</t>
  </si>
  <si>
    <t xml:space="preserve">Flourish Dental Clinic</t>
  </si>
  <si>
    <t xml:space="preserve">55 Diya St, Gbagada, Lagos 105102, Lagos, Nigeria</t>
  </si>
  <si>
    <t xml:space="preserve">+2347084265133</t>
  </si>
  <si>
    <t xml:space="preserve">FOD Gym</t>
  </si>
  <si>
    <t xml:space="preserve">20 Adekunle Osomo St, Gbagada, Lagos 105102, Lagos, Nigeria</t>
  </si>
  <si>
    <t xml:space="preserve">+2348186931864</t>
  </si>
  <si>
    <t xml:space="preserve">Fountain Gardens</t>
  </si>
  <si>
    <t xml:space="preserve">Bishop street, Off Esther Oshiyemi St, Ilupeju, Lagos, Nigeria</t>
  </si>
  <si>
    <t xml:space="preserve">Fountain of Grace Hospital</t>
  </si>
  <si>
    <t xml:space="preserve">G9P2+X6J, Papa Ajao, Lagos 102215, Lagos, Nigeria</t>
  </si>
  <si>
    <t xml:space="preserve">Foursquare Gospel Church</t>
  </si>
  <si>
    <t xml:space="preserve">Odi Olowo, 61 Olorunsogo St, Onipanu, Lagos 102215, Lagos, Nigeria</t>
  </si>
  <si>
    <t xml:space="preserve">+2348039799830</t>
  </si>
  <si>
    <t xml:space="preserve">Francis Plumbing Store</t>
  </si>
  <si>
    <t xml:space="preserve">20 Araromi St, Oshodi-Isolo, Lagos 102214, Lagos, Nigeria</t>
  </si>
  <si>
    <t xml:space="preserve">+2348021485315</t>
  </si>
  <si>
    <t xml:space="preserve">Franco Car Wash</t>
  </si>
  <si>
    <t xml:space="preserve">H86W+2GF, Oshideyin Street, Mafoluku Oshodi, Lagos 102214, Lagos, Nigeria</t>
  </si>
  <si>
    <t xml:space="preserve">+543455440620</t>
  </si>
  <si>
    <t xml:space="preserve">Frany's Restaurant</t>
  </si>
  <si>
    <t xml:space="preserve">31, ilupeju bypass @hyden fueling station, Ilupeju, Lagos 100252, Lagos, Nigeria</t>
  </si>
  <si>
    <t xml:space="preserve">+2348039138263</t>
  </si>
  <si>
    <t xml:space="preserve">Fresh Anointing Gbagada church</t>
  </si>
  <si>
    <t xml:space="preserve">36 Oloruntoyin St, Bariga, Lagos 102216, Lagos, Nigeria</t>
  </si>
  <si>
    <t xml:space="preserve">+2349083998476</t>
  </si>
  <si>
    <t xml:space="preserve">Fresh Grill Nigeria</t>
  </si>
  <si>
    <t xml:space="preserve">Barbecue restaurant</t>
  </si>
  <si>
    <t xml:space="preserve">35 Association Ave, near Obanikoro Bus Stop, Ilupeju, Lagos 100252, Lagos, Nigeria</t>
  </si>
  <si>
    <t xml:space="preserve">+2347066909393</t>
  </si>
  <si>
    <t xml:space="preserve">Friendly Boutique</t>
  </si>
  <si>
    <t xml:space="preserve">14 Oshodi, Oshodi Rd, Mafoluku Oshodi, Lagos 102214, Lagos, Nigeria</t>
  </si>
  <si>
    <t xml:space="preserve">+2348035715928</t>
  </si>
  <si>
    <t xml:space="preserve">Friendly kitchen</t>
  </si>
  <si>
    <t xml:space="preserve">Digital Bridge Institute, Nitel Rd, Papa Ajao, Lagos 102214, Lagos, Nigeria</t>
  </si>
  <si>
    <t xml:space="preserve">https://whatsapp.com/channel/0029Vb62lLF8V0tnOsiJ7w1z</t>
  </si>
  <si>
    <t xml:space="preserve">Frontline Guest House, Before Minet</t>
  </si>
  <si>
    <t xml:space="preserve">F.I.I.R.O Rd, Papa Ajao, Lagos 102215, Lagos, Nigeria</t>
  </si>
  <si>
    <t xml:space="preserve">Funke Salon</t>
  </si>
  <si>
    <t xml:space="preserve">Gbolahan Street, Oworo Rd, Anthony, Lagos, Nigeria</t>
  </si>
  <si>
    <t xml:space="preserve">+2348021439283</t>
  </si>
  <si>
    <t xml:space="preserve">Funky Beauty Salon</t>
  </si>
  <si>
    <t xml:space="preserve">5 Adeite Ogunsanya St, Gbagada, Lagos 105102, Lagos, Nigeria</t>
  </si>
  <si>
    <t xml:space="preserve">Funlad Boutique</t>
  </si>
  <si>
    <t xml:space="preserve">Association Ave, Ilupeju, Lagos 102215, Lagos, Nigeria</t>
  </si>
  <si>
    <t xml:space="preserve">+2348083329898</t>
  </si>
  <si>
    <t xml:space="preserve">Funmie Fashionista</t>
  </si>
  <si>
    <t xml:space="preserve">Fabric store</t>
  </si>
  <si>
    <t xml:space="preserve">Alhaja bus stop, 2 Abudu junction, Ogudu road</t>
  </si>
  <si>
    <t xml:space="preserve">5.0</t>
  </si>
  <si>
    <t xml:space="preserve">25</t>
  </si>
  <si>
    <t xml:space="preserve">Fused Impressions Ltd (Printer in Somolu Lagos)</t>
  </si>
  <si>
    <t xml:space="preserve">2 Awofeso St, Shipeolu St, Onipanu, Lagos 100231, Lagos, Nigeria</t>
  </si>
  <si>
    <t xml:space="preserve">+2348068383475</t>
  </si>
  <si>
    <t xml:space="preserve">G &amp; M Dry Cleaners Ltd</t>
  </si>
  <si>
    <t xml:space="preserve">G9W7+RVJ, 32 Association Ave, Ilupeju, Lagos 102215, Lagos, Nigeria</t>
  </si>
  <si>
    <t xml:space="preserve">G.B barbing shop</t>
  </si>
  <si>
    <t xml:space="preserve">Shop 44 ojo street, mushin, Lagos 300001, Lagos, Nigeria</t>
  </si>
  <si>
    <t xml:space="preserve">+2348065468402</t>
  </si>
  <si>
    <t xml:space="preserve">Gab Supermarket</t>
  </si>
  <si>
    <t xml:space="preserve">2 Abiola St, Oworosoki, Lagos 100242, Lagos, Nigeria</t>
  </si>
  <si>
    <t xml:space="preserve">+2347012632740</t>
  </si>
  <si>
    <t xml:space="preserve">Gablotto guest house</t>
  </si>
  <si>
    <t xml:space="preserve">H99J+53Q, Sobo Siffre Rd, Mende, Lagos 105102, Lagos, Nigeria</t>
  </si>
  <si>
    <t xml:space="preserve">Gae Real Estate Ltd</t>
  </si>
  <si>
    <t xml:space="preserve">215/219, Olabode House, Ikorodu Road, Ilupeju, Lagos, Lagos, Lagos, Nigeria</t>
  </si>
  <si>
    <t xml:space="preserve">GANADOR CATERING SERVICES</t>
  </si>
  <si>
    <t xml:space="preserve">Oregun, Ikeja 101233, Lagos, Nigeria</t>
  </si>
  <si>
    <t xml:space="preserve">+2347043100964</t>
  </si>
  <si>
    <t xml:space="preserve">https://www.instagram.com/ganadorcateringservices</t>
  </si>
  <si>
    <t xml:space="preserve">Garoosco Cleaning Service</t>
  </si>
  <si>
    <t xml:space="preserve">H84X+PHV, Yenagoa, Bayelsa State Yenagoa, Yenagoa 569101, Bayelsa, Nigeria</t>
  </si>
  <si>
    <t xml:space="preserve">+2348143546567</t>
  </si>
  <si>
    <t xml:space="preserve">Gaybsor Barbing Salon</t>
  </si>
  <si>
    <t xml:space="preserve">3 Oluwaseun St, Oworosoki, Oworonshoki 105102, Lagos, Nigeria</t>
  </si>
  <si>
    <t xml:space="preserve">+2348025539396</t>
  </si>
  <si>
    <t xml:space="preserve">Gbagada General Hospital</t>
  </si>
  <si>
    <t xml:space="preserve">1 Hospital Rd, Gbagada, Lagos 105102, Lagos, Nigeria</t>
  </si>
  <si>
    <t xml:space="preserve">+2349053953306</t>
  </si>
  <si>
    <t xml:space="preserve">Gbagada Girl's Junior Secondary School</t>
  </si>
  <si>
    <t xml:space="preserve">Girls' high school</t>
  </si>
  <si>
    <t xml:space="preserve">G9RR+Q8J, Ademolu St, Bariga, Lagos 102216, Lagos, Nigeria</t>
  </si>
  <si>
    <t xml:space="preserve">+2348163242194</t>
  </si>
  <si>
    <t xml:space="preserve">GCET Properties</t>
  </si>
  <si>
    <t xml:space="preserve">Local Government, Alhaji Salisu St, Ikorodu Rd, Obanikoro, Lagos 102216, Lagos, Nigeria</t>
  </si>
  <si>
    <t xml:space="preserve">+2348109887453</t>
  </si>
  <si>
    <t xml:space="preserve">https://www.facebook.com/share/1A9W4EQf7r/</t>
  </si>
  <si>
    <t xml:space="preserve">Glitz Prints Concept</t>
  </si>
  <si>
    <t xml:space="preserve">42 Association Ave, Obanikoro, Lagos 102215, Lagos, Nigeria</t>
  </si>
  <si>
    <t xml:space="preserve">+2348038455845</t>
  </si>
  <si>
    <t xml:space="preserve">http://glitzprints.com/</t>
  </si>
  <si>
    <t xml:space="preserve">Global Gym equipment</t>
  </si>
  <si>
    <t xml:space="preserve">Warehouse A, Ladipo St, Mushin, Lagos 102215, Lagos, Nigeria</t>
  </si>
  <si>
    <t xml:space="preserve">+2348030411121</t>
  </si>
  <si>
    <t xml:space="preserve">Global Impact Church -The Good Land</t>
  </si>
  <si>
    <t xml:space="preserve">Ifako Oworo Bus -Stop, Kosofe, Lagos 105102, Lagos, Nigeria</t>
  </si>
  <si>
    <t xml:space="preserve">+2348125340806</t>
  </si>
  <si>
    <t xml:space="preserve">GLOCON Nursery and Primary School.</t>
  </si>
  <si>
    <t xml:space="preserve">Education center</t>
  </si>
  <si>
    <t xml:space="preserve">20 Sanyaolu St, Oworo Rd, off Olorufumi st, Ekore, Oworonshoki 105102, Lagos, Nigeria</t>
  </si>
  <si>
    <t xml:space="preserve">+2347019572339</t>
  </si>
  <si>
    <t xml:space="preserve">Gmelina Estates Limited</t>
  </si>
  <si>
    <t xml:space="preserve">2 Adekoya St, Anthony, Lagos 102214, Lagos, Nigeria</t>
  </si>
  <si>
    <t xml:space="preserve">+2348033015094</t>
  </si>
  <si>
    <t xml:space="preserve">God Best Stores Supermarket</t>
  </si>
  <si>
    <t xml:space="preserve">30 Oluwaseun St, Oworosoki, Oworonshoki 105102, Lagos, Nigeria</t>
  </si>
  <si>
    <t xml:space="preserve">+2347030045675</t>
  </si>
  <si>
    <t xml:space="preserve">God Is Great Car Wash</t>
  </si>
  <si>
    <t xml:space="preserve">7 Ilojo Cres, Obanikoro, Lagos 102216, Lagos, Nigeria</t>
  </si>
  <si>
    <t xml:space="preserve">God Mercy Baptist Church</t>
  </si>
  <si>
    <t xml:space="preserve">5 Oluwaseun St, Oworosoki, Oworonshoki 105102, Lagos, Nigeria</t>
  </si>
  <si>
    <t xml:space="preserve">https://www.facebook.com/profile.php?id=100068156070538&amp;mibextid=LQQJ4d</t>
  </si>
  <si>
    <t xml:space="preserve">God's Will Unisex Barbing Salon</t>
  </si>
  <si>
    <t xml:space="preserve">87 Shogbamu St, Gbagada, Lagos 102216, Lagos, Nigeria</t>
  </si>
  <si>
    <t xml:space="preserve">GODDAY AUTOMOBILE PLC</t>
  </si>
  <si>
    <t xml:space="preserve">Auto air conditioning service</t>
  </si>
  <si>
    <t xml:space="preserve">Ladipo St, Mushin, Lagos 102215, Lagos, Nigeria</t>
  </si>
  <si>
    <t xml:space="preserve">+2348029375169</t>
  </si>
  <si>
    <t xml:space="preserve">https://wa.me/message/24JKUOEBXIS6E1</t>
  </si>
  <si>
    <t xml:space="preserve">GODERO POWER INTEGRATED LIMITED</t>
  </si>
  <si>
    <t xml:space="preserve">30B Coker Rd, Ilupeju, Lagos 102215, Lagos, Nigeria</t>
  </si>
  <si>
    <t xml:space="preserve">+2348034968968</t>
  </si>
  <si>
    <t xml:space="preserve">Godin Properties International Limited</t>
  </si>
  <si>
    <t xml:space="preserve">Shop 47, Mustabibat Plaza, 26 Oshodi Rd, Orile Oshodi, Lagos 102214, Lagos, Nigeria</t>
  </si>
  <si>
    <t xml:space="preserve">+2348185562222</t>
  </si>
  <si>
    <t xml:space="preserve">Godswill Beauty Salon</t>
  </si>
  <si>
    <t xml:space="preserve">40 Oke-Eri St, Iyana Oworo, Lagos 105102, Lagos, Nigeria</t>
  </si>
  <si>
    <t xml:space="preserve">+2348050314027</t>
  </si>
  <si>
    <t xml:space="preserve">Godwin Ltd</t>
  </si>
  <si>
    <t xml:space="preserve">Car stereo store</t>
  </si>
  <si>
    <t xml:space="preserve">Ladipo Street 108 ladipo extension Mushin, Lagos 100001, Lagos, Nigeria</t>
  </si>
  <si>
    <t xml:space="preserve">+2348095581574</t>
  </si>
  <si>
    <t xml:space="preserve">Goke Photo</t>
  </si>
  <si>
    <t xml:space="preserve">G9VC+P6R, Shipeolu St, Somolu, Lagos 102216, Lagos, Nigeria</t>
  </si>
  <si>
    <t xml:space="preserve">+2348055079085</t>
  </si>
  <si>
    <t xml:space="preserve">Gospel Pillars Church Yaba</t>
  </si>
  <si>
    <t xml:space="preserve">Local Government Area, Beverly's Event Center, 33-37 Shogbamu St, Somolu, 100232, Lagos, Nigeria</t>
  </si>
  <si>
    <t xml:space="preserve">+2349063107001</t>
  </si>
  <si>
    <t xml:space="preserve">https://gospelpillars.org/</t>
  </si>
  <si>
    <t xml:space="preserve">Grace Delight Essentials Store</t>
  </si>
  <si>
    <t xml:space="preserve">Afinjuomo, Oworoshoki, Kosofe, Lagos, Nigeria</t>
  </si>
  <si>
    <t xml:space="preserve">+2348164155596</t>
  </si>
  <si>
    <t xml:space="preserve">Gracefield Solicitors And Advocates</t>
  </si>
  <si>
    <t xml:space="preserve">Ikoyi Dolphin Estate, 112B Association Ave, Ikoyi, Lagos 102215, Lagos, Nigeria</t>
  </si>
  <si>
    <t xml:space="preserve">Gracey nails/ nail tech in gbagada</t>
  </si>
  <si>
    <t xml:space="preserve">local government, 4 lateef dosumu street ,ifako, Gbagada, Lagos 100234, Lagos, Nigeria</t>
  </si>
  <si>
    <t xml:space="preserve">+2348160463333</t>
  </si>
  <si>
    <t xml:space="preserve">Grains eCFO</t>
  </si>
  <si>
    <t xml:space="preserve">Shyllon St, Ilupeju, Lagos 102215, Lagos, Nigeria</t>
  </si>
  <si>
    <t xml:space="preserve">+2348033168131</t>
  </si>
  <si>
    <t xml:space="preserve">Grand Roses Continental Hotel</t>
  </si>
  <si>
    <t xml:space="preserve">Palm Avenue, Papa Ajao, Lagos 102215, Lagos, Nigeria</t>
  </si>
  <si>
    <t xml:space="preserve">+2347018504516</t>
  </si>
  <si>
    <t xml:space="preserve">GrandForth Lawyers</t>
  </si>
  <si>
    <t xml:space="preserve">Industrial Estate, 23B Fatai Atere Way, Matori, Lagos 102215, Lagos, Nigeria</t>
  </si>
  <si>
    <t xml:space="preserve">http://grandforthlawyers.com/</t>
  </si>
  <si>
    <t xml:space="preserve">Great Hope Insurance Brokers Limited</t>
  </si>
  <si>
    <t xml:space="preserve">11A Coker Rd, Ilupeju, Lagos 102215, Lagos, Nigeria</t>
  </si>
  <si>
    <t xml:space="preserve">+2348032459552</t>
  </si>
  <si>
    <t xml:space="preserve">Green storey building behind Astranad Pharmacy &amp; Store</t>
  </si>
  <si>
    <t xml:space="preserve">9 Oyo St, Onipanu, Lagos 102215, Lagos, Nigeria</t>
  </si>
  <si>
    <t xml:space="preserve">Greenleaf Wellness Center (Gym)</t>
  </si>
  <si>
    <t xml:space="preserve">6 Fola Jinadu Cres, off Oguntona Cresent, Pedro, Lagos 102216, Lagos, Nigeria</t>
  </si>
  <si>
    <t xml:space="preserve">+2348037270149</t>
  </si>
  <si>
    <t xml:space="preserve">GT Dental Specialist Ltd</t>
  </si>
  <si>
    <t xml:space="preserve">by Obanikoro Bus-Stop, Ilupeju, 42 Association Ave, Mushin, Lagos 102215, Lagos, Nigeria</t>
  </si>
  <si>
    <t xml:space="preserve">+2348058778844</t>
  </si>
  <si>
    <t xml:space="preserve">https://gtdentalspecialist.com.ng/</t>
  </si>
  <si>
    <t xml:space="preserve">Gym Spot</t>
  </si>
  <si>
    <t xml:space="preserve">10 Odunlade St, Bariga, Lagos 102216, Lagos, Nigeria</t>
  </si>
  <si>
    <t xml:space="preserve">+2348055774960</t>
  </si>
  <si>
    <t xml:space="preserve">Gypsy’s Restaurant &amp; Bar</t>
  </si>
  <si>
    <t xml:space="preserve">Chinese restaurant</t>
  </si>
  <si>
    <t xml:space="preserve">34 Gbolade Adebanjo St, Ilupeju, Lagos 100252, Lagos, Nigeria</t>
  </si>
  <si>
    <t xml:space="preserve">+2348123897667</t>
  </si>
  <si>
    <t xml:space="preserve">Hair by fumi mobile salon</t>
  </si>
  <si>
    <t xml:space="preserve">Deeper life church, 25 Onasanya St, Gbagada, Lagos 105102, Lagos, Nigeria</t>
  </si>
  <si>
    <t xml:space="preserve">+2349053035489</t>
  </si>
  <si>
    <t xml:space="preserve">Hair parlour</t>
  </si>
  <si>
    <t xml:space="preserve">2 Akewusola St, Oworosoki, Lagos 100222, Lagos, Nigeria</t>
  </si>
  <si>
    <t xml:space="preserve">hairbyDes salon</t>
  </si>
  <si>
    <t xml:space="preserve">12 Mabawonku St, Kosofe, Lagos 105102, Lagos, Nigeria</t>
  </si>
  <si>
    <t xml:space="preserve">+2347037919146</t>
  </si>
  <si>
    <t xml:space="preserve">HAIRSSENTIALLS UNISEX SALON</t>
  </si>
  <si>
    <t xml:space="preserve">7A Williams St, sawmill, Gbagada, Lagos 100234, Lagos, Nigeria</t>
  </si>
  <si>
    <t xml:space="preserve">+2349021041813</t>
  </si>
  <si>
    <t xml:space="preserve">Hallmark HMO</t>
  </si>
  <si>
    <t xml:space="preserve">Health insurance agency</t>
  </si>
  <si>
    <t xml:space="preserve">264 Ikorodu Rd, Obanikoro, Lagos 102216, Lagos, Nigeria</t>
  </si>
  <si>
    <t xml:space="preserve">+2347004255627</t>
  </si>
  <si>
    <t xml:space="preserve">http://hallmarkhmo.com/</t>
  </si>
  <si>
    <t xml:space="preserve">Handata Solutions Limited</t>
  </si>
  <si>
    <t xml:space="preserve">Bookkeeping service</t>
  </si>
  <si>
    <t xml:space="preserve">Block 101 Flat 1 LSDPC, Ogba, Via Pen Cinema, 2 Town Planning Way, Ilupeju, Lagos, Nigeria</t>
  </si>
  <si>
    <t xml:space="preserve">+2348032016466</t>
  </si>
  <si>
    <t xml:space="preserve">http://www.handataaccounting.com.ng/</t>
  </si>
  <si>
    <t xml:space="preserve">Happiness Barbing Salon</t>
  </si>
  <si>
    <t xml:space="preserve">H94W+657 Saw Mill, 51 Williams St, Gbagada, Lagos 105102, Lagos, Nigeria</t>
  </si>
  <si>
    <t xml:space="preserve">+2347031024791</t>
  </si>
  <si>
    <t xml:space="preserve">Harrison</t>
  </si>
  <si>
    <t xml:space="preserve">G9VC+R6C, Shipeolu St, Somolu, Lagos 102216, Lagos, Nigeria</t>
  </si>
  <si>
    <t xml:space="preserve">Hassan barber haircut</t>
  </si>
  <si>
    <t xml:space="preserve">11 Olayiwola Owoiya St, Oworosoki, Oworonshoki 105102, Lagos, Nigeria</t>
  </si>
  <si>
    <t xml:space="preserve">+2349035056816</t>
  </si>
  <si>
    <t xml:space="preserve">HASTAROT EVENT PLANNING AND DECORATIONS</t>
  </si>
  <si>
    <t xml:space="preserve">Jacob, Mushin Local Government Secretariat, 7 Adeola Adeleye St, Itire, Lagos 102215, Lagos, Nigeria</t>
  </si>
  <si>
    <t xml:space="preserve">+2348108172029</t>
  </si>
  <si>
    <t xml:space="preserve">Health Guide Pharmacy</t>
  </si>
  <si>
    <t xml:space="preserve">G8RR+979, Alh. Akinwunmi St, Mushin, Lagos 102215, Lagos, Nigeria</t>
  </si>
  <si>
    <t xml:space="preserve">Healthrite Diagnostic</t>
  </si>
  <si>
    <t xml:space="preserve">7 Majolate, off Kayode St, Onipanu, Lagos 100252, Lagos, Nigeria</t>
  </si>
  <si>
    <t xml:space="preserve">+2349026430364</t>
  </si>
  <si>
    <t xml:space="preserve">Heritage Cakes &amp; Events</t>
  </si>
  <si>
    <t xml:space="preserve">Ilupeju, Lagos 102215, Lagos, Nigeria</t>
  </si>
  <si>
    <t xml:space="preserve">+2348050380214</t>
  </si>
  <si>
    <t xml:space="preserve">Higher Ground Covenant Group of schools</t>
  </si>
  <si>
    <t xml:space="preserve">26 Agberin Street oworoshoki Kosofe Oworoshoki, Kosofe, Lagos, Nigeria</t>
  </si>
  <si>
    <t xml:space="preserve">+2347038201875</t>
  </si>
  <si>
    <t xml:space="preserve">HOA Catering Ent.</t>
  </si>
  <si>
    <t xml:space="preserve">Cattery</t>
  </si>
  <si>
    <t xml:space="preserve">5 Shagamu Ave, Obanikoro, Lagos 102215, Lagos, Nigeria</t>
  </si>
  <si>
    <t xml:space="preserve">+14705575698</t>
  </si>
  <si>
    <t xml:space="preserve">Hogg Robinson Nigeria Limited</t>
  </si>
  <si>
    <t xml:space="preserve">225 Ikorodu Rd, Ilupeju, Lagos 102215, Lagos, Nigeria</t>
  </si>
  <si>
    <t xml:space="preserve">http://www.hoggnigeria.com/</t>
  </si>
  <si>
    <t xml:space="preserve">Home Affairs Supermarket Gbagada Lagos</t>
  </si>
  <si>
    <t xml:space="preserve">22 Diya St, Gbagada, Lagos 100242, Lagos, Nigeria</t>
  </si>
  <si>
    <t xml:space="preserve">+2349092699772</t>
  </si>
  <si>
    <t xml:space="preserve">http://homeaffairsstore.com/</t>
  </si>
  <si>
    <t xml:space="preserve">Home Sense</t>
  </si>
  <si>
    <t xml:space="preserve">292 Agege Motor Rd, Mushin, Lagos 102215, Lagos, Nigeria</t>
  </si>
  <si>
    <t xml:space="preserve">+2348033267438</t>
  </si>
  <si>
    <t xml:space="preserve">Honey Bee Catering Service</t>
  </si>
  <si>
    <t xml:space="preserve">8, Akin George, off Adenuga Taiwo St, Gbagada, Lagos, Nigeria</t>
  </si>
  <si>
    <t xml:space="preserve">+2348023026658</t>
  </si>
  <si>
    <t xml:space="preserve">Honeywell Oil And Gas Limited</t>
  </si>
  <si>
    <t xml:space="preserve">39 Town Planning Way, Ilupeju, Lagos 102215, Lagos, Nigeria</t>
  </si>
  <si>
    <t xml:space="preserve">+2348033913010</t>
  </si>
  <si>
    <t xml:space="preserve">House 2 Guest House</t>
  </si>
  <si>
    <t xml:space="preserve">4 Obalodu St, Ilupeju, Lagos 102215, Lagos, Nigeria</t>
  </si>
  <si>
    <t xml:space="preserve">+2348024244521</t>
  </si>
  <si>
    <t xml:space="preserve">House 4 Unique Hotel</t>
  </si>
  <si>
    <t xml:space="preserve">Adebayo Adekoya St, Ashimowu St, Lagos 100242, Lagos, Nigeria</t>
  </si>
  <si>
    <t xml:space="preserve">+2348184545152</t>
  </si>
  <si>
    <t xml:space="preserve">House 97 Hotel</t>
  </si>
  <si>
    <t xml:space="preserve">97 Ladipo St, Mushin, Lagos 102215, Lagos, Nigeria</t>
  </si>
  <si>
    <t xml:space="preserve">HSE 9 Guest House</t>
  </si>
  <si>
    <t xml:space="preserve">G9XX+4XH, Oworosoki, Lagos 105102, Lagos, Nigeria</t>
  </si>
  <si>
    <t xml:space="preserve">Huntermayor Computer Network &amp; Communications Limited</t>
  </si>
  <si>
    <t xml:space="preserve">2 Tinubu Cl, Egbeyemi St, Ilupeju, Lagos 102215, Lagos, Nigeria</t>
  </si>
  <si>
    <t xml:space="preserve">+2347032476449</t>
  </si>
  <si>
    <t xml:space="preserve">i-Fitness Gym Gbagada</t>
  </si>
  <si>
    <t xml:space="preserve">PLOT A14, CHARLIE BOY BUS STOP, GBAGADA INDUSTRIAL ESTATE, BY Gbagada - Oworonshoki Expy, Gbagada, Lagos 105102, Lagos, Nigeria</t>
  </si>
  <si>
    <t xml:space="preserve">+2349091086939</t>
  </si>
  <si>
    <t xml:space="preserve">http://www.ifitness.ng/</t>
  </si>
  <si>
    <t xml:space="preserve">i-Fitness Gym Ogudu</t>
  </si>
  <si>
    <t xml:space="preserve">6 Imam Ligali St, Ketu, Lagos 105102, Lagos, Nigeria</t>
  </si>
  <si>
    <t xml:space="preserve">http://ifitness.ng/</t>
  </si>
  <si>
    <t xml:space="preserve">I-Smile Dental Clinic Gbagada</t>
  </si>
  <si>
    <t xml:space="preserve">12 Church St, Gbagada, Lagos 100213, Lagos, Nigeria</t>
  </si>
  <si>
    <t xml:space="preserve">+2347070983778</t>
  </si>
  <si>
    <t xml:space="preserve">Ibile Dining</t>
  </si>
  <si>
    <t xml:space="preserve">Continental restaurant</t>
  </si>
  <si>
    <t xml:space="preserve">Ilupeju Byepass, Ilupeju, Lagos 100252, Lagos, Nigeria</t>
  </si>
  <si>
    <t xml:space="preserve">+2348117104668</t>
  </si>
  <si>
    <t xml:space="preserve">Ibile Foods &amp; Lounge Ilupeju | Best Restaurants in Lagos Nigeria</t>
  </si>
  <si>
    <t xml:space="preserve">9 Ilupeju Byepass, Ilupeju, Lagos 100001, Lagos, Nigeria</t>
  </si>
  <si>
    <t xml:space="preserve">+2348176329475</t>
  </si>
  <si>
    <t xml:space="preserve">http://ibilefoods.com.ng/</t>
  </si>
  <si>
    <t xml:space="preserve">Ibuflo Global Limited</t>
  </si>
  <si>
    <t xml:space="preserve">6 Boladale St, beside Mr Biggs, Orile Oshodi, Lagos 102214, Lagos, Nigeria</t>
  </si>
  <si>
    <t xml:space="preserve">+2348032244118</t>
  </si>
  <si>
    <t xml:space="preserve">IbukuOluwa Catering Services</t>
  </si>
  <si>
    <t xml:space="preserve">44 Church St, Mafoluku Oshodi, Lagos 102214, Lagos, Nigeria</t>
  </si>
  <si>
    <t xml:space="preserve">Ideal Kraft</t>
  </si>
  <si>
    <t xml:space="preserve">+2348034048568</t>
  </si>
  <si>
    <t xml:space="preserve">Ifako Comprenhensive High School</t>
  </si>
  <si>
    <t xml:space="preserve">11 Ilawe Street Ifako, Gbagada, Lagos 105102, Lagos, Nigeria</t>
  </si>
  <si>
    <t xml:space="preserve">+2348023433514</t>
  </si>
  <si>
    <t xml:space="preserve">Ifako Playground</t>
  </si>
  <si>
    <t xml:space="preserve">Playground</t>
  </si>
  <si>
    <t xml:space="preserve">H92R+MR8, Gbagada, Lagos 105102, Lagos, Nigeria</t>
  </si>
  <si>
    <t xml:space="preserve">IFELODUN PRIVATE SECONDARY SCHOOLS</t>
  </si>
  <si>
    <t xml:space="preserve">37 Shotinoye St, Mushin, Lagos 102215, Lagos, Nigeria</t>
  </si>
  <si>
    <t xml:space="preserve">+2347042223459</t>
  </si>
  <si>
    <t xml:space="preserve">http://nigeriaprivateschools.com/</t>
  </si>
  <si>
    <t xml:space="preserve">Ifeoma Clothing Shop</t>
  </si>
  <si>
    <t xml:space="preserve">3 Oshodi, Dipeolu St, Mushin, Lagos 102214, Lagos, Nigeria</t>
  </si>
  <si>
    <t xml:space="preserve">+2348066355541</t>
  </si>
  <si>
    <t xml:space="preserve">Ifmon Cakes And Catering</t>
  </si>
  <si>
    <t xml:space="preserve">H958+24G, Lsdpc Isolo, Lagos, Nigeria</t>
  </si>
  <si>
    <t xml:space="preserve">+2347033125619</t>
  </si>
  <si>
    <t xml:space="preserve">Ifycious Restaurant</t>
  </si>
  <si>
    <t xml:space="preserve">4 Coker Rd, Ilupeju, Lagos 102215, Lagos, Nigeria</t>
  </si>
  <si>
    <t xml:space="preserve">Ile Labosinmi Oko Guest House</t>
  </si>
  <si>
    <t xml:space="preserve">Methodist Church St, Gbagada, Ikeja 105102, Lagos, Nigeria</t>
  </si>
  <si>
    <t xml:space="preserve">ILE-ALAMALA</t>
  </si>
  <si>
    <t xml:space="preserve">19 Osolo Wy, Isolo, Lagos 102214, Lagos, Nigeria</t>
  </si>
  <si>
    <t xml:space="preserve">+2347013677694</t>
  </si>
  <si>
    <t xml:space="preserve">Ilupeju Auto Registration Center</t>
  </si>
  <si>
    <t xml:space="preserve">71 Coker Rd, Ilupeju, Lagos 102215, Lagos, Nigeria</t>
  </si>
  <si>
    <t xml:space="preserve">+2348032316286</t>
  </si>
  <si>
    <t xml:space="preserve">Ilupeju Estate Recreation Centre</t>
  </si>
  <si>
    <t xml:space="preserve">12 Ilupeju Industrial Ave, behind PZ, Ilupeju, Lagos 102215, Lagos, Nigeria</t>
  </si>
  <si>
    <t xml:space="preserve">+2349037564749</t>
  </si>
  <si>
    <t xml:space="preserve">Ilupeju Medical Laboratory Services</t>
  </si>
  <si>
    <t xml:space="preserve">14 Coker Rd, Ilupeju, Lagos 102215, Lagos, Nigeria</t>
  </si>
  <si>
    <t xml:space="preserve">Imagination360</t>
  </si>
  <si>
    <t xml:space="preserve">2 Fawole Ln, Obanikoro, Lagos 100232, Lagos, Nigeria</t>
  </si>
  <si>
    <t xml:space="preserve">+2347031698763</t>
  </si>
  <si>
    <t xml:space="preserve">Immersive Reality Tour</t>
  </si>
  <si>
    <t xml:space="preserve">20 Association Ave, Ilupeju, Lagos 100253, Lagos, Nigeria</t>
  </si>
  <si>
    <t xml:space="preserve">+2348165062670</t>
  </si>
  <si>
    <t xml:space="preserve">https://www.immersiverealityng.com/</t>
  </si>
  <si>
    <t xml:space="preserve">Ingentes Technologies</t>
  </si>
  <si>
    <t xml:space="preserve">Suite No. 99, Ilupeju Model Market, LGA, Town Planning Way, opposite Idi - Olowu, beside GT Bank, Ilupeju, Lagos 102215, Lagos, Nigeria</t>
  </si>
  <si>
    <t xml:space="preserve">+2348027714171</t>
  </si>
  <si>
    <t xml:space="preserve">Inic orthocare</t>
  </si>
  <si>
    <t xml:space="preserve">Orthopedic clinic</t>
  </si>
  <si>
    <t xml:space="preserve">Ewenla St, Iyanaworo, Lagos 100001, Lagos, Nigeria</t>
  </si>
  <si>
    <t xml:space="preserve">+2348168717933</t>
  </si>
  <si>
    <t xml:space="preserve">InsightVisuals Photo Studio Gbagada, Ogudu, Akoka, Unilag, Ilupeju ,Anthony, Maryland , Ikeja, Ogba, Magodo, Lagos, Nigeria</t>
  </si>
  <si>
    <t xml:space="preserve">medina estate, 5 Olanubi Osinowo St, Gbagada, Lagos 100001, Lagos, Nigeria</t>
  </si>
  <si>
    <t xml:space="preserve">+2347038890258</t>
  </si>
  <si>
    <t xml:space="preserve">Insurance For All</t>
  </si>
  <si>
    <t xml:space="preserve">19/ 21 Town Planning Way, Ilupeju, Lagos 102215, Lagos, Nigeria</t>
  </si>
  <si>
    <t xml:space="preserve">+2348057475995</t>
  </si>
  <si>
    <t xml:space="preserve">IRSA Real Estate</t>
  </si>
  <si>
    <t xml:space="preserve">3b Ashimowu Jibowu St, Ilupeju, Lagos 102215, Lagos, Nigeria</t>
  </si>
  <si>
    <t xml:space="preserve">+2347064055495</t>
  </si>
  <si>
    <t xml:space="preserve">Isco Carpenter Work Shop</t>
  </si>
  <si>
    <t xml:space="preserve">Off Sofoluwe Street, Akani Sowunmi St, Mafoluku, Lagos, Nigeria</t>
  </si>
  <si>
    <t xml:space="preserve">+2348102286688</t>
  </si>
  <si>
    <t xml:space="preserve">Iya Aliya Food Canteen</t>
  </si>
  <si>
    <t xml:space="preserve">Oshodi, Dipeolu St, Lagos, Nigeria</t>
  </si>
  <si>
    <t xml:space="preserve">+2348170540216</t>
  </si>
  <si>
    <t xml:space="preserve">Iya Ibeji Beauty Salon</t>
  </si>
  <si>
    <t xml:space="preserve">18 Adebare St, Oworosoki, Oworonshoki 105102, Lagos, Nigeria</t>
  </si>
  <si>
    <t xml:space="preserve">+2348124909998</t>
  </si>
  <si>
    <t xml:space="preserve">Iya Islamia Provision Store</t>
  </si>
  <si>
    <t xml:space="preserve">4 Mosaku St, Oshodi, Lagos 102214, Lagos, Nigeria</t>
  </si>
  <si>
    <t xml:space="preserve">+2348028921724</t>
  </si>
  <si>
    <t xml:space="preserve">Iya Mubarak store</t>
  </si>
  <si>
    <t xml:space="preserve">1 Otunba Bakare Ave, Oworo Rd, Kosofe, Lagos 105102, Lagos, Nigeria</t>
  </si>
  <si>
    <t xml:space="preserve">Iya Ridwan Catering Service</t>
  </si>
  <si>
    <t xml:space="preserve">7 Alade St, Mafoluku Oshodi, Lagos 102214, Lagos, Nigeria</t>
  </si>
  <si>
    <t xml:space="preserve">Iyanu Oluwa Food Canteen</t>
  </si>
  <si>
    <t xml:space="preserve">54 Olorunsogo St, Mushin, Lagos 102215, Lagos, Nigeria</t>
  </si>
  <si>
    <t xml:space="preserve">James Provision Store</t>
  </si>
  <si>
    <t xml:space="preserve">48 Oworo Rd, Oworosoki, Lagos 105102, Lagos, Nigeria</t>
  </si>
  <si>
    <t xml:space="preserve">+2348140718005</t>
  </si>
  <si>
    <t xml:space="preserve">Jamiu</t>
  </si>
  <si>
    <t xml:space="preserve">Oshodi Main Market, Oshodi, Lagos 102214, Lagos, Nigeria</t>
  </si>
  <si>
    <t xml:space="preserve">+2348029572236</t>
  </si>
  <si>
    <t xml:space="preserve">Jasicon Photography</t>
  </si>
  <si>
    <t xml:space="preserve">bus stop, 8 Adebambo St, Obanikoro, Lagos 100232, Lagos, Nigeria</t>
  </si>
  <si>
    <t xml:space="preserve">+2347068942203</t>
  </si>
  <si>
    <t xml:space="preserve">Jasmine'S Touch Organic Skincare</t>
  </si>
  <si>
    <t xml:space="preserve">8 Salami St, Oworosoki, Lagos 105102, Lagos, Nigeria</t>
  </si>
  <si>
    <t xml:space="preserve">Jasunfayegbami Furniture Carpentry Works</t>
  </si>
  <si>
    <t xml:space="preserve">1 Adegboyega St, Onipanu, Ikeja 102215, Lagos, Nigeria</t>
  </si>
  <si>
    <t xml:space="preserve">+2348025068577</t>
  </si>
  <si>
    <t xml:space="preserve">Jemiemar Boutique</t>
  </si>
  <si>
    <t xml:space="preserve">Handbags shop</t>
  </si>
  <si>
    <t xml:space="preserve">5 Shagamu Ave, Ilupeju, Lagos 102215, Lagos, Nigeria</t>
  </si>
  <si>
    <t xml:space="preserve">+2348033147146</t>
  </si>
  <si>
    <t xml:space="preserve">http://www.jemiemarboutique.com/</t>
  </si>
  <si>
    <t xml:space="preserve">Jenny Boutique</t>
  </si>
  <si>
    <t xml:space="preserve">Cairo Market, Oshodi, Oshodi Rd, Lagos, Nigeria</t>
  </si>
  <si>
    <t xml:space="preserve">Jextoban Fitness centre and gym</t>
  </si>
  <si>
    <t xml:space="preserve">10 Ibadan St, off Church Street, Ketu, Lagos 105102, Lagos, Nigeria</t>
  </si>
  <si>
    <t xml:space="preserve">+2348028838555</t>
  </si>
  <si>
    <t xml:space="preserve">Jide Ogundimu &amp; Co Solicitors.</t>
  </si>
  <si>
    <t xml:space="preserve">4b Oba Adetona St, Ilupeju, Lagos 102215, Lagos, Nigeria</t>
  </si>
  <si>
    <t xml:space="preserve">+2348060559255</t>
  </si>
  <si>
    <t xml:space="preserve">https://jideogundimucosolicitors.co.uk/</t>
  </si>
  <si>
    <t xml:space="preserve">Jogma Nursery And Primary School</t>
  </si>
  <si>
    <t xml:space="preserve">46 Olorunsogo St, Mushin, Lagos 100253, Lagos, Nigeria</t>
  </si>
  <si>
    <t xml:space="preserve">+2347065297755</t>
  </si>
  <si>
    <t xml:space="preserve">Johjoh world</t>
  </si>
  <si>
    <t xml:space="preserve">38 Salami Shuaibu St, Pedro, Lagos 102216, Lagos, Nigeria</t>
  </si>
  <si>
    <t xml:space="preserve">+2349013001452</t>
  </si>
  <si>
    <t xml:space="preserve">Jolliters Pharmacy</t>
  </si>
  <si>
    <t xml:space="preserve">Agege Motor Rd, Papa Ajao, Lagos 102215, Lagos, Nigeria</t>
  </si>
  <si>
    <t xml:space="preserve">+2348023097800</t>
  </si>
  <si>
    <t xml:space="preserve">Jopag Pharmacy Limited</t>
  </si>
  <si>
    <t xml:space="preserve">41 Williams St, Sawmill, Gbagada, Lagos 300001, Lagos, Nigeria</t>
  </si>
  <si>
    <t xml:space="preserve">+2349074739751</t>
  </si>
  <si>
    <t xml:space="preserve">Josay Beauty Saloon</t>
  </si>
  <si>
    <t xml:space="preserve">25 Adeite Ogunsanya St, Gbagada, Lagos 105102, Lagos, Nigeria</t>
  </si>
  <si>
    <t xml:space="preserve">Joshuamite Energy Company Limited</t>
  </si>
  <si>
    <t xml:space="preserve">6 Amu St, Papa Ajao, Lagos 102215, Lagos, Nigeria</t>
  </si>
  <si>
    <t xml:space="preserve">+2348086357890</t>
  </si>
  <si>
    <t xml:space="preserve">Joy Supermarket</t>
  </si>
  <si>
    <t xml:space="preserve">New Garage, Baale bustop, Shomolu, 3 Alarape St, Bariga, Lagos, Nigeria</t>
  </si>
  <si>
    <t xml:space="preserve">+2348121125705</t>
  </si>
  <si>
    <t xml:space="preserve">Joysom Catering Service</t>
  </si>
  <si>
    <t xml:space="preserve">114 Morocco Rd, Somolu, Lagos 102216, Lagos, Nigeria</t>
  </si>
  <si>
    <t xml:space="preserve">+2347011989838</t>
  </si>
  <si>
    <t xml:space="preserve">Julios Provision Store</t>
  </si>
  <si>
    <t xml:space="preserve">Oshodi, 4 Oshodi Rd, Ikeja, Lagos, Nigeria</t>
  </si>
  <si>
    <t xml:space="preserve">+2347063348999</t>
  </si>
  <si>
    <t xml:space="preserve">Just wig &amp; hair</t>
  </si>
  <si>
    <t xml:space="preserve">sawmill, 24 Adeite Ogunsanya St, Gbagada, Lagos 105102, Lagos, Nigeria</t>
  </si>
  <si>
    <t xml:space="preserve">+2348028165507</t>
  </si>
  <si>
    <t xml:space="preserve">Justrite Superstore Bariga</t>
  </si>
  <si>
    <t xml:space="preserve">56/58 Jagun Molu St, Bariga, Lagos 23401, Lagos, Nigeria</t>
  </si>
  <si>
    <t xml:space="preserve">+2349094814223</t>
  </si>
  <si>
    <t xml:space="preserve">http://justriteonline.com/</t>
  </si>
  <si>
    <t xml:space="preserve">K.A Akerele Plumbing Works</t>
  </si>
  <si>
    <t xml:space="preserve">39 Coker Rd, Ilupeju, Lagos 102215, Lagos, Nigeria</t>
  </si>
  <si>
    <t xml:space="preserve">+2348022623080</t>
  </si>
  <si>
    <t xml:space="preserve">Kayode Clothing Store</t>
  </si>
  <si>
    <t xml:space="preserve">Off Agege Motor Road, Oshodi Shop No. 1 Banjoko Plaza, Road, Oshodi-Isolo, Lagos, Nigeria</t>
  </si>
  <si>
    <t xml:space="preserve">+2347032238410</t>
  </si>
  <si>
    <t xml:space="preserve">Kemadix</t>
  </si>
  <si>
    <t xml:space="preserve">PWD Base MOQ, 1/45 Oshodi - Oworonshoki Express Way, Papa Ajao, Ikeja 100001, Lagos, Nigeria</t>
  </si>
  <si>
    <t xml:space="preserve">+2347019494122</t>
  </si>
  <si>
    <t xml:space="preserve">https://kemadix.com/</t>
  </si>
  <si>
    <t xml:space="preserve">Kemistry trendss Health and beauty</t>
  </si>
  <si>
    <t xml:space="preserve">14,peluola Oworoshoki, Kosofe, Lagos 100221, Lagos, Nigeria</t>
  </si>
  <si>
    <t xml:space="preserve">+2348153509319</t>
  </si>
  <si>
    <t xml:space="preserve">Kerson Pharmacy</t>
  </si>
  <si>
    <t xml:space="preserve">75 Ayodele Oke-Owo Rd, Gbagada, Lagos 105102, Lagos, Nigeria</t>
  </si>
  <si>
    <t xml:space="preserve">+2349065042196</t>
  </si>
  <si>
    <t xml:space="preserve">Key Catering Service</t>
  </si>
  <si>
    <t xml:space="preserve">H86R+8GG, Off Ajumoni Street, Mafaluku, Oshodi, Adeyemi St, Lagos, Nigeria</t>
  </si>
  <si>
    <t xml:space="preserve">+2348032207474</t>
  </si>
  <si>
    <t xml:space="preserve">Kiakia Laundry</t>
  </si>
  <si>
    <t xml:space="preserve">9, Alabi street, Off Adaranijo Market Bariga, Pedro, 100001, Lagos, Nigeria</t>
  </si>
  <si>
    <t xml:space="preserve">Kings Hotel and Bar</t>
  </si>
  <si>
    <t xml:space="preserve">72 olateju street,odi-olowo mushin,lagos state mushin local goverment lagos, Lagos, Nigeria</t>
  </si>
  <si>
    <t xml:space="preserve">+2349011434406</t>
  </si>
  <si>
    <t xml:space="preserve">Klean print</t>
  </si>
  <si>
    <t xml:space="preserve">Screen printing shop</t>
  </si>
  <si>
    <t xml:space="preserve">6 Suwebatu Ajala St, Oshodi Rd, opposite nafdak office, Orile Oshodi, Lagos 102214, Lagos, Nigeria</t>
  </si>
  <si>
    <t xml:space="preserve">+2347086522118</t>
  </si>
  <si>
    <t xml:space="preserve">Kleen Dry Cleaning &amp; Laundry Services</t>
  </si>
  <si>
    <t xml:space="preserve">67 Coker Rd, Ilupeju, Lagos 100252, Lagos, Nigeria</t>
  </si>
  <si>
    <t xml:space="preserve">Kleenol</t>
  </si>
  <si>
    <t xml:space="preserve">4 Idowu Street, karaole Estate, Off college Road, Estate Bus-Stop,Ifako, Ogba, Lagos, Nigeria</t>
  </si>
  <si>
    <t xml:space="preserve">+2348035066601</t>
  </si>
  <si>
    <t xml:space="preserve">http://kleenol.com.ng/</t>
  </si>
  <si>
    <t xml:space="preserve">Kofo Clothing Store</t>
  </si>
  <si>
    <t xml:space="preserve">+2348184532102</t>
  </si>
  <si>
    <t xml:space="preserve">Kolasola &amp; Associates</t>
  </si>
  <si>
    <t xml:space="preserve">5, Ajayi Ogedengbe Street, Off Ikorodu Rd, Obanikoro, Lagos 100231, Lagos, Nigeria</t>
  </si>
  <si>
    <t xml:space="preserve">+2349063872869</t>
  </si>
  <si>
    <t xml:space="preserve">Kunle Adeniyi And Company</t>
  </si>
  <si>
    <t xml:space="preserve">6 Coker Rd, Ilupeju, Lagos 102215, Lagos, Nigeria</t>
  </si>
  <si>
    <t xml:space="preserve">Kutie's Beauty Lounge</t>
  </si>
  <si>
    <t xml:space="preserve">Deeper Life Church, First floor, 8 Ajayi Aina Street, Ifako, opposite Gate A4 of, Gbagada, Lagos 100234, Lagos, Nigeria</t>
  </si>
  <si>
    <t xml:space="preserve">+2348124416681</t>
  </si>
  <si>
    <t xml:space="preserve">Kutie’s Nail Bar</t>
  </si>
  <si>
    <t xml:space="preserve">8 Ajayi Aina St, Gbagada, Lagos 100241, Lagos, Nigeria</t>
  </si>
  <si>
    <t xml:space="preserve">Kwame Provision Store</t>
  </si>
  <si>
    <t xml:space="preserve">Wholesale food store</t>
  </si>
  <si>
    <t xml:space="preserve">21 Oshodi Rd, Mafoluku Oshodi, Lagos 102214, Lagos, Nigeria</t>
  </si>
  <si>
    <t xml:space="preserve">+2347037967155</t>
  </si>
  <si>
    <t xml:space="preserve">La Fit Gym</t>
  </si>
  <si>
    <t xml:space="preserve">General Hospital Rd, Gbagada, Lagos 105102, Lagos, Nigeria</t>
  </si>
  <si>
    <t xml:space="preserve">+2348033062116</t>
  </si>
  <si>
    <t xml:space="preserve">Ladipo Nursery and Primary School</t>
  </si>
  <si>
    <t xml:space="preserve">G8RV+RCX, Mushin, Lagos 100253, Lagos, Nigeria</t>
  </si>
  <si>
    <t xml:space="preserve">LADY B BEAUTY SALON</t>
  </si>
  <si>
    <t xml:space="preserve">SAWMILL, 44 Adeite Ogunsanya St, Kosofe, Lagos 100242, Lagos, Nigeria</t>
  </si>
  <si>
    <t xml:space="preserve">+2348100708050</t>
  </si>
  <si>
    <t xml:space="preserve">Lady K Salon</t>
  </si>
  <si>
    <t xml:space="preserve">14 Mabawonku St, Oworosoki, Oworonshoki 105102, Lagos, Nigeria</t>
  </si>
  <si>
    <t xml:space="preserve">+2348123268989</t>
  </si>
  <si>
    <t xml:space="preserve">Lady Seun Beauty Salon</t>
  </si>
  <si>
    <t xml:space="preserve">28 Unity St, Oworosoki, Lagos 105102, Edo, Nigeria</t>
  </si>
  <si>
    <t xml:space="preserve">+2348168950516</t>
  </si>
  <si>
    <t xml:space="preserve">Lady T Beauty Salon</t>
  </si>
  <si>
    <t xml:space="preserve">2 Ogunnoiki St, Oworosoki, Lagos 105102, Lagos, Nigeria</t>
  </si>
  <si>
    <t xml:space="preserve">+2348026994370</t>
  </si>
  <si>
    <t xml:space="preserve">LADYBIRD NURSERY/PRIMARY SCHOOL</t>
  </si>
  <si>
    <t xml:space="preserve">Plot 252 Lanre Awolokun St, Somolu, Lagos 102216, Lagos, Nigeria</t>
  </si>
  <si>
    <t xml:space="preserve">+2347035645539</t>
  </si>
  <si>
    <t xml:space="preserve">https://ladybird-school.com/</t>
  </si>
  <si>
    <t xml:space="preserve">LagosFlat | Flat for Rent or Sale in Lagos</t>
  </si>
  <si>
    <t xml:space="preserve">36 Bayo Shodipo, Obanikoro, Lagos 102216, Lagos, Nigeria</t>
  </si>
  <si>
    <t xml:space="preserve">+2348173953281</t>
  </si>
  <si>
    <t xml:space="preserve">Lami's</t>
  </si>
  <si>
    <t xml:space="preserve">Babs Kazeem St, Obanikoro, Lagos 100001, Lagos, Nigeria</t>
  </si>
  <si>
    <t xml:space="preserve">+2349012625592</t>
  </si>
  <si>
    <t xml:space="preserve">Lamin Beauty Saloon</t>
  </si>
  <si>
    <t xml:space="preserve">33 Olorunfunmi St, Oworosoki, Lagos 105102, Lagos, Nigeria</t>
  </si>
  <si>
    <t xml:space="preserve">Lanre Awolokun High School, Gbagada.</t>
  </si>
  <si>
    <t xml:space="preserve">82 Lanre Awolokun St, Abule Okuta, Lagos 100242, Lagos, Nigeria</t>
  </si>
  <si>
    <t xml:space="preserve">+2348037223245</t>
  </si>
  <si>
    <t xml:space="preserve">Lasarat Car Wash</t>
  </si>
  <si>
    <t xml:space="preserve">G8QV+VJ8, Ojekunle St, Mushin, Lagos 102215, Lagos, Nigeria</t>
  </si>
  <si>
    <t xml:space="preserve">LaundriDew Laundry and Dry-Cleaning Services</t>
  </si>
  <si>
    <t xml:space="preserve">38 Salami Shuaibu St, plamgroove, Lagos 100231, Lagos, Nigeria</t>
  </si>
  <si>
    <t xml:space="preserve">Laundry Mathers Services</t>
  </si>
  <si>
    <t xml:space="preserve">20/22 Dapo fafiade street off bolaji omupo street, pedro, Somolu, Lagos 100231, Lagos, Nigeria</t>
  </si>
  <si>
    <t xml:space="preserve">+2348177213443</t>
  </si>
  <si>
    <t xml:space="preserve">Lavish By Michelle Events</t>
  </si>
  <si>
    <t xml:space="preserve">7b Olabisi St, off Coker Road, Ilupeju, Lagos 370109, Lagos, Nigeria</t>
  </si>
  <si>
    <t xml:space="preserve">+2347082365672</t>
  </si>
  <si>
    <t xml:space="preserve">Lawi Supermarket</t>
  </si>
  <si>
    <t xml:space="preserve">45 Olorunfunmi St, Oworosoki, Lagos 105102, Lagos, Nigeria</t>
  </si>
  <si>
    <t xml:space="preserve">+2348068217746</t>
  </si>
  <si>
    <t xml:space="preserve">Lawrence Cleaning</t>
  </si>
  <si>
    <t xml:space="preserve">H942+QX4, Olorunshola Street, opposite Mosafeja Police Station, Olorunshola, Lagos 101233, Lagos, Nigeria</t>
  </si>
  <si>
    <t xml:space="preserve">+2348079300096</t>
  </si>
  <si>
    <t xml:space="preserve">Leke Sanni &amp; Associates</t>
  </si>
  <si>
    <t xml:space="preserve">73 Coker Rd, Ilupeju, Lagos 102215, Lagos, Nigeria</t>
  </si>
  <si>
    <t xml:space="preserve">leomurf photography</t>
  </si>
  <si>
    <t xml:space="preserve">Nitel, Road, Papa Ajao, Lagos 102215, Lagos, Nigeria</t>
  </si>
  <si>
    <t xml:space="preserve">+2347043586237</t>
  </si>
  <si>
    <t xml:space="preserve">LEX BARBER SHOP</t>
  </si>
  <si>
    <t xml:space="preserve">32 Diya St, Gbagada, Lagos 100242, Lagos, Nigeria</t>
  </si>
  <si>
    <t xml:space="preserve">+2348077279255</t>
  </si>
  <si>
    <t xml:space="preserve">Liga Clinic</t>
  </si>
  <si>
    <t xml:space="preserve">HC52+26W, Oworosoki, Lagos 105102, Lagos, Nigeria</t>
  </si>
  <si>
    <t xml:space="preserve">Light Plaza &amp; Event Center</t>
  </si>
  <si>
    <t xml:space="preserve">32 Association Ave, Ilupeju, Lagos 102215, Lagos, Nigeria</t>
  </si>
  <si>
    <t xml:space="preserve">+2349137327644</t>
  </si>
  <si>
    <t xml:space="preserve">Lilianfunmi Skingoddess &amp; Spa</t>
  </si>
  <si>
    <t xml:space="preserve">2A Alhaji Opeodu Street, Off Diya St, Gbagada, Lagos, Nigeria</t>
  </si>
  <si>
    <t xml:space="preserve">+2348058336055</t>
  </si>
  <si>
    <t xml:space="preserve">Little Darlings School</t>
  </si>
  <si>
    <t xml:space="preserve">20 Church St, off Miyaki, Oworosoki, Oworonshoki 105102, Lagos, Nigeria</t>
  </si>
  <si>
    <t xml:space="preserve">Living Testimony Church</t>
  </si>
  <si>
    <t xml:space="preserve">3 Adamson St, Kosofe, Lagos 105102, Lagos, Nigeria</t>
  </si>
  <si>
    <t xml:space="preserve">+2348028495533</t>
  </si>
  <si>
    <t xml:space="preserve">Lizzy Ventures</t>
  </si>
  <si>
    <t xml:space="preserve">Snack bar</t>
  </si>
  <si>
    <t xml:space="preserve">283 Agege Motor Rd, Papa Ajao, Lagos 102215, Lagos, Nigeria</t>
  </si>
  <si>
    <t xml:space="preserve">+2348037611278</t>
  </si>
  <si>
    <t xml:space="preserve">Lola Ashleys Laundry And Tailoring Service</t>
  </si>
  <si>
    <t xml:space="preserve">H949+RCP, Gbagada - Oworonshoki Expy, Obanikoro, Lagos 102216, Lagos, Nigeria</t>
  </si>
  <si>
    <t xml:space="preserve">+2348023327843</t>
  </si>
  <si>
    <t xml:space="preserve">http://instagram.com/lolaashleyslaundry</t>
  </si>
  <si>
    <t xml:space="preserve">Lolaana Pharmacy Nd Store</t>
  </si>
  <si>
    <t xml:space="preserve">79 Ogunnoki Street, Bariga, Lagos 105102, Lagos, Nigeria</t>
  </si>
  <si>
    <t xml:space="preserve">+2348065832786</t>
  </si>
  <si>
    <t xml:space="preserve">Look Good Boutique</t>
  </si>
  <si>
    <t xml:space="preserve">Oshodi, 341 Agege Motor Rd, Lagos, Nigeria</t>
  </si>
  <si>
    <t xml:space="preserve">+2348101649868</t>
  </si>
  <si>
    <t xml:space="preserve">Looknice Boutique</t>
  </si>
  <si>
    <t xml:space="preserve">Main Market, Oshodi Oshodi, Oshodi Rd, Lagos, Nigeria</t>
  </si>
  <si>
    <t xml:space="preserve">+2348038894102</t>
  </si>
  <si>
    <t xml:space="preserve">Luminous Dental Hub</t>
  </si>
  <si>
    <t xml:space="preserve">4 Amudat Abeke St, off ladilak Bariga, Bariga, Lagos 102216, Lagos, Nigeria</t>
  </si>
  <si>
    <t xml:space="preserve">+2347034966296</t>
  </si>
  <si>
    <t xml:space="preserve">Luscious Layer's Bakery</t>
  </si>
  <si>
    <t xml:space="preserve">41 Seinde Calisto Cres, Oshodi, Lagos 102214, Lagos, Nigeria</t>
  </si>
  <si>
    <t xml:space="preserve">+2348167461173</t>
  </si>
  <si>
    <t xml:space="preserve">Lushnailsng</t>
  </si>
  <si>
    <t xml:space="preserve">H92M+MX2 Atunrase Estate, Araromi, Lagos 105102, Lagos, Nigeria</t>
  </si>
  <si>
    <t xml:space="preserve">+2347049286252</t>
  </si>
  <si>
    <t xml:space="preserve">M Onyinye Nails</t>
  </si>
  <si>
    <t xml:space="preserve">27 Kiniun-Ifa St, Gbagada, Lagos 105102, Lagos, Nigeria</t>
  </si>
  <si>
    <t xml:space="preserve">+2348034717435</t>
  </si>
  <si>
    <t xml:space="preserve">M rabiu plumbing Enterprises</t>
  </si>
  <si>
    <t xml:space="preserve">11 Akinniku St, Mafoluku Oshodi, Lagos 102214, Lagos, Nigeria</t>
  </si>
  <si>
    <t xml:space="preserve">M.C COURT HOTEL</t>
  </si>
  <si>
    <t xml:space="preserve">13 Olorunsogo St, Alh. Otta St, off Fafolu Street, Onipanu, Lagos 100253, Lagos, Nigeria</t>
  </si>
  <si>
    <t xml:space="preserve">+2347017223823</t>
  </si>
  <si>
    <t xml:space="preserve">M.K. Car Wash</t>
  </si>
  <si>
    <t xml:space="preserve">H84W+8J9, Boladale St, Orile Oshodi, Ikeja 102214, Lagos, Nigeria</t>
  </si>
  <si>
    <t xml:space="preserve">+2348097760763</t>
  </si>
  <si>
    <t xml:space="preserve">M/s A. Deji Benedict And Company (Chartered Accountants)</t>
  </si>
  <si>
    <t xml:space="preserve">5 African Church Cl, off Tinubu Road, Ilupeju, Lagos 102215, Lagos, Nigeria</t>
  </si>
  <si>
    <t xml:space="preserve">+2348023027253</t>
  </si>
  <si>
    <t xml:space="preserve">Maco Inter. Co</t>
  </si>
  <si>
    <t xml:space="preserve">Oshodi Brown St, Mafoluku Oshodi, Lagos 102214, Lagos, Nigeria</t>
  </si>
  <si>
    <t xml:space="preserve">+2348035066709</t>
  </si>
  <si>
    <t xml:space="preserve">Mahmud Fulani Provision Store</t>
  </si>
  <si>
    <t xml:space="preserve">18 Brown St, Mafoluku Oshodi, Lagos 102214, Lagos, Nigeria</t>
  </si>
  <si>
    <t xml:space="preserve">+2348033253766</t>
  </si>
  <si>
    <t xml:space="preserve">Mama Must Wack VIP Lounge And Bar</t>
  </si>
  <si>
    <t xml:space="preserve">Rotimi Ln, Mushin, Lagos 102215, Lagos, Nigeria</t>
  </si>
  <si>
    <t xml:space="preserve">+2348134346890</t>
  </si>
  <si>
    <t xml:space="preserve">MANSFIELD-PETRA SCHOOL</t>
  </si>
  <si>
    <t xml:space="preserve">Sawmill, 4 Olaleye Street, Off Williams St, Gbagada, Lagos, Nigeria</t>
  </si>
  <si>
    <t xml:space="preserve">+2348023122782</t>
  </si>
  <si>
    <t xml:space="preserve">https://mansfieldpetraschool.com/</t>
  </si>
  <si>
    <t xml:space="preserve">Marblefield Hotel And Event Centre</t>
  </si>
  <si>
    <t xml:space="preserve">35/39 Seinde Calisto Cres, Anthony Village, Lagos 102214, Lagos, Nigeria</t>
  </si>
  <si>
    <t xml:space="preserve">+2347080700879</t>
  </si>
  <si>
    <t xml:space="preserve">Mark Men's Clothing</t>
  </si>
  <si>
    <t xml:space="preserve">Banjoko Memorial Plaza, Oshodi, 1 Oshodi Rd, Lagos, Nigeria</t>
  </si>
  <si>
    <t xml:space="preserve">+2348058521584</t>
  </si>
  <si>
    <t xml:space="preserve">Mary Magdalene Nursery/Primary School Ifako Gbagada</t>
  </si>
  <si>
    <t xml:space="preserve">5 Sakiru St, Gbagada, Lagos 300001, Lagos, Nigeria</t>
  </si>
  <si>
    <t xml:space="preserve">Mary Simbi Store</t>
  </si>
  <si>
    <t xml:space="preserve">1 Omojoye Str, Oworosoki, Lagos 100242, Lagos, Nigeria</t>
  </si>
  <si>
    <t xml:space="preserve">+2348025232389</t>
  </si>
  <si>
    <t xml:space="preserve">Mary T catering service</t>
  </si>
  <si>
    <t xml:space="preserve">4 Adeoye St, Ikeja, Lagos 102214, Lagos, Nigeria</t>
  </si>
  <si>
    <t xml:space="preserve">+2348020566971</t>
  </si>
  <si>
    <t xml:space="preserve">Mary's Croft (Agriculture)</t>
  </si>
  <si>
    <t xml:space="preserve">Fresh food market</t>
  </si>
  <si>
    <t xml:space="preserve">7 Oludele Fakunle St, Kosofe, Lagos 105102, Lagos, Nigeria</t>
  </si>
  <si>
    <t xml:space="preserve">Masline Cake And Catering Service</t>
  </si>
  <si>
    <t xml:space="preserve">76 Oshodi Rd, Oshodi-Isolo, Lagos 102214, Lagos, Nigeria</t>
  </si>
  <si>
    <t xml:space="preserve">+2347064211554</t>
  </si>
  <si>
    <t xml:space="preserve">Mat-Ufo Computer Training Center</t>
  </si>
  <si>
    <t xml:space="preserve">Computer software store</t>
  </si>
  <si>
    <t xml:space="preserve">Lagos Mainland, Lagos 102215, Lagos, Nigeria</t>
  </si>
  <si>
    <t xml:space="preserve">+2348033309863</t>
  </si>
  <si>
    <t xml:space="preserve">Max Exclusive Barber Shop</t>
  </si>
  <si>
    <t xml:space="preserve">15 Zainab St, Araromi, Lagos 105102, Lagos, Nigeria</t>
  </si>
  <si>
    <t xml:space="preserve">+2348136776417</t>
  </si>
  <si>
    <t xml:space="preserve">MaxMila Medical Laboratory</t>
  </si>
  <si>
    <t xml:space="preserve">Local Government Area, 37 Ajibola Crescent, Alapere, Kosofe 100244, Lagos, Nigeria</t>
  </si>
  <si>
    <t xml:space="preserve">+2348035022674</t>
  </si>
  <si>
    <t xml:space="preserve">Mayok Dry Cleaners &amp; Laundry Services</t>
  </si>
  <si>
    <t xml:space="preserve">16 Alufa Aminu St, Somolu, Lagos 102216, Lagos, Nigeria</t>
  </si>
  <si>
    <t xml:space="preserve">+2348101109828</t>
  </si>
  <si>
    <t xml:space="preserve">Mazaf Medical Centre</t>
  </si>
  <si>
    <t xml:space="preserve">8, Macaulay Street, Off Olorunsogo, Mushin, Lagos, Nigeria</t>
  </si>
  <si>
    <t xml:space="preserve">+2348134791751</t>
  </si>
  <si>
    <t xml:space="preserve">https://mazafmedicalcentre.com/</t>
  </si>
  <si>
    <t xml:space="preserve">Mechanical Electrical and plumbing Engineering</t>
  </si>
  <si>
    <t xml:space="preserve">Mechanical engineer</t>
  </si>
  <si>
    <t xml:space="preserve">Local Government Area, 35 ASSOCIATION AVENUE ILUPEJU, Gbagada, Lagos 100234, Lagos, Nigeria</t>
  </si>
  <si>
    <t xml:space="preserve">+2348020753241</t>
  </si>
  <si>
    <t xml:space="preserve">Med-In Dental Clinic</t>
  </si>
  <si>
    <t xml:space="preserve">1 Oshogbo Street, Ogudu Ori-Oke Anthony, Lagos, Nigeria</t>
  </si>
  <si>
    <t xml:space="preserve">+2348023064248</t>
  </si>
  <si>
    <t xml:space="preserve">Medchivo Pharmacy</t>
  </si>
  <si>
    <t xml:space="preserve">104 Ohamu Close, Bariga, Lagos 105102, Lagos, Nigeria</t>
  </si>
  <si>
    <t xml:space="preserve">+2348056237421</t>
  </si>
  <si>
    <t xml:space="preserve">MEDICAL IMAGING and Clinical Support Services</t>
  </si>
  <si>
    <t xml:space="preserve">10 Church St, Gbagada, Lagos 105102, Lagos, Nigeria</t>
  </si>
  <si>
    <t xml:space="preserve">MEDICEVO PHARMACY</t>
  </si>
  <si>
    <t xml:space="preserve">MEDPELET MEDICAL DIAGNOSTIC LABORATORY</t>
  </si>
  <si>
    <t xml:space="preserve">23 Ogudu Rd, Ojota, Lagos 105102, Lagos, Nigeria</t>
  </si>
  <si>
    <t xml:space="preserve">+2348033895470</t>
  </si>
  <si>
    <t xml:space="preserve">Mekkis Provision Stocks</t>
  </si>
  <si>
    <t xml:space="preserve">Off Agege Motor Road, 14 Oshodi Rd, Oshodi, Ikeja, Lagos, Nigeria</t>
  </si>
  <si>
    <t xml:space="preserve">+2348056421423</t>
  </si>
  <si>
    <t xml:space="preserve">MERCILINA cuisine</t>
  </si>
  <si>
    <t xml:space="preserve">90 Oshodi Rd, Mafoluku Oshodi, Lagos 102214, Lagos, Nigeria</t>
  </si>
  <si>
    <t xml:space="preserve">+2347069456692</t>
  </si>
  <si>
    <t xml:space="preserve">Mercy Grace Medical Diagnostic Centre</t>
  </si>
  <si>
    <t xml:space="preserve">Adetoke St, Abule Okuta, Lagos 102216, Lagos, Nigeria</t>
  </si>
  <si>
    <t xml:space="preserve">Mercy Of God Maternity Clinic</t>
  </si>
  <si>
    <t xml:space="preserve">Maternity hospital</t>
  </si>
  <si>
    <t xml:space="preserve">8 Olaleye St, Gbagada, Ikorodu 105102, Lagos, Nigeria</t>
  </si>
  <si>
    <t xml:space="preserve">+2349096550990</t>
  </si>
  <si>
    <t xml:space="preserve">Merit Medical Clinic</t>
  </si>
  <si>
    <t xml:space="preserve">G9P3+M8M, Papa Ajao, Lagos 102215, Lagos, Nigeria</t>
  </si>
  <si>
    <t xml:space="preserve">Messrs Sotunde Awoyomi And Company</t>
  </si>
  <si>
    <t xml:space="preserve">4 Akinsete Dr, Ilupeju, Lagos 102215, Lagos, Nigeria</t>
  </si>
  <si>
    <t xml:space="preserve">+2348033094714</t>
  </si>
  <si>
    <t xml:space="preserve">Metro Eyes Clinic, Gbagada.</t>
  </si>
  <si>
    <t xml:space="preserve">Iyana-Hospital bustop, 32 Diya St, Gbagada, Lagos 100242, Lagos, Nigeria</t>
  </si>
  <si>
    <t xml:space="preserve">+2348135203652</t>
  </si>
  <si>
    <t xml:space="preserve">http://www.metroeyesng.com/</t>
  </si>
  <si>
    <t xml:space="preserve">Michael's Laundry</t>
  </si>
  <si>
    <t xml:space="preserve">15 Ilaka St, Ilupeju, Lagos 102215, Lagos, Nigeria</t>
  </si>
  <si>
    <t xml:space="preserve">+2348062173507</t>
  </si>
  <si>
    <t xml:space="preserve">Mike Odesola And Co</t>
  </si>
  <si>
    <t xml:space="preserve">1 Bishop St, Ilupeju, Lagos 102215, Lagos, Nigeria</t>
  </si>
  <si>
    <t xml:space="preserve">+2348038269164</t>
  </si>
  <si>
    <t xml:space="preserve">Mimi Dental Clinic</t>
  </si>
  <si>
    <t xml:space="preserve">Annex 2, plot 6 Estaport Ave, Gbagada, Lagos 800251, Lagos, Nigeria</t>
  </si>
  <si>
    <t xml:space="preserve">+2347080122975</t>
  </si>
  <si>
    <t xml:space="preserve">https://wa.link/tvh8i9</t>
  </si>
  <si>
    <t xml:space="preserve">Miss Victoria Provision Store</t>
  </si>
  <si>
    <t xml:space="preserve">4 Mosaku St, oshodi, Lagos 102214, Lagos, Nigeria</t>
  </si>
  <si>
    <t xml:space="preserve">+2347045141701</t>
  </si>
  <si>
    <t xml:space="preserve">MITCH AUTO EMPIRE</t>
  </si>
  <si>
    <t xml:space="preserve">Used auto parts store</t>
  </si>
  <si>
    <t xml:space="preserve">44 Osoro St, Mushin, Lagos 100253, Lagos, Nigeria</t>
  </si>
  <si>
    <t xml:space="preserve">+2349066903320</t>
  </si>
  <si>
    <t xml:space="preserve">Mobolaji Johnson &amp; Co</t>
  </si>
  <si>
    <t xml:space="preserve">12 Aina George St, off Coker Road, Ilupeju, Lagos 102215, Lagos, Nigeria</t>
  </si>
  <si>
    <t xml:space="preserve">+2348023023060</t>
  </si>
  <si>
    <t xml:space="preserve">Moorebeautysalon</t>
  </si>
  <si>
    <t xml:space="preserve">Local Government, Lagos NG, 1b Oriola St, Gbagada, Ifako 100234, Lagos, Nigeria</t>
  </si>
  <si>
    <t xml:space="preserve">+2349159739426</t>
  </si>
  <si>
    <t xml:space="preserve">Moorgate Professional</t>
  </si>
  <si>
    <t xml:space="preserve">5 Olusoji Idowu St, off Association Avenue, Obanikoro, Lagos 102215, Lagos, Nigeria</t>
  </si>
  <si>
    <t xml:space="preserve">+2348026822836</t>
  </si>
  <si>
    <t xml:space="preserve">More Mart Store</t>
  </si>
  <si>
    <t xml:space="preserve">G9VV+3F5, Diya St, Bariga, Lagos 102216, Lagos, Nigeria</t>
  </si>
  <si>
    <t xml:space="preserve">+2349166257109</t>
  </si>
  <si>
    <t xml:space="preserve">Morning Star Beauty Salon</t>
  </si>
  <si>
    <t xml:space="preserve">10 Jebina St, Bariga, Lagos 102216, Lagos, Nigeria</t>
  </si>
  <si>
    <t xml:space="preserve">+2348025379579</t>
  </si>
  <si>
    <t xml:space="preserve">Mr. Bond Exclusive Unisex Boutique</t>
  </si>
  <si>
    <t xml:space="preserve">15 Oshodi Rd, opp. Kairo market, Mafoluku Oshodi, Lagos 300001, Lagos, Nigeria</t>
  </si>
  <si>
    <t xml:space="preserve">+2348139366166</t>
  </si>
  <si>
    <t xml:space="preserve">Mrs Sanni Abosede Salon</t>
  </si>
  <si>
    <t xml:space="preserve">16 Olaleye St, Anthony, Lagos 105102, Lagos, Nigeria</t>
  </si>
  <si>
    <t xml:space="preserve">+2348022038316</t>
  </si>
  <si>
    <t xml:space="preserve">Mrs Tina Provision Market</t>
  </si>
  <si>
    <t xml:space="preserve">By Agege Motor Road, Oshodi, 4 Oshodi Rd, Lagos, Nigeria</t>
  </si>
  <si>
    <t xml:space="preserve">+2348056412396</t>
  </si>
  <si>
    <t xml:space="preserve">Mrs Ty Supermarket</t>
  </si>
  <si>
    <t xml:space="preserve">34 Palm Avenue, Papa Ajao, Lagos 102215, Lagos, Nigeria</t>
  </si>
  <si>
    <t xml:space="preserve">+2348062796388</t>
  </si>
  <si>
    <t xml:space="preserve">MSME Accountant</t>
  </si>
  <si>
    <t xml:space="preserve">No 5 Town Planning Way, Ilupeju, Lagos 102215, Lagos, Nigeria</t>
  </si>
  <si>
    <t xml:space="preserve">Mubos Cuisine</t>
  </si>
  <si>
    <t xml:space="preserve">3 Ilupeju Byepass, Ilupeju, Lagos 102215, Lagos, Nigeria</t>
  </si>
  <si>
    <t xml:space="preserve">+2348184908085</t>
  </si>
  <si>
    <t xml:space="preserve">Muiz Minimart</t>
  </si>
  <si>
    <t xml:space="preserve">43 Oworo Rd, Oworosoki, Lagos 105102, Lagos, Nigeria</t>
  </si>
  <si>
    <t xml:space="preserve">+2349098399452</t>
  </si>
  <si>
    <t xml:space="preserve">Multi-purpose hall</t>
  </si>
  <si>
    <t xml:space="preserve">1 Nitel Rd, Cappa, Oshodi, Lagos 102215, Lagos, Nigeria</t>
  </si>
  <si>
    <t xml:space="preserve">Multiplex Variations Prints shomolu</t>
  </si>
  <si>
    <t xml:space="preserve">SHOP 1, BLOCK B , OLALEYE ULTRA MODERN SHOPPING COMPLEX, Somolu, Lagos 100231, Lagos, Nigeria</t>
  </si>
  <si>
    <t xml:space="preserve">+2349071751888</t>
  </si>
  <si>
    <t xml:space="preserve">https://instagram.com/multiplex_variations_prints?igshid=1emrjk2fv54s5</t>
  </si>
  <si>
    <t xml:space="preserve">Multipurpose Boutique</t>
  </si>
  <si>
    <t xml:space="preserve">Oshodi, 11 Inasa St, Mushin, Lagos, Nigeria</t>
  </si>
  <si>
    <t xml:space="preserve">+2348039896253</t>
  </si>
  <si>
    <t xml:space="preserve">Mum T Catering Services</t>
  </si>
  <si>
    <t xml:space="preserve">9 Ibukun Oluwa Street, Ilupeju, Lagos 300001, Lagos, Nigeria</t>
  </si>
  <si>
    <t xml:space="preserve">+2348029113834</t>
  </si>
  <si>
    <t xml:space="preserve">Mummy T Provision Store</t>
  </si>
  <si>
    <t xml:space="preserve">11 Ago-Ijaye St, Orile Oshodi, Lagos 102214, Lagos, Nigeria</t>
  </si>
  <si>
    <t xml:space="preserve">+2348186625476</t>
  </si>
  <si>
    <t xml:space="preserve">Mummy Titi Superstore</t>
  </si>
  <si>
    <t xml:space="preserve">9 Oluwaseun St, Oworosoki, Lagos 100242, Lagos, Nigeria</t>
  </si>
  <si>
    <t xml:space="preserve">+2349076251748</t>
  </si>
  <si>
    <t xml:space="preserve">Mummy zubby store</t>
  </si>
  <si>
    <t xml:space="preserve">28 olayiwola street, Oworo Rd, Kosofe, Lagos 100222, Lagos, Nigeria</t>
  </si>
  <si>
    <t xml:space="preserve">Musbau</t>
  </si>
  <si>
    <t xml:space="preserve">H84X+GJ2, Oshodi, Suwebatu Ajala St, Lagos, Nigeria</t>
  </si>
  <si>
    <t xml:space="preserve">+2348051147535</t>
  </si>
  <si>
    <t xml:space="preserve">Mushin/Atewolara</t>
  </si>
  <si>
    <t xml:space="preserve">Mushin, 102215, Lagos, Nigeria</t>
  </si>
  <si>
    <t xml:space="preserve">Muslim College</t>
  </si>
  <si>
    <t xml:space="preserve">Oworosoki, Oworonshoki 105102, Lagos, Nigeria</t>
  </si>
  <si>
    <t xml:space="preserve">NAFRC Guest House</t>
  </si>
  <si>
    <t xml:space="preserve">+2347010784666</t>
  </si>
  <si>
    <t xml:space="preserve">Nails by Bukola</t>
  </si>
  <si>
    <t xml:space="preserve">Berger bus stop, Somolu, Lagos 102216, Lagos, Nigeria</t>
  </si>
  <si>
    <t xml:space="preserve">+2349129059370</t>
  </si>
  <si>
    <t xml:space="preserve">NailsByLayo</t>
  </si>
  <si>
    <t xml:space="preserve">7 Kasumu St, Shangisha, Lagos 100248, Lagos, Nigeria</t>
  </si>
  <si>
    <t xml:space="preserve">+2348051135150</t>
  </si>
  <si>
    <t xml:space="preserve">https://www.nailsbylayo.com/</t>
  </si>
  <si>
    <t xml:space="preserve">Nailsbysirisdelight</t>
  </si>
  <si>
    <t xml:space="preserve">11 Diya St, Gbagada, Lagos 100234, Lagos, Nigeria</t>
  </si>
  <si>
    <t xml:space="preserve">+2348060627285</t>
  </si>
  <si>
    <t xml:space="preserve">Namaste Guest House</t>
  </si>
  <si>
    <t xml:space="preserve">8 Alice Fatimo St, off Coker Road, Ilupeju, Lagos 100252, Lagos, Nigeria</t>
  </si>
  <si>
    <t xml:space="preserve">Naya Skincare Products</t>
  </si>
  <si>
    <t xml:space="preserve">G9Q3+GX8, Agege Motor Rd, Mushin, Lagos 102215, Lagos, Nigeria</t>
  </si>
  <si>
    <t xml:space="preserve">+2349060992405</t>
  </si>
  <si>
    <t xml:space="preserve">Naza Pharmacy and Sto</t>
  </si>
  <si>
    <t xml:space="preserve">4, Diya street Ifako, Gbagada, Lagos 100234, Lagos, Nigeria</t>
  </si>
  <si>
    <t xml:space="preserve">+2349057555556</t>
  </si>
  <si>
    <t xml:space="preserve">Neighbourhood Plumber</t>
  </si>
  <si>
    <t xml:space="preserve">15 Olorunnisola St, Onipanu, Lagos 102215, Lagos, Nigeria</t>
  </si>
  <si>
    <t xml:space="preserve">+2348023854610</t>
  </si>
  <si>
    <t xml:space="preserve">Nelvy spa</t>
  </si>
  <si>
    <t xml:space="preserve">Massage therapist</t>
  </si>
  <si>
    <t xml:space="preserve">No 39 miyaki street, Iyana Oworoshoki Overpass, Kosofe, Lagos, Nigeria</t>
  </si>
  <si>
    <t xml:space="preserve">+2348147137797</t>
  </si>
  <si>
    <t xml:space="preserve">NEM HEALTH HMO</t>
  </si>
  <si>
    <t xml:space="preserve">199 Ikorodu Rd, Obanikoro, Lagos 100232, Lagos, Nigeria</t>
  </si>
  <si>
    <t xml:space="preserve">+2342013300150</t>
  </si>
  <si>
    <t xml:space="preserve">https://nem-health.com/</t>
  </si>
  <si>
    <t xml:space="preserve">Nem Insurance Plc</t>
  </si>
  <si>
    <t xml:space="preserve">Insurance company</t>
  </si>
  <si>
    <t xml:space="preserve">199 Ikorodu-Ososun Road, Obanikoro, Lagos 100232, Lagos, Nigeria</t>
  </si>
  <si>
    <t xml:space="preserve">+2348117935563</t>
  </si>
  <si>
    <t xml:space="preserve">http://www.nem-insurance.com/</t>
  </si>
  <si>
    <t xml:space="preserve">Nemex Communication Technology</t>
  </si>
  <si>
    <t xml:space="preserve">Oshodi Main Market, Oshodi Rd, Oshodi, Lagos 102214, Lagos, Nigeria</t>
  </si>
  <si>
    <t xml:space="preserve">+2348058743399</t>
  </si>
  <si>
    <t xml:space="preserve">Neolife International</t>
  </si>
  <si>
    <t xml:space="preserve">100 Gbagada, Lagos, Nigeria</t>
  </si>
  <si>
    <t xml:space="preserve">+2348123521107</t>
  </si>
  <si>
    <t xml:space="preserve">https://shopneolife.com/Ibukunoluwa1234</t>
  </si>
  <si>
    <t xml:space="preserve">New Bethsaida Hospital Maternity</t>
  </si>
  <si>
    <t xml:space="preserve">G9P2+G7C, Papa Ajao, Lagos 102215, Lagos, Nigeria</t>
  </si>
  <si>
    <t xml:space="preserve">New City Primary School</t>
  </si>
  <si>
    <t xml:space="preserve">26 Palm Avenue, Papa Ajao, Lagos 102215, Lagos, Nigeria</t>
  </si>
  <si>
    <t xml:space="preserve">+2348034167106</t>
  </si>
  <si>
    <t xml:space="preserve">New Covenant Church, Ilupeju</t>
  </si>
  <si>
    <t xml:space="preserve">H958+FM5, Ikorodu Rd, Ilupeju, Lagos 102215, Lagos, Nigeria</t>
  </si>
  <si>
    <t xml:space="preserve">+2348032180233</t>
  </si>
  <si>
    <t xml:space="preserve">http://newcovenantchurchnigeria.org/</t>
  </si>
  <si>
    <t xml:space="preserve">New Light Convenant Church</t>
  </si>
  <si>
    <t xml:space="preserve">H92W+RX8, Oworosoki, Oworonshoki 105102, Lagos, Nigeria</t>
  </si>
  <si>
    <t xml:space="preserve">New Ocean</t>
  </si>
  <si>
    <t xml:space="preserve">9 Peluola St, Oworosoki, Oworonshoki 105102, Lagos, Nigeria</t>
  </si>
  <si>
    <t xml:space="preserve">New State Schools</t>
  </si>
  <si>
    <t xml:space="preserve">36 Palm Avenue, Mushin, Lagos 300001, Lagos, Nigeria</t>
  </si>
  <si>
    <t xml:space="preserve">+2349077742265</t>
  </si>
  <si>
    <t xml:space="preserve">https://newstateschools.org/</t>
  </si>
  <si>
    <t xml:space="preserve">NEXT UNISEX SALON,SPA AND GYM .DBI</t>
  </si>
  <si>
    <t xml:space="preserve">Digital bridge institute(DBI guest house, 1 Nitel Rd, Oshodi, Lagos 100001, Lagos, Nigeria</t>
  </si>
  <si>
    <t xml:space="preserve">+2348102649436</t>
  </si>
  <si>
    <t xml:space="preserve">NGB BEAUTY SERVICES</t>
  </si>
  <si>
    <t xml:space="preserve">5 Oke-Eri St, Oworosoki, Lagos 100242, Lagos, Nigeria</t>
  </si>
  <si>
    <t xml:space="preserve">+2349090265554</t>
  </si>
  <si>
    <t xml:space="preserve">Ngene Nkechi Beauty Salon</t>
  </si>
  <si>
    <t xml:space="preserve">28 Adeleye St, Gbagada, Lagos 105102, Lagos, Nigeria</t>
  </si>
  <si>
    <t xml:space="preserve">NGESONCOMPUTERS</t>
  </si>
  <si>
    <t xml:space="preserve">promise land warehouse, Ladipo Market, Mushin, Lagos 102215, Lagos, Nigeria</t>
  </si>
  <si>
    <t xml:space="preserve">+2348061508088</t>
  </si>
  <si>
    <t xml:space="preserve">http://www.ngesoncomputer.com/</t>
  </si>
  <si>
    <t xml:space="preserve">Nice Man Boutique</t>
  </si>
  <si>
    <t xml:space="preserve">Block A &amp; B, Olorunsogo Complex, Oshodi, Ikeja 101233, Lagos, Nigeria</t>
  </si>
  <si>
    <t xml:space="preserve">+2347088080514</t>
  </si>
  <si>
    <t xml:space="preserve">Nice Man Dry Cleaning</t>
  </si>
  <si>
    <t xml:space="preserve">Oshodi, 17 Brown St, Mushin, Lagos, Nigeria</t>
  </si>
  <si>
    <t xml:space="preserve">+2348064661857</t>
  </si>
  <si>
    <t xml:space="preserve">Nigeria Cleaning Service Ltd (NCS)</t>
  </si>
  <si>
    <t xml:space="preserve">Business to business service</t>
  </si>
  <si>
    <t xml:space="preserve">Cleanjohn House, 90 Ladipo St, Matori industrial estate, Lagos 102215, Lagos, Nigeria</t>
  </si>
  <si>
    <t xml:space="preserve">+2349060604397</t>
  </si>
  <si>
    <t xml:space="preserve">https://cleanjohn.net/</t>
  </si>
  <si>
    <t xml:space="preserve">Nigeria Property Mart</t>
  </si>
  <si>
    <t xml:space="preserve">237 Ikorodu Rd, Ilupeju, Lagos 102215, Lagos, Nigeria</t>
  </si>
  <si>
    <t xml:space="preserve">+2348031188100</t>
  </si>
  <si>
    <t xml:space="preserve">http://nigeriapropertymart.com/</t>
  </si>
  <si>
    <t xml:space="preserve">Nigerian Agricultural Insurance Corporation</t>
  </si>
  <si>
    <t xml:space="preserve">209 Ikorodu Rd, Obanikoro, Lagos 102215, Lagos, Nigeria</t>
  </si>
  <si>
    <t xml:space="preserve">Night SLeeping Tea</t>
  </si>
  <si>
    <t xml:space="preserve">Sleep clinic</t>
  </si>
  <si>
    <t xml:space="preserve">off Olusegun Ogundana Dr, Allen Ave, Gbagada, Ikeja 100001, Lagos, Nigeria</t>
  </si>
  <si>
    <t xml:space="preserve">+2348089580880</t>
  </si>
  <si>
    <t xml:space="preserve">Niyi Adebowale &amp; Co (Ama Chambers)</t>
  </si>
  <si>
    <t xml:space="preserve">272 Ikorodu Rd, Obanikoro, Lagos 102216, Lagos, Nigeria</t>
  </si>
  <si>
    <t xml:space="preserve">+2348108635427</t>
  </si>
  <si>
    <t xml:space="preserve">Nuru boutique</t>
  </si>
  <si>
    <t xml:space="preserve">16 Brown St, Mafoluku Oshodi, Lagos 300001, Lagos, Nigeria</t>
  </si>
  <si>
    <t xml:space="preserve">+2349091804570</t>
  </si>
  <si>
    <t xml:space="preserve">Nwanyi Utuh Food Canteen</t>
  </si>
  <si>
    <t xml:space="preserve">G8PX+R53, Oduduwa St, Papa Ajao, Lagos 102215, Lagos, Nigeria</t>
  </si>
  <si>
    <t xml:space="preserve">+23480023508565</t>
  </si>
  <si>
    <t xml:space="preserve">Nwobi &amp; Co</t>
  </si>
  <si>
    <t xml:space="preserve">19 Olusoji Idowu St, Ilupeju, Lagos 102215, Lagos, Nigeria</t>
  </si>
  <si>
    <t xml:space="preserve">+2349060872526</t>
  </si>
  <si>
    <t xml:space="preserve">Oakville Primary School</t>
  </si>
  <si>
    <t xml:space="preserve">42 Shotinoye St, Papa Ajao, Lagos 102215, Lagos, Nigeria</t>
  </si>
  <si>
    <t xml:space="preserve">Oasis Dental Clinic Limited</t>
  </si>
  <si>
    <t xml:space="preserve">Charly Boy Bus-Stop, 16, By Mabinuori Dawodu St, Gbagada - Oworonshoki Expy, Gbagada, Lagos 100234, Lagos, Nigeria</t>
  </si>
  <si>
    <t xml:space="preserve">+2349068924816</t>
  </si>
  <si>
    <t xml:space="preserve">http://www.donolushgroup.com/dental/</t>
  </si>
  <si>
    <t xml:space="preserve">Ocean Blu Garden</t>
  </si>
  <si>
    <t xml:space="preserve">Lamlat House, 270, Ikorodu Rd, Obanikoro, Lagos, Nigeria</t>
  </si>
  <si>
    <t xml:space="preserve">+2348034777675</t>
  </si>
  <si>
    <t xml:space="preserve">Odavisha Homes and Properties</t>
  </si>
  <si>
    <t xml:space="preserve">Ajayi Aina St, opposite Deeper life Bible Church Ifako, Gbagada, Lagos 100234, Lagos, Nigeria</t>
  </si>
  <si>
    <t xml:space="preserve">+2347031368726</t>
  </si>
  <si>
    <t xml:space="preserve">https://odavishahomesandproperties.com/</t>
  </si>
  <si>
    <t xml:space="preserve">Oduduwa High School</t>
  </si>
  <si>
    <t xml:space="preserve">86 Lanre Awolokun St, Somolu, Lagos 102216, Lagos, Nigeria</t>
  </si>
  <si>
    <t xml:space="preserve">Oduduwa Secondary School</t>
  </si>
  <si>
    <t xml:space="preserve">Oduduwa Secondary School,Mushin</t>
  </si>
  <si>
    <t xml:space="preserve">Oduduwa Secondary School, 84 Ladipo St, Papa Ajao, Lagos 102215, Lagos, Nigeria</t>
  </si>
  <si>
    <t xml:space="preserve">+2348027197188</t>
  </si>
  <si>
    <t xml:space="preserve">Odunsi Adetona &amp; Co ( Chartered Accountants)</t>
  </si>
  <si>
    <t xml:space="preserve">24 Sura Mogaji St, off Coker Road, Ilupeju, Lagos 102215, Lagos, Nigeria</t>
  </si>
  <si>
    <t xml:space="preserve">+2348033459376</t>
  </si>
  <si>
    <t xml:space="preserve">official chimex autos</t>
  </si>
  <si>
    <t xml:space="preserve">19 olapeju Street mushin Lagos, Mushin, Ikeja 100253, Lagos, Nigeria</t>
  </si>
  <si>
    <t xml:space="preserve">+2347068131313</t>
  </si>
  <si>
    <t xml:space="preserve">Og barbers shop</t>
  </si>
  <si>
    <t xml:space="preserve">28 Ajayi aina Ifako, Gbagada, Lagos 100234, Lagos, Nigeria</t>
  </si>
  <si>
    <t xml:space="preserve">+2347038784176</t>
  </si>
  <si>
    <t xml:space="preserve">Ogo's Kitchen</t>
  </si>
  <si>
    <t xml:space="preserve">Oshodi, Wisdom Line Banjoko Memorial Plaza, 1 Oshodi Rd, Lagos, Nigeria</t>
  </si>
  <si>
    <t xml:space="preserve">+2348083673433</t>
  </si>
  <si>
    <t xml:space="preserve">Oke Ifako Primary School</t>
  </si>
  <si>
    <t xml:space="preserve">No. 1 Alh. Adebeshin street, Ifako, Gbagada, Lagos, Nigeria</t>
  </si>
  <si>
    <t xml:space="preserve">Okeson Enterprises</t>
  </si>
  <si>
    <t xml:space="preserve">Oshodi Main Market, Oshodi, Ikeja, Lagos, Nigeria</t>
  </si>
  <si>
    <t xml:space="preserve">Okey restaurant</t>
  </si>
  <si>
    <t xml:space="preserve">50 akala street mushin, Mushin, Lagos 300001, Lagos, Nigeria</t>
  </si>
  <si>
    <t xml:space="preserve">+2348037481037</t>
  </si>
  <si>
    <t xml:space="preserve">OkoyesEmpire</t>
  </si>
  <si>
    <t xml:space="preserve">Dunnie Plaza, 12 Church St, beside Unisex salon, Mafoluku Oshodi, Lagos 100261, Lagos, Nigeria</t>
  </si>
  <si>
    <t xml:space="preserve">+2348022650638</t>
  </si>
  <si>
    <t xml:space="preserve">Ola Oluwa Furniture Carpenter</t>
  </si>
  <si>
    <t xml:space="preserve">13 olorunsogo express way, Onipanu, Lagos 102215, Ogun State, Nigeria</t>
  </si>
  <si>
    <t xml:space="preserve">+2348038202414</t>
  </si>
  <si>
    <t xml:space="preserve">OLA SHYNE AGENCY</t>
  </si>
  <si>
    <t xml:space="preserve">11 Upper Floor, Oshodi Rd, Lagos, 300001, Lagos, Nigeria</t>
  </si>
  <si>
    <t xml:space="preserve">+2348025894225</t>
  </si>
  <si>
    <t xml:space="preserve">OLAAS PLUMBING SERVICES</t>
  </si>
  <si>
    <t xml:space="preserve">Ikeja GRA Ikeja, Lagos, Nigeria</t>
  </si>
  <si>
    <t xml:space="preserve">+2348169389111</t>
  </si>
  <si>
    <t xml:space="preserve">https://www.olaasplumbing.com/</t>
  </si>
  <si>
    <t xml:space="preserve">Olabisi Mini Mart</t>
  </si>
  <si>
    <t xml:space="preserve">3 Oworo Rd, Oworosoki, Lagos 105102, Lagos, Nigeria</t>
  </si>
  <si>
    <t xml:space="preserve">+2348182705293</t>
  </si>
  <si>
    <t xml:space="preserve">Olabisi Provision Store</t>
  </si>
  <si>
    <t xml:space="preserve">11B Adeokun St, off Oworo Road, Oworosoki, Lagos 105102, Lagos, Nigeria</t>
  </si>
  <si>
    <t xml:space="preserve">+2348135349304</t>
  </si>
  <si>
    <t xml:space="preserve">Olamide Akin-Balogun Medics</t>
  </si>
  <si>
    <t xml:space="preserve">LA Nigeria, 5 Ashimowu St, Gbagada, Lagos 102216, Lagos, Nigeria</t>
  </si>
  <si>
    <t xml:space="preserve">Olamide Plumbing Engineering</t>
  </si>
  <si>
    <t xml:space="preserve">72 Olorunsogo St, Mushin, Lagos 102215, Lagos, Nigeria</t>
  </si>
  <si>
    <t xml:space="preserve">+2349078181380</t>
  </si>
  <si>
    <t xml:space="preserve">https://olamideplumber.vercel.app/</t>
  </si>
  <si>
    <t xml:space="preserve">Olanrewaju Carpentry Furniture</t>
  </si>
  <si>
    <t xml:space="preserve">Oladipupo, Daodu St, Ikorodu, 102214, Lagos, Nigeria</t>
  </si>
  <si>
    <t xml:space="preserve">+2348028358590</t>
  </si>
  <si>
    <t xml:space="preserve">Olaoluwa beauty salon</t>
  </si>
  <si>
    <t xml:space="preserve">56 Oduduwa St, Papa Ajao, Lagos 102215, Lagos, Nigeria</t>
  </si>
  <si>
    <t xml:space="preserve">+2348128783091</t>
  </si>
  <si>
    <t xml:space="preserve">Olatech Plumbing Service</t>
  </si>
  <si>
    <t xml:space="preserve">Civil engineering company</t>
  </si>
  <si>
    <t xml:space="preserve">local government, 14 bawala street, Okuneye Ave, Somolu, Lagos 100233, Lagos, Nigeria</t>
  </si>
  <si>
    <t xml:space="preserve">+2348185606006</t>
  </si>
  <si>
    <t xml:space="preserve">Ollyton Dental Clinic</t>
  </si>
  <si>
    <t xml:space="preserve">3A Awoniyi Elemo St, Airport Rd, off Muritala, Ajao Estate, Lagos 100263, Lagos, Nigeria</t>
  </si>
  <si>
    <t xml:space="preserve">+2349029485929</t>
  </si>
  <si>
    <t xml:space="preserve">http://www.ollytondental.com/</t>
  </si>
  <si>
    <t xml:space="preserve">Olojojo phc</t>
  </si>
  <si>
    <t xml:space="preserve">G9XX+7VM, Ohamu St, Oworosoki, Lagos 105102, Lagos, Nigeria</t>
  </si>
  <si>
    <t xml:space="preserve">Olubukun Guest House</t>
  </si>
  <si>
    <t xml:space="preserve">Asimonu Street, Abule Okuta, Lagos 102216, Lagos, Nigeria</t>
  </si>
  <si>
    <t xml:space="preserve">Oludemi Computer Repairs</t>
  </si>
  <si>
    <t xml:space="preserve">16 LISABI STR PALMGROVE Lagos Mainland, Ebute Metta, Lagos, Nigeria</t>
  </si>
  <si>
    <t xml:space="preserve">+2348028256234</t>
  </si>
  <si>
    <t xml:space="preserve">Oluwalase Clinic</t>
  </si>
  <si>
    <t xml:space="preserve">G8QV+J94, Mushin, Lagos 102215, Lagos, Nigeria</t>
  </si>
  <si>
    <t xml:space="preserve">Oluwatimileyin Clothing</t>
  </si>
  <si>
    <t xml:space="preserve">Obanikoro St, opposite Bm school, Somolu, Lagos 102216, Lagos, Nigeria</t>
  </si>
  <si>
    <t xml:space="preserve">+2348143732827</t>
  </si>
  <si>
    <t xml:space="preserve">Oluwatoyin Ajibewa Provision Store</t>
  </si>
  <si>
    <t xml:space="preserve">20 Ogunji St, Ilupeju, Lagos 102215, Lagos, Nigeria</t>
  </si>
  <si>
    <t xml:space="preserve">+2349068233429</t>
  </si>
  <si>
    <t xml:space="preserve">Omega Isreal Day Care</t>
  </si>
  <si>
    <t xml:space="preserve">Off Olateju Street, Odi - Olowo, Mushin, 26 Akinbode St, Lagos, Nigeria</t>
  </si>
  <si>
    <t xml:space="preserve">+2348087842935</t>
  </si>
  <si>
    <t xml:space="preserve">Omogaji Clothing Store</t>
  </si>
  <si>
    <t xml:space="preserve">Oshodi Abibat Mogaji Modern Market, Araromi St, Lagos, Nigeria</t>
  </si>
  <si>
    <t xml:space="preserve">+2348033355513</t>
  </si>
  <si>
    <t xml:space="preserve">Omolara Stores</t>
  </si>
  <si>
    <t xml:space="preserve">2 Cash Lane,Amu plank market,Off Palm avenue, Mushin, Lagos 300001, Lagos, Nigeria</t>
  </si>
  <si>
    <t xml:space="preserve">+2348127680575</t>
  </si>
  <si>
    <t xml:space="preserve">Omozuafo Tradomedical Clinic</t>
  </si>
  <si>
    <t xml:space="preserve">Alternative medicine practitioner</t>
  </si>
  <si>
    <t xml:space="preserve">24, Alarape street, Oworo Rd, Bariga, Lagos, Nigeria</t>
  </si>
  <si>
    <t xml:space="preserve">+2348122293810</t>
  </si>
  <si>
    <t xml:space="preserve">One time laundry</t>
  </si>
  <si>
    <t xml:space="preserve">2 Association Ave, Magodo, Lagos 102215, Lagos, Nigeria</t>
  </si>
  <si>
    <t xml:space="preserve">+2348179016917</t>
  </si>
  <si>
    <t xml:space="preserve">Onyeka Investment</t>
  </si>
  <si>
    <t xml:space="preserve">Opposite Brown Street, Oshodi, 37 Church St, Lagos, Nigeria</t>
  </si>
  <si>
    <t xml:space="preserve">+2348091168793</t>
  </si>
  <si>
    <t xml:space="preserve">Onyi Best motor spare parts</t>
  </si>
  <si>
    <t xml:space="preserve">Paramo, Aguiyi Ironsi International Trade Center, Block C Ladipo St, Mushin, Lagos 100253, Lagos, Nigeria</t>
  </si>
  <si>
    <t xml:space="preserve">+2348169055101</t>
  </si>
  <si>
    <t xml:space="preserve">Opalok Global Concepts</t>
  </si>
  <si>
    <t xml:space="preserve">21 Amu St, Mushin, Lagos 100253, Lagos, Nigeria</t>
  </si>
  <si>
    <t xml:space="preserve">+2348037292344</t>
  </si>
  <si>
    <t xml:space="preserve">Ope carpenter workshop</t>
  </si>
  <si>
    <t xml:space="preserve">G9PH+RG2, Oluwalogbon St, Somolu, Lagos 102216, Lagos, Nigeria</t>
  </si>
  <si>
    <t xml:space="preserve">Opel Cleaning Services Limited</t>
  </si>
  <si>
    <t xml:space="preserve">Cleaners</t>
  </si>
  <si>
    <t xml:space="preserve">Lamlat House, 270 Ikorodu Rd, Obanikoro, Lagos 102216, Lagos, Nigeria</t>
  </si>
  <si>
    <t xml:space="preserve">+2348033063914</t>
  </si>
  <si>
    <t xml:space="preserve">Organique SPA Body Massage</t>
  </si>
  <si>
    <t xml:space="preserve">14 Arikewuyo St, Onipanu, Lagos 100252, Lagos, Nigeria</t>
  </si>
  <si>
    <t xml:space="preserve">+2348165533573</t>
  </si>
  <si>
    <t xml:space="preserve">https://onipanu.bodymassage.ng/</t>
  </si>
  <si>
    <t xml:space="preserve">Oronna Hall</t>
  </si>
  <si>
    <t xml:space="preserve">Oshodi, 35 Oronna St, Mushin, Lagos, Nigeria</t>
  </si>
  <si>
    <t xml:space="preserve">Orry Barbing Salon</t>
  </si>
  <si>
    <t xml:space="preserve">13 Ogunnoiki St, Oworosoki, Oworonshoki 105102, Lagos, Nigeria</t>
  </si>
  <si>
    <t xml:space="preserve">+2348020834478</t>
  </si>
  <si>
    <t xml:space="preserve">OSSY ONYECHINYERE Clothing store</t>
  </si>
  <si>
    <t xml:space="preserve">3 OBIOMA LINE, Brown St, Mafoluku Oshodi, Lagos 102214, Lagos, Nigeria</t>
  </si>
  <si>
    <t xml:space="preserve">Oteri Electrician Engineering Company</t>
  </si>
  <si>
    <t xml:space="preserve">38 Church St, Mafoluku Oshodi, Lagos 300001, Lagos, Nigeria</t>
  </si>
  <si>
    <t xml:space="preserve">+2348181962797</t>
  </si>
  <si>
    <t xml:space="preserve">Palm Avenue Primary School</t>
  </si>
  <si>
    <t xml:space="preserve">32 Palm Avenue, Papa Ajao, Lagos 102215, Lagos, Nigeria</t>
  </si>
  <si>
    <t xml:space="preserve">+2349039047053</t>
  </si>
  <si>
    <t xml:space="preserve">Papa Ajao Nursery And Primary School, Mushin</t>
  </si>
  <si>
    <t xml:space="preserve">67 Ladipo St, Mushin, Lagos 102215, Lagos, Nigeria</t>
  </si>
  <si>
    <t xml:space="preserve">+2348032568869</t>
  </si>
  <si>
    <t xml:space="preserve">Patty Beauty Salon</t>
  </si>
  <si>
    <t xml:space="preserve">46 Oduduwa St, Oworosoki, Lagos 105102, Lagos, Nigeria</t>
  </si>
  <si>
    <t xml:space="preserve">+2348023323623</t>
  </si>
  <si>
    <t xml:space="preserve">Paul &amp; Paul Chemists Ltd Pharmacy</t>
  </si>
  <si>
    <t xml:space="preserve">Plot 8, Industrial Estate, Block D Badejo Kalesanwo St, Mushin, Lagos 102215, Lagos, Nigeria</t>
  </si>
  <si>
    <t xml:space="preserve">+2348069273216</t>
  </si>
  <si>
    <t xml:space="preserve">Peak Diagnostic Services</t>
  </si>
  <si>
    <t xml:space="preserve">9 Church St, Gbagada, Lagos 105102, Lagos, Nigeria</t>
  </si>
  <si>
    <t xml:space="preserve">+2348023224531</t>
  </si>
  <si>
    <t xml:space="preserve">http://www.peakdediag.com/</t>
  </si>
  <si>
    <t xml:space="preserve">PEAKWISE WEST AFRICA LIMITED</t>
  </si>
  <si>
    <t xml:space="preserve">10 Ayodele Ojo St, off Coker Road, Ilupeju, Lagos 100252, Lagos, Nigeria</t>
  </si>
  <si>
    <t xml:space="preserve">+2347031065059</t>
  </si>
  <si>
    <t xml:space="preserve">Pearl Eye Clinic</t>
  </si>
  <si>
    <t xml:space="preserve">47 Shogbamu St, Gbagada, Lagos 100216, Lagos, Nigeria</t>
  </si>
  <si>
    <t xml:space="preserve">+2347025587745</t>
  </si>
  <si>
    <t xml:space="preserve">Peculiar Favour Photography</t>
  </si>
  <si>
    <t xml:space="preserve">H952+GPP, Railway Extension, Olorunshogo Street, Oshodi, Lagos, Nigeria</t>
  </si>
  <si>
    <t xml:space="preserve">+2348031009185</t>
  </si>
  <si>
    <t xml:space="preserve">Peerless Consulting Limited</t>
  </si>
  <si>
    <t xml:space="preserve">256 Ikorudo Road, Obanikoro, Lagos 102216, Lagos, Nigeria</t>
  </si>
  <si>
    <t xml:space="preserve">+2348063666310</t>
  </si>
  <si>
    <t xml:space="preserve">Perfect Edge Solicitors</t>
  </si>
  <si>
    <t xml:space="preserve">4 Folayemi St, off Coker Road, Ilupeju, Lagos 102215, Lagos, Nigeria</t>
  </si>
  <si>
    <t xml:space="preserve">+2349099999820</t>
  </si>
  <si>
    <t xml:space="preserve">Perfect Laundry And Drycleaning Services</t>
  </si>
  <si>
    <t xml:space="preserve">73 Shipeolu St, Palmgrove, Lagos 102216, Lagos, Nigeria</t>
  </si>
  <si>
    <t xml:space="preserve">Perfect Touch Engineering</t>
  </si>
  <si>
    <t xml:space="preserve">49 Shotinoye St, Mushin, Lagos 100253, Lagos, Nigeria</t>
  </si>
  <si>
    <t xml:space="preserve">+2348064442487</t>
  </si>
  <si>
    <t xml:space="preserve">PG SUPPORT SERVICES</t>
  </si>
  <si>
    <t xml:space="preserve">+2348023090673</t>
  </si>
  <si>
    <t xml:space="preserve">Phempion Company Limited Lagos</t>
  </si>
  <si>
    <t xml:space="preserve">28 Salami Shuaibu St, Somolu, Lagos 102216, Lagos, Nigeria</t>
  </si>
  <si>
    <t xml:space="preserve">+2348098242039</t>
  </si>
  <si>
    <t xml:space="preserve">Philmore-ICT Limited</t>
  </si>
  <si>
    <t xml:space="preserve">No 16A, Oronna Street, Aboru - Abesan Link Bridge, Iyana Ipaja, Lagos, Nigeria</t>
  </si>
  <si>
    <t xml:space="preserve">+2348086697100</t>
  </si>
  <si>
    <t xml:space="preserve">http://philmoreictlimited.com.ng/</t>
  </si>
  <si>
    <t xml:space="preserve">PhlexFit Fitness and Wellness Centre</t>
  </si>
  <si>
    <t xml:space="preserve">Phase II, 13 Fatai Anjorin St, Gbagada, Lagos 102216, Lagos, Nigeria</t>
  </si>
  <si>
    <t xml:space="preserve">+2348038764012</t>
  </si>
  <si>
    <t xml:space="preserve">Phones, Phones &amp; More</t>
  </si>
  <si>
    <t xml:space="preserve">Mall/Spar (Basement Store, 31/33 Town Planning Way, Ilupeju, Lagos 100252, Lagos, Nigeria</t>
  </si>
  <si>
    <t xml:space="preserve">+2348089313084</t>
  </si>
  <si>
    <t xml:space="preserve">pidamas photography</t>
  </si>
  <si>
    <t xml:space="preserve">Ishola Daniel St, Orile Oshodi, Lagos 100261, Lagos, Nigeria</t>
  </si>
  <si>
    <t xml:space="preserve">+2348178307901</t>
  </si>
  <si>
    <t xml:space="preserve">Pierre Insurance Brokers Ltd</t>
  </si>
  <si>
    <t xml:space="preserve">217, 219 Ikorodu Rd, Obanikoro, Lagos 102215, Lagos, Nigeria</t>
  </si>
  <si>
    <t xml:space="preserve">+2348154760537</t>
  </si>
  <si>
    <t xml:space="preserve">Pinheiro LP</t>
  </si>
  <si>
    <t xml:space="preserve">5/7 Folayemi St, Ilupeju, Lagos 102215, Lagos, Nigeria</t>
  </si>
  <si>
    <t xml:space="preserve">+2348022259872</t>
  </si>
  <si>
    <t xml:space="preserve">http://www.pinheirolp.com/</t>
  </si>
  <si>
    <t xml:space="preserve">Pipesnco plumbing</t>
  </si>
  <si>
    <t xml:space="preserve">13 Agbalaya Lagos, Oshodi-Isolo, Lagos 102214, Lagos, Nigeria</t>
  </si>
  <si>
    <t xml:space="preserve">+2347089928150</t>
  </si>
  <si>
    <t xml:space="preserve">No 8 Aimasiko, off Afari Ogun St, Oshodi-Isolo, Lagos, Nigeria</t>
  </si>
  <si>
    <t xml:space="preserve">+2348132355041</t>
  </si>
  <si>
    <t xml:space="preserve">Pondicheri</t>
  </si>
  <si>
    <t xml:space="preserve">2 Folayemi St, Ilupeju, Lagos 102215, Lagos, Nigeria</t>
  </si>
  <si>
    <t xml:space="preserve">+2349068008000</t>
  </si>
  <si>
    <t xml:space="preserve">Posh Fairy ELI</t>
  </si>
  <si>
    <t xml:space="preserve">29 Association Ave, Ilupeju, Lagos 100271, Lagos, Nigeria</t>
  </si>
  <si>
    <t xml:space="preserve">+2348039180747</t>
  </si>
  <si>
    <t xml:space="preserve">https://mailchi.mp/f4eff7cf8337/imagebyposhfairy</t>
  </si>
  <si>
    <t xml:space="preserve">PP's Glamour Spa</t>
  </si>
  <si>
    <t xml:space="preserve">23 Adeola Raji street, Atunrase Estate, 27 Raji Adeola Street, Gbagada, Lagos 100234, Lagos, Nigeria</t>
  </si>
  <si>
    <t xml:space="preserve">+2347068554310</t>
  </si>
  <si>
    <t xml:space="preserve">PRADO LAUNDRY AND CLEANING SERVICES</t>
  </si>
  <si>
    <t xml:space="preserve">70 Oshodi Rd, Orile Oshodi, Lagos 102214, Lagos, Nigeria</t>
  </si>
  <si>
    <t xml:space="preserve">+2348061380045</t>
  </si>
  <si>
    <t xml:space="preserve">Precious Provision Store</t>
  </si>
  <si>
    <t xml:space="preserve">+2349056120935</t>
  </si>
  <si>
    <t xml:space="preserve">Prestige Real Estate And Asset Limited</t>
  </si>
  <si>
    <t xml:space="preserve">304 Ikorodu Rd, Somolu, Lagos 102216, Lagos, Nigeria</t>
  </si>
  <si>
    <t xml:space="preserve">Pretty Woman Salon and Boutique</t>
  </si>
  <si>
    <t xml:space="preserve">G9W7+RVJ, Shop FF7 Light Plaza, 32 Association Ave, Ilupeju, Lagos 100252, Lagos, Nigeria</t>
  </si>
  <si>
    <t xml:space="preserve">Primary School</t>
  </si>
  <si>
    <t xml:space="preserve">G9Q3+PCV, Cash St, Papa Ajao, Lagos 102215, Lagos, Nigeria</t>
  </si>
  <si>
    <t xml:space="preserve">PRIME GYM AND SPA</t>
  </si>
  <si>
    <t xml:space="preserve">48A Ogudu Rd, Ogudu, Lagos 105102, Lagos, Nigeria</t>
  </si>
  <si>
    <t xml:space="preserve">+2348036332757</t>
  </si>
  <si>
    <t xml:space="preserve">Princess boutique</t>
  </si>
  <si>
    <t xml:space="preserve">1 Oshodi Rd, Orile Oshodi, Lagos 102214, Lagos, Nigeria</t>
  </si>
  <si>
    <t xml:space="preserve">+2348133013303</t>
  </si>
  <si>
    <t xml:space="preserve">Print Options Nigeria Limited</t>
  </si>
  <si>
    <t xml:space="preserve">3 Ilupeju Byepass, Mushin, Lagos 102215, Lagos, Nigeria</t>
  </si>
  <si>
    <t xml:space="preserve">+2348037523639</t>
  </si>
  <si>
    <t xml:space="preserve">Printbox Solutions</t>
  </si>
  <si>
    <t xml:space="preserve">37 Shipeolu St, Somolu, Lagos 102216, Lagos, Nigeria</t>
  </si>
  <si>
    <t xml:space="preserve">+2349037349666</t>
  </si>
  <si>
    <t xml:space="preserve">https://printboxpress.com/</t>
  </si>
  <si>
    <t xml:space="preserve">Pro-Fit : Gym &amp; Yoga Centre</t>
  </si>
  <si>
    <t xml:space="preserve">25B Coker Rd, Ilupeju, Lagos 107252, Lagos, Nigeria</t>
  </si>
  <si>
    <t xml:space="preserve">+2349075026343</t>
  </si>
  <si>
    <t xml:space="preserve">http://www.profitgymlagos.com/</t>
  </si>
  <si>
    <t xml:space="preserve">Provision</t>
  </si>
  <si>
    <t xml:space="preserve">21 lariatu mumudu street, Mafoluku Oshodi, Lagos 102214, Lagos, Nigeria</t>
  </si>
  <si>
    <t xml:space="preserve">Pure Natural Zone | Fitness Club</t>
  </si>
  <si>
    <t xml:space="preserve">Phase 2, 13 Fatai Anjorin St, Gbagada, Lagos 102216, Lagos, Nigeria</t>
  </si>
  <si>
    <t xml:space="preserve">Qasr Cleaning Services</t>
  </si>
  <si>
    <t xml:space="preserve">12 Adefowope St, Ilupeju, Lagos 102215, Lagos, Nigeria</t>
  </si>
  <si>
    <t xml:space="preserve">+2347035549595</t>
  </si>
  <si>
    <t xml:space="preserve">Quad T Event Center</t>
  </si>
  <si>
    <t xml:space="preserve">171, Oshodi - Oworonshoki Expressway, Lagos 100242, Nigeria</t>
  </si>
  <si>
    <t xml:space="preserve">Qualipro Events and Decor</t>
  </si>
  <si>
    <t xml:space="preserve">6 Olusoji Idowu St, Somolu, Lagos 100011, Lagos, Nigeria</t>
  </si>
  <si>
    <t xml:space="preserve">+2348023171855</t>
  </si>
  <si>
    <t xml:space="preserve">QUARTZ auto service</t>
  </si>
  <si>
    <t xml:space="preserve">Oshodi - Oworonshoki Express Way, Apapa Oworonshoki Expy, Ilupeju, Ikeja 101233, Lagos, Nigeria</t>
  </si>
  <si>
    <t xml:space="preserve">+2348035706950</t>
  </si>
  <si>
    <t xml:space="preserve">http://services.totalenergies.ng/</t>
  </si>
  <si>
    <t xml:space="preserve">Queens Boutique</t>
  </si>
  <si>
    <t xml:space="preserve">19 Igbeyinadun St, Mafoluku Oshodi, Lagos 102214, Lagos, Nigeria</t>
  </si>
  <si>
    <t xml:space="preserve">+2348033520204</t>
  </si>
  <si>
    <t xml:space="preserve">QuickWash</t>
  </si>
  <si>
    <t xml:space="preserve">+2348028147998</t>
  </si>
  <si>
    <t xml:space="preserve">R Jolad Hospital</t>
  </si>
  <si>
    <t xml:space="preserve">Ashimowu St, Abule Okuta, Lagos 102216, Lagos, Nigeria</t>
  </si>
  <si>
    <t xml:space="preserve">+2347000756523</t>
  </si>
  <si>
    <t xml:space="preserve">https://rjolad.com/</t>
  </si>
  <si>
    <t xml:space="preserve">R-Jolad Dental</t>
  </si>
  <si>
    <t xml:space="preserve">G9XR+9WJ, Safuratu Sekoni St, Abule Okuta, Lagos 102216, Lagos, Nigeria</t>
  </si>
  <si>
    <t xml:space="preserve">Radicel Diagnostic and Laboratory Centre</t>
  </si>
  <si>
    <t xml:space="preserve">16 Ilupeju Byepass, Ilupeju, Lagos 100252, Lagos, Nigeria</t>
  </si>
  <si>
    <t xml:space="preserve">+2347035794599</t>
  </si>
  <si>
    <t xml:space="preserve">http://www.radicel.co/</t>
  </si>
  <si>
    <t xml:space="preserve">Rango Prints And Brands</t>
  </si>
  <si>
    <t xml:space="preserve">18 Aina George St, Somolu, Lagos 102215, Lagos, Nigeria</t>
  </si>
  <si>
    <t xml:space="preserve">+2348106818650</t>
  </si>
  <si>
    <t xml:space="preserve">RCCG TLA Parish</t>
  </si>
  <si>
    <t xml:space="preserve">22 Ohamu St, Oworosoki, Oworonshoki 105102, Lagos, Nigeria</t>
  </si>
  <si>
    <t xml:space="preserve">+2348057014127</t>
  </si>
  <si>
    <t xml:space="preserve">http://www.rccgtla.org/</t>
  </si>
  <si>
    <t xml:space="preserve">RCCG, The Amazing Church</t>
  </si>
  <si>
    <t xml:space="preserve">Besides Oworo Ferry Oworo, 8, Precious Seed Close, off Oworo Road, Lagos, Nigeria</t>
  </si>
  <si>
    <t xml:space="preserve">+2349124691297</t>
  </si>
  <si>
    <t xml:space="preserve">Redcare Hmo</t>
  </si>
  <si>
    <t xml:space="preserve">41 Gbolade Adebanjo St, Ilupeju, Lagos 102215, Lagos, Nigeria</t>
  </si>
  <si>
    <t xml:space="preserve">+2347007332273</t>
  </si>
  <si>
    <t xml:space="preserve">http://www.redcarehmo.com/</t>
  </si>
  <si>
    <t xml:space="preserve">Regency Car Wash</t>
  </si>
  <si>
    <t xml:space="preserve">G9R9+P6C, Somolu, Lagos 102216, Lagos, Nigeria</t>
  </si>
  <si>
    <t xml:space="preserve">Regiis Maestro Consulting</t>
  </si>
  <si>
    <t xml:space="preserve">36b Town Planning St, Ilupeju, Lagos 102215, Lagos, Nigeria</t>
  </si>
  <si>
    <t xml:space="preserve">+2348033971655</t>
  </si>
  <si>
    <t xml:space="preserve">https://regiismaestro.com/</t>
  </si>
  <si>
    <t xml:space="preserve">Rejuvenaid Pharmacy &amp; Health Shop</t>
  </si>
  <si>
    <t xml:space="preserve">28 Shogbamu St, Abule Okuta, Lagos 102216, Lagos, Nigeria</t>
  </si>
  <si>
    <t xml:space="preserve">Reliance Drycleaners</t>
  </si>
  <si>
    <t xml:space="preserve">H926+7P3, Coker Rd, Ilupeju, Lagos 102215, Lagos, Nigeria</t>
  </si>
  <si>
    <t xml:space="preserve">+2349094385341</t>
  </si>
  <si>
    <t xml:space="preserve">Remain Alive Medical Laboratories</t>
  </si>
  <si>
    <t xml:space="preserve">Osolo Way, 2, Airport Rd, Ejigbo, Lagos, Nigeria</t>
  </si>
  <si>
    <t xml:space="preserve">+2348034470923</t>
  </si>
  <si>
    <t xml:space="preserve">Renay Dental Clinic</t>
  </si>
  <si>
    <t xml:space="preserve">52 Ogudu Rd, Ogudu/Ojota Directly, opposite Lawma, adjacent SLOT, Ogudu, Lagos 100242, Lagos, Nigeria</t>
  </si>
  <si>
    <t xml:space="preserve">+2347052807040</t>
  </si>
  <si>
    <t xml:space="preserve">http://www.renaydental.com/</t>
  </si>
  <si>
    <t xml:space="preserve">Rhomiz catering and event management</t>
  </si>
  <si>
    <t xml:space="preserve">16 Church St, Mafoluku Oshodi, Lagos 102214, Lagos, Nigeria</t>
  </si>
  <si>
    <t xml:space="preserve">+2348028569682</t>
  </si>
  <si>
    <t xml:space="preserve">Ridbadhomes</t>
  </si>
  <si>
    <t xml:space="preserve">Gbagada, 1b Oluseun Cres, Gbagada, Lagos 104101, Lagos, Nigeria</t>
  </si>
  <si>
    <t xml:space="preserve">+2347088301300</t>
  </si>
  <si>
    <t xml:space="preserve">https://ridbadhomes.com.ng/</t>
  </si>
  <si>
    <t xml:space="preserve">Rii's Hair Play Barber Shop</t>
  </si>
  <si>
    <t xml:space="preserve">Adebowale street, coker Aguda Surulere Coker, LGA, Lagos 101271, Lagos, Nigeria</t>
  </si>
  <si>
    <t xml:space="preserve">ROBOFITNESS GYM</t>
  </si>
  <si>
    <t xml:space="preserve">2 Ganiyat Dawodu St, off Lagos - Ojoo Expressway, Gbagada, Lagos 105102, Lagos, Nigeria</t>
  </si>
  <si>
    <t xml:space="preserve">+2349017215348</t>
  </si>
  <si>
    <t xml:space="preserve">http://robofitness.org/</t>
  </si>
  <si>
    <t xml:space="preserve">Rojas Cleaning Ventures</t>
  </si>
  <si>
    <t xml:space="preserve">6 Seni Towobola Cl, Ilupeju, Lagos 102215, Lagos, Nigeria</t>
  </si>
  <si>
    <t xml:space="preserve">+2349134753781</t>
  </si>
  <si>
    <t xml:space="preserve">Ronnypal Caterer</t>
  </si>
  <si>
    <t xml:space="preserve">Banjoko Memorial Plaza, Oshodi, Oshodi Rd, Lagos, Nigeria</t>
  </si>
  <si>
    <t xml:space="preserve">+2348029163545</t>
  </si>
  <si>
    <t xml:space="preserve">Royal Fit boutique</t>
  </si>
  <si>
    <t xml:space="preserve">22 Michael Adekoya St, Ilupeju, Lagos 100253, Lagos, Nigeria</t>
  </si>
  <si>
    <t xml:space="preserve">+2348034860303</t>
  </si>
  <si>
    <t xml:space="preserve">Royal Kleaners Laundry</t>
  </si>
  <si>
    <t xml:space="preserve">38 Salami Shuaib street, Salami Shuaibu St, Pedro, Lagos 102216, Lagos, Nigeria</t>
  </si>
  <si>
    <t xml:space="preserve">+2347066465758</t>
  </si>
  <si>
    <t xml:space="preserve">Ruthem Academy Nursery and primary School</t>
  </si>
  <si>
    <t xml:space="preserve">12 Ewenla St, Somolu, Lagos 102216, Lagos, Nigeria</t>
  </si>
  <si>
    <t xml:space="preserve">+2347032882876</t>
  </si>
  <si>
    <t xml:space="preserve">Ryteprint - Online Printing in Nigeria</t>
  </si>
  <si>
    <t xml:space="preserve">70 Shipeolu St, Palmgrove, Lagos 100231, Lagos, Nigeria</t>
  </si>
  <si>
    <t xml:space="preserve">+2347019109598</t>
  </si>
  <si>
    <t xml:space="preserve">https://ryteprint.com/</t>
  </si>
  <si>
    <t xml:space="preserve">S - Klass Digital Foto Lab</t>
  </si>
  <si>
    <t xml:space="preserve">1 Church St, Oshodi, Lagos 102214, Lagos, Nigeria</t>
  </si>
  <si>
    <t xml:space="preserve">+2348034745081</t>
  </si>
  <si>
    <t xml:space="preserve">S Nana Stores Supermarket</t>
  </si>
  <si>
    <t xml:space="preserve">31 Oluwaseun St, Oworosoki, Lagos 100242, Lagos, Nigeria</t>
  </si>
  <si>
    <t xml:space="preserve">+2349055426090</t>
  </si>
  <si>
    <t xml:space="preserve">S-foodie</t>
  </si>
  <si>
    <t xml:space="preserve">Odi- olowo, No 5 Olusoji Idowu St, steet, Lagos 102215, Lagos, Nigeria</t>
  </si>
  <si>
    <t xml:space="preserve">+2348102924347</t>
  </si>
  <si>
    <t xml:space="preserve">Sadec Schools</t>
  </si>
  <si>
    <t xml:space="preserve">HC32+635, Abiola St, Oworosoki, Lagos 105102, Lagos, Nigeria</t>
  </si>
  <si>
    <t xml:space="preserve">+2348150945774</t>
  </si>
  <si>
    <t xml:space="preserve">SageLife Laboratories Limited</t>
  </si>
  <si>
    <t xml:space="preserve">15A Oduduwa Cres, Ikeja GRA, Ikeja 100212, Lagos, Nigeria</t>
  </si>
  <si>
    <t xml:space="preserve">+2347025541569</t>
  </si>
  <si>
    <t xml:space="preserve">http://www.sagelifegroup.com/</t>
  </si>
  <si>
    <t xml:space="preserve">Saheed Grocery Store</t>
  </si>
  <si>
    <t xml:space="preserve">4 OLAPEJU STR PAPA AJOA MUSHIN, Ipaja, Ikotun, Lagos, Nigeria</t>
  </si>
  <si>
    <t xml:space="preserve">+2348062660994</t>
  </si>
  <si>
    <t xml:space="preserve">Saheed Repairs</t>
  </si>
  <si>
    <t xml:space="preserve">+2348136631224</t>
  </si>
  <si>
    <t xml:space="preserve">Sambank Academy</t>
  </si>
  <si>
    <t xml:space="preserve">G8QV+J2F, Yusuph St, Mushin, Lagos 102215, Lagos, Nigeria</t>
  </si>
  <si>
    <t xml:space="preserve">+2348034543822</t>
  </si>
  <si>
    <t xml:space="preserve">http://www.sambankacademy.com.ng/</t>
  </si>
  <si>
    <t xml:space="preserve">Samjuy's Boutique</t>
  </si>
  <si>
    <t xml:space="preserve">Oshodi Banjuko Memorial Plaza, Oshodi Rd, Lagos, Nigeria</t>
  </si>
  <si>
    <t xml:space="preserve">+2348029461501</t>
  </si>
  <si>
    <t xml:space="preserve">SAMLAB VENTURES</t>
  </si>
  <si>
    <t xml:space="preserve">6 Fatai Atere Way, Papa Ajao, Lagos 102215, Lagos, Nigeria</t>
  </si>
  <si>
    <t xml:space="preserve">+2348032960757</t>
  </si>
  <si>
    <t xml:space="preserve">SAMMY &amp; SONS PLUMBING WORKS</t>
  </si>
  <si>
    <t xml:space="preserve">Plating service</t>
  </si>
  <si>
    <t xml:space="preserve">No 32, Odi olowo local government, 33 Town Planning Way, Ilupeju, Lagos 111111, Lagos, Nigeria</t>
  </si>
  <si>
    <t xml:space="preserve">+2348105748732</t>
  </si>
  <si>
    <t xml:space="preserve">Sanctamedics Diagnostic Lab</t>
  </si>
  <si>
    <t xml:space="preserve">12 Church St, Gbagada, Lagos 105102, Lagos, Nigeria</t>
  </si>
  <si>
    <t xml:space="preserve">+2348029564397</t>
  </si>
  <si>
    <t xml:space="preserve">Santa Maria Private School</t>
  </si>
  <si>
    <t xml:space="preserve">General education school</t>
  </si>
  <si>
    <t xml:space="preserve">1 Anipele St, Mushin, Lagos 102215, Lagos, Nigeria</t>
  </si>
  <si>
    <t xml:space="preserve">+2348023143706</t>
  </si>
  <si>
    <t xml:space="preserve">https://www.santamariaschools.com/</t>
  </si>
  <si>
    <t xml:space="preserve">Santus Pharmacy</t>
  </si>
  <si>
    <t xml:space="preserve">Besides Primus Hospital 327, Agege Motor road] [11, 272 Shasha Rd, Ijesha Rd, Akowonjo, Lagos, Nigeria</t>
  </si>
  <si>
    <t xml:space="preserve">+2348074123216</t>
  </si>
  <si>
    <t xml:space="preserve">http://santuspharmacy.com/</t>
  </si>
  <si>
    <t xml:space="preserve">Sarah Supermarket</t>
  </si>
  <si>
    <t xml:space="preserve">35 Oluwaseun street oworonshoki, Lagos Island, Lagos, Nigeria</t>
  </si>
  <si>
    <t xml:space="preserve">+2348087507093</t>
  </si>
  <si>
    <t xml:space="preserve">SATA Pharmacy</t>
  </si>
  <si>
    <t xml:space="preserve">Olorunsogo Bus Stop, 287 Agege Motor Rd, Papa Ajao, Lagos 102215, Lagos, Nigeria</t>
  </si>
  <si>
    <t xml:space="preserve">+2349060205640</t>
  </si>
  <si>
    <t xml:space="preserve">Securisk Insurance Brokers Limited</t>
  </si>
  <si>
    <t xml:space="preserve">14 Industrial St, Ilupeju, Lagos 102215, Lagos, Nigeria</t>
  </si>
  <si>
    <t xml:space="preserve">+2347066245646</t>
  </si>
  <si>
    <t xml:space="preserve">https://securiskbrokers.com/</t>
  </si>
  <si>
    <t xml:space="preserve">Segemyke Computer Sales And Services</t>
  </si>
  <si>
    <t xml:space="preserve">8 Association Ave, Ilupeju, 102215, Lagos, Nigeria</t>
  </si>
  <si>
    <t xml:space="preserve">+2348140374078</t>
  </si>
  <si>
    <t xml:space="preserve">Sequoia Studios</t>
  </si>
  <si>
    <t xml:space="preserve">40a Coker Rd, Mushin, Lagos 102215, Lagos, Nigeria</t>
  </si>
  <si>
    <t xml:space="preserve">Setfet Cakes And Events</t>
  </si>
  <si>
    <t xml:space="preserve">56 igbenyinadu bolade oshodi, Lagos 300001, Lagos, Nigeria</t>
  </si>
  <si>
    <t xml:space="preserve">+2348025997668</t>
  </si>
  <si>
    <t xml:space="preserve">Seyi Automobile</t>
  </si>
  <si>
    <t xml:space="preserve">Plot 105 Kunle Akinosi St, Orile Oshodi, Lagos 102214, Lagos, Nigeria</t>
  </si>
  <si>
    <t xml:space="preserve">Shaddys boutique</t>
  </si>
  <si>
    <t xml:space="preserve">23,oshodi main market,oshodi, Shade omojuwa, Lagos, Nigeria</t>
  </si>
  <si>
    <t xml:space="preserve">+2348134068397</t>
  </si>
  <si>
    <t xml:space="preserve">Shade Beauty Salon</t>
  </si>
  <si>
    <t xml:space="preserve">Ba15 Maryland Complex Lagos, Lagos, Nigeria</t>
  </si>
  <si>
    <t xml:space="preserve">+2348030774344</t>
  </si>
  <si>
    <t xml:space="preserve">Shemarktech International Plumbing Services Limited</t>
  </si>
  <si>
    <t xml:space="preserve">Alhaji Adejumo Avenue, Ilupeju, Ikeja 100252, Lagos, Nigeria</t>
  </si>
  <si>
    <t xml:space="preserve">+2347035742026</t>
  </si>
  <si>
    <t xml:space="preserve">SHEROF EVENT CENTRE</t>
  </si>
  <si>
    <t xml:space="preserve">8 Arowojobe Street, Mafoluku Oshodi, Lagos 100261, Lagos, Nigeria</t>
  </si>
  <si>
    <t xml:space="preserve">+2349133536109</t>
  </si>
  <si>
    <t xml:space="preserve">Shezat Restaurant, Bar and Guest House</t>
  </si>
  <si>
    <t xml:space="preserve">25b, 27 Ogunbekun St, Somolu, Lagos 102216, Lagos, Nigeria</t>
  </si>
  <si>
    <t xml:space="preserve">+2348035717766</t>
  </si>
  <si>
    <t xml:space="preserve">Shomolu Sawmill and Carpenters Workshop</t>
  </si>
  <si>
    <t xml:space="preserve">Woodworker</t>
  </si>
  <si>
    <t xml:space="preserve">20 Fetuga St, Bariga, Lagos 100223, Lagos, Nigeria</t>
  </si>
  <si>
    <t xml:space="preserve">+2348086956733</t>
  </si>
  <si>
    <t xml:space="preserve">Signature Smiles Clinic</t>
  </si>
  <si>
    <t xml:space="preserve">43 Diya street, Ifako, Gbagada, Lagos, Nigeria</t>
  </si>
  <si>
    <t xml:space="preserve">+2348061972139</t>
  </si>
  <si>
    <t xml:space="preserve">https://signaturesmilesclinic.com/</t>
  </si>
  <si>
    <t xml:space="preserve">Skye-view College</t>
  </si>
  <si>
    <t xml:space="preserve">15 Adeokun St, Oworosoki, Oworonshoki 105102, Lagos, Nigeria</t>
  </si>
  <si>
    <t xml:space="preserve">SKYROCK AUTO PARTS VENTURES</t>
  </si>
  <si>
    <t xml:space="preserve">market, 116 ShopA36, Ladipo St, Mushin, Lagos 102215, Lagos, Nigeria</t>
  </si>
  <si>
    <t xml:space="preserve">+2348163856951</t>
  </si>
  <si>
    <t xml:space="preserve">Smart Auto Innovations</t>
  </si>
  <si>
    <t xml:space="preserve">Ladipo Mushin, 5 Alhaji, Alh. Akinwunmi St, matori, Lagos 100253, Lagos, Nigeria</t>
  </si>
  <si>
    <t xml:space="preserve">+2348068691873</t>
  </si>
  <si>
    <t xml:space="preserve">Smart skills Computer and allied services</t>
  </si>
  <si>
    <t xml:space="preserve">+2348141806130</t>
  </si>
  <si>
    <t xml:space="preserve">Smdel Cakes &amp; Dishes Affairs</t>
  </si>
  <si>
    <t xml:space="preserve">32 Balogun St, Mafoluku Oshodi, Lagos 300001, Lagos, Nigeria</t>
  </si>
  <si>
    <t xml:space="preserve">+2349024219165</t>
  </si>
  <si>
    <t xml:space="preserve">Smile Embassy Dental Specialist Clinic</t>
  </si>
  <si>
    <t xml:space="preserve">palmgroove, 190 Ikorodu Rd, Palmgroove, Lagos 100242, Lagos, Nigeria</t>
  </si>
  <si>
    <t xml:space="preserve">+2348119030009</t>
  </si>
  <si>
    <t xml:space="preserve">http://www.smileembassyng.com/</t>
  </si>
  <si>
    <t xml:space="preserve">Smile luxe dental clinic</t>
  </si>
  <si>
    <t xml:space="preserve">5 Ilupeju Byepass, Odi olowo, beside the place restaurant, Ilupeju, Lagos 102215, Lagos, Nigeria</t>
  </si>
  <si>
    <t xml:space="preserve">+2349117770055</t>
  </si>
  <si>
    <t xml:space="preserve">https://www.smileluxedentalclinic.ng/</t>
  </si>
  <si>
    <t xml:space="preserve">Smilesdotcom Dental Clinic</t>
  </si>
  <si>
    <t xml:space="preserve">10 Lanre Awolokun St, Gbagada, Lagos 100234, Lagos, Nigeria</t>
  </si>
  <si>
    <t xml:space="preserve">+2349034007519</t>
  </si>
  <si>
    <t xml:space="preserve">https://www.smilesdotcom.ng/gbagada/</t>
  </si>
  <si>
    <t xml:space="preserve">Smoh Nails &amp; Beauty</t>
  </si>
  <si>
    <t xml:space="preserve">1 Alh Adebeshin Street Ifako, Gbagada, Lagos, Nigeria</t>
  </si>
  <si>
    <t xml:space="preserve">+2349139045902</t>
  </si>
  <si>
    <t xml:space="preserve">SOFTOUCH BARBER SHOP</t>
  </si>
  <si>
    <t xml:space="preserve">Fafolu St, Onipanu, Ikeja 102215, Lagos, Nigeria</t>
  </si>
  <si>
    <t xml:space="preserve">+2348066205044</t>
  </si>
  <si>
    <t xml:space="preserve">Sokete Clean And Dry Cleaning</t>
  </si>
  <si>
    <t xml:space="preserve">Isha Oluwa, 3,Association Avenue, Ajegunle St, Ikorodu, Sagamu, Lagos, Nigeria</t>
  </si>
  <si>
    <t xml:space="preserve">+2348074697682</t>
  </si>
  <si>
    <t xml:space="preserve">Solid Doors</t>
  </si>
  <si>
    <t xml:space="preserve">Door manufacturer</t>
  </si>
  <si>
    <t xml:space="preserve">337 Agege Motor Rd, Mushin, Lagos 100253, Lagos, Nigeria</t>
  </si>
  <si>
    <t xml:space="preserve">+2348023720177</t>
  </si>
  <si>
    <t xml:space="preserve">http://www.soliddoors.com.ng/</t>
  </si>
  <si>
    <t xml:space="preserve">Soliyi Guest Gardens</t>
  </si>
  <si>
    <t xml:space="preserve">8 Gbala St, Araromi, Lagos 105102, Lagos, Nigeria</t>
  </si>
  <si>
    <t xml:space="preserve">+2348033918680</t>
  </si>
  <si>
    <t xml:space="preserve">Sooyah Bistro Ilupeju</t>
  </si>
  <si>
    <t xml:space="preserve">31 Town Planning Way, Ilupeju, Lagos 102215, Lagos, Nigeria</t>
  </si>
  <si>
    <t xml:space="preserve">+2348077525315</t>
  </si>
  <si>
    <t xml:space="preserve">http://www.sooyahbistro.com/</t>
  </si>
  <si>
    <t xml:space="preserve">Sophistikatered Carerers</t>
  </si>
  <si>
    <t xml:space="preserve">8 Oduwobi Street, Ilupeju, Lagos 100252, Lagos, Nigeria</t>
  </si>
  <si>
    <t xml:space="preserve">+2348023040432</t>
  </si>
  <si>
    <t xml:space="preserve">Spangles events</t>
  </si>
  <si>
    <t xml:space="preserve">local government, 2 Fawole Ln, Obanikoro, Lagos 100232, Lagos, Nigeria</t>
  </si>
  <si>
    <t xml:space="preserve">+2348082947558</t>
  </si>
  <si>
    <t xml:space="preserve">SPAR Market Ilupeju</t>
  </si>
  <si>
    <t xml:space="preserve">Ilupeju Mall, 31, 33 Town Planning Way, Ilupeju, Lagos 100252, Lagos, Nigeria</t>
  </si>
  <si>
    <t xml:space="preserve">+2348118918649</t>
  </si>
  <si>
    <t xml:space="preserve">http://www.sparnigeria.com/</t>
  </si>
  <si>
    <t xml:space="preserve">Sparklight Car Wash</t>
  </si>
  <si>
    <t xml:space="preserve">527 Agege Motor Rd, Oshodi, Lagos 102214, Lagos, Nigeria</t>
  </si>
  <si>
    <t xml:space="preserve">+2348095476004</t>
  </si>
  <si>
    <t xml:space="preserve">Spectrum Prints Link</t>
  </si>
  <si>
    <t xml:space="preserve">42, association avenue ilupeju by obanikoro bus stop Mushin Local Government Area, Lagos 100252, Lagos, Nigeria</t>
  </si>
  <si>
    <t xml:space="preserve">+2348032189812</t>
  </si>
  <si>
    <t xml:space="preserve">SPEEDY DISH RESTAURANT &amp; LOUNGE</t>
  </si>
  <si>
    <t xml:space="preserve">2 Coker Rd, Ilupeju, Lagos 102215, Lagos, Nigeria</t>
  </si>
  <si>
    <t xml:space="preserve">+2348094701390</t>
  </si>
  <si>
    <t xml:space="preserve">Spice And Grill</t>
  </si>
  <si>
    <t xml:space="preserve">1 Olabisi St, Mende, Lagos 102215, Lagos, Nigeria</t>
  </si>
  <si>
    <t xml:space="preserve">+2349117107777</t>
  </si>
  <si>
    <t xml:space="preserve">Spinex Pharmacy</t>
  </si>
  <si>
    <t xml:space="preserve">50 Adio St, Bariga, Lagos 102216, Lagos, Nigeria</t>
  </si>
  <si>
    <t xml:space="preserve">+2348023907055</t>
  </si>
  <si>
    <t xml:space="preserve">SPLASH ARENA</t>
  </si>
  <si>
    <t xml:space="preserve">9 Eyiowuawi St, Pedro, Lagos 300001, Lagos, Nigeria</t>
  </si>
  <si>
    <t xml:space="preserve">+2347060850006</t>
  </si>
  <si>
    <t xml:space="preserve">http://www.splasharena.com.ng/</t>
  </si>
  <si>
    <t xml:space="preserve">Spritz Dental Clinic</t>
  </si>
  <si>
    <t xml:space="preserve">6 Lanre Awolokun St, Somolu, Lagos 102216, Lagos, Nigeria</t>
  </si>
  <si>
    <t xml:space="preserve">+2349121758900</t>
  </si>
  <si>
    <t xml:space="preserve">https://spritzdental.com/</t>
  </si>
  <si>
    <t xml:space="preserve">SSL Accounting Services</t>
  </si>
  <si>
    <t xml:space="preserve">66 Boladale St, Oshodi, Lagos 102214, Lagos, Nigeria</t>
  </si>
  <si>
    <t xml:space="preserve">St. Philip's Anglican Church, Olorunsogo</t>
  </si>
  <si>
    <t xml:space="preserve">Anglican church</t>
  </si>
  <si>
    <t xml:space="preserve">G9P3+X5X, Olorunsogo St, Onipanu, Lagos 102215, Lagos, Nigeria</t>
  </si>
  <si>
    <t xml:space="preserve">St. Philip's Anglican Church, Olorunsogo, Mushin</t>
  </si>
  <si>
    <t xml:space="preserve">18, Cash Street, via, Amu Plank Market, Challenge, Olorunsogo St, Mushin, Lagos, Nigeria</t>
  </si>
  <si>
    <t xml:space="preserve">Star Chuks Auto Ventures Ltd</t>
  </si>
  <si>
    <t xml:space="preserve">Ladipo St, Papa Ajao, Lagos 102215, Lagos, Nigeria</t>
  </si>
  <si>
    <t xml:space="preserve">+2349092117822</t>
  </si>
  <si>
    <t xml:space="preserve">Starflakes Enterprise</t>
  </si>
  <si>
    <t xml:space="preserve">Grocery delivery service</t>
  </si>
  <si>
    <t xml:space="preserve">35 Oworo Rd, Kosofe, Oworonshoki 100222, Lagos, Nigeria</t>
  </si>
  <si>
    <t xml:space="preserve">+2348123875324</t>
  </si>
  <si>
    <t xml:space="preserve">http://www.starflakes.com.ng/</t>
  </si>
  <si>
    <t xml:space="preserve">Stella stores</t>
  </si>
  <si>
    <t xml:space="preserve">3 Lone St, Oworosoki, Lagos 105102, Lagos, Nigeria</t>
  </si>
  <si>
    <t xml:space="preserve">+2347084660893</t>
  </si>
  <si>
    <t xml:space="preserve">Strong Tower Gym Lagos</t>
  </si>
  <si>
    <t xml:space="preserve">Palmgrove Estate Onipanu, 6b D'Alberto Rd, Onipanu, Lagos 102215, Lagos, Nigeria</t>
  </si>
  <si>
    <t xml:space="preserve">+2348084579999</t>
  </si>
  <si>
    <t xml:space="preserve">STRONG TOWER MISSION HALL</t>
  </si>
  <si>
    <t xml:space="preserve">6b D'Alberto Rd, palmgrove estate, Lagos 102215, Lagos, Nigeria</t>
  </si>
  <si>
    <t xml:space="preserve">+2349135111555</t>
  </si>
  <si>
    <t xml:space="preserve">Suara clothing co</t>
  </si>
  <si>
    <t xml:space="preserve">16 Ebinpejo St, Pedro, Lagos 102216, Lagos, Nigeria</t>
  </si>
  <si>
    <t xml:space="preserve">+2348118346546</t>
  </si>
  <si>
    <t xml:space="preserve">Success Crown Nursery &amp; Primary School</t>
  </si>
  <si>
    <t xml:space="preserve">15 Salami St, Oworosoki, Oworonshoki 105102, Lagos, Nigeria</t>
  </si>
  <si>
    <t xml:space="preserve">+2348037178793</t>
  </si>
  <si>
    <t xml:space="preserve">Sulaimon &amp; Co (Chartered Accountants)</t>
  </si>
  <si>
    <t xml:space="preserve">217/218,Olabode House, Ikorodu Road Lagos, Lagos, Nigeria</t>
  </si>
  <si>
    <t xml:space="preserve">+2348033072427</t>
  </si>
  <si>
    <t xml:space="preserve">Summit Accounting Solutions Limited</t>
  </si>
  <si>
    <t xml:space="preserve">52 Coker Rd, Ilupeju, Lagos 102215, Lagos, Nigeria</t>
  </si>
  <si>
    <t xml:space="preserve">+2348077171224</t>
  </si>
  <si>
    <t xml:space="preserve">Sunday Omotayo Salon</t>
  </si>
  <si>
    <t xml:space="preserve">19 Titilayo Soetan Cl, Idi Olowo, Lagos 105102, Lagos, Nigeria</t>
  </si>
  <si>
    <t xml:space="preserve">+2347089328373</t>
  </si>
  <si>
    <t xml:space="preserve">Sunday Provision Store</t>
  </si>
  <si>
    <t xml:space="preserve">8 Akewusola St, Oworosoki, Lagos 100242, Lagos, Nigeria</t>
  </si>
  <si>
    <t xml:space="preserve">+2348094167363</t>
  </si>
  <si>
    <t xml:space="preserve">Sunday Tech</t>
  </si>
  <si>
    <t xml:space="preserve">H84X+GJ2, Oshadi, Suwebatu Ajala St, Lagos, Nigeria</t>
  </si>
  <si>
    <t xml:space="preserve">+2347087499507</t>
  </si>
  <si>
    <t xml:space="preserve">Super Plus Fitness Gym and Spa Center</t>
  </si>
  <si>
    <t xml:space="preserve">130 Morocco Rd, Somolu, Lagos 100231, Lagos, Nigeria</t>
  </si>
  <si>
    <t xml:space="preserve">+2347054263170</t>
  </si>
  <si>
    <t xml:space="preserve">http://www.superplusfitness.com/</t>
  </si>
  <si>
    <t xml:space="preserve">Surewoods Nigeria Limited</t>
  </si>
  <si>
    <t xml:space="preserve">Local Government, 7, Fatai Street, Off Agege Motor Road, Matori, Palm Avenue, Lagos, Mushin, Ikeja 100253, Lagos, Nigeria</t>
  </si>
  <si>
    <t xml:space="preserve">+2348051867914</t>
  </si>
  <si>
    <t xml:space="preserve">Sweet Boutique</t>
  </si>
  <si>
    <t xml:space="preserve">H942+J3J, Oshodi Rd, Oshodi, Ikeja 102214, Lagos, Nigeria</t>
  </si>
  <si>
    <t xml:space="preserve">+2347061166638</t>
  </si>
  <si>
    <t xml:space="preserve">Sweetenny confectionery and catering service</t>
  </si>
  <si>
    <t xml:space="preserve">2 Dabira street, off Awofeso Street, Somolu, Onipanu 100001, Lagos, Nigeria</t>
  </si>
  <si>
    <t xml:space="preserve">+2347056066973</t>
  </si>
  <si>
    <t xml:space="preserve">https://www.instagram.com/cake_baker_pastries_and_food?igsh=MWV3ZXI2ZzRxMGdwNQ==</t>
  </si>
  <si>
    <t xml:space="preserve">Sweettooth Cafe</t>
  </si>
  <si>
    <t xml:space="preserve">35 Salami Saibu Street, Pedro, Lagos 102216, Lagos, Nigeria</t>
  </si>
  <si>
    <t xml:space="preserve">+2348033057950</t>
  </si>
  <si>
    <t xml:space="preserve">Swift Stars Brilliance Academy</t>
  </si>
  <si>
    <t xml:space="preserve">30 Otunba Bakare Ave, Kosofe, Oworonshoki 100221, Lagos, Nigeria</t>
  </si>
  <si>
    <t xml:space="preserve">+2348164908919</t>
  </si>
  <si>
    <t xml:space="preserve">SWITCHES &amp; LOGICS Technologies</t>
  </si>
  <si>
    <t xml:space="preserve">7 Badejo Kalesanwo St, Papa Ajao, Lagos 102215, Lagos, Nigeria</t>
  </si>
  <si>
    <t xml:space="preserve">+2348032053492</t>
  </si>
  <si>
    <t xml:space="preserve">http://switchesandlogics.com/</t>
  </si>
  <si>
    <t xml:space="preserve">SYNLAB Nigeria Ilupeju BCP</t>
  </si>
  <si>
    <t xml:space="preserve">4 Coker Rd, Ilupeju, Lagos 100252, Lagos, Nigeria</t>
  </si>
  <si>
    <t xml:space="preserve">+2347031787222</t>
  </si>
  <si>
    <t xml:space="preserve">https://synlab.com.ng/</t>
  </si>
  <si>
    <t xml:space="preserve">T &amp; T Beauty Salon</t>
  </si>
  <si>
    <t xml:space="preserve">G9VV+4W6, Olaide St, Bariga, Lagos 102216, Lagos, Nigeria</t>
  </si>
  <si>
    <t xml:space="preserve">T&amp;k BEAUTY SALON</t>
  </si>
  <si>
    <t xml:space="preserve">A203 arena oshodi</t>
  </si>
  <si>
    <t xml:space="preserve">2</t>
  </si>
  <si>
    <t xml:space="preserve">Taiwo Carpenter</t>
  </si>
  <si>
    <t xml:space="preserve">H84X+GJ2, Suwebatu Ajala St, Orile Oshodi, Lagos 102214, Lagos, Nigeria</t>
  </si>
  <si>
    <t xml:space="preserve">+2348077161384</t>
  </si>
  <si>
    <t xml:space="preserve">TAIWO NURSERY &amp; PRIMARY SCHOOL</t>
  </si>
  <si>
    <t xml:space="preserve">18 Omojoye Str, Oworosoki, Lagos 100242, Lagos, Nigeria</t>
  </si>
  <si>
    <t xml:space="preserve">Tajudeen Carpenter</t>
  </si>
  <si>
    <t xml:space="preserve">Off Wahab Larinde, Oba - Elewu Street, Mafoluku, Lagos 102214, Lagos, Nigeria</t>
  </si>
  <si>
    <t xml:space="preserve">+2348033452921</t>
  </si>
  <si>
    <t xml:space="preserve">Tasty Ofeakwu</t>
  </si>
  <si>
    <t xml:space="preserve">Mobile caterer</t>
  </si>
  <si>
    <t xml:space="preserve">Araromi street @ Oshodi market Bolade Oshodi Oshodi, Lagos, Nigeria</t>
  </si>
  <si>
    <t xml:space="preserve">+2347032902904</t>
  </si>
  <si>
    <t xml:space="preserve">Teez Clothing Nigeria Limited</t>
  </si>
  <si>
    <t xml:space="preserve">+2347033868324</t>
  </si>
  <si>
    <t xml:space="preserve">Temdam Nursery And Basic School</t>
  </si>
  <si>
    <t xml:space="preserve">24 Adeokun St, Oworosoki, Lagos 105102, Lagos, Nigeria</t>
  </si>
  <si>
    <t xml:space="preserve">Temidayo provision store</t>
  </si>
  <si>
    <t xml:space="preserve">muritala b/stop, 26 Jebina St, Bariga, Lagos 102216, Lagos, Nigeria</t>
  </si>
  <si>
    <t xml:space="preserve">+2348169206132</t>
  </si>
  <si>
    <t xml:space="preserve">Temmy Beauty Salon</t>
  </si>
  <si>
    <t xml:space="preserve">9 Adeite Ogunsanya St, Gbagada, Lagos 105102, Lagos, Nigeria</t>
  </si>
  <si>
    <t xml:space="preserve">The Apostolic Church Challenge Assembly</t>
  </si>
  <si>
    <t xml:space="preserve">C.A C Street, Papa Ajao, Lagos 102215, Lagos, Nigeria</t>
  </si>
  <si>
    <t xml:space="preserve">The Best Me Catering</t>
  </si>
  <si>
    <t xml:space="preserve">32 Church Street, 32 Church St, off Inasa Street, Oshodi, Lagos 300001, Lagos, Nigeria</t>
  </si>
  <si>
    <t xml:space="preserve">+2348063618377</t>
  </si>
  <si>
    <t xml:space="preserve">The Casual African Store</t>
  </si>
  <si>
    <t xml:space="preserve">The Casual African Store, 9 Apapa-Oshodi Express Way, Orile Oshodi, Lagos 102214, Lagos, Nigeria</t>
  </si>
  <si>
    <t xml:space="preserve">http://instagram.com/thecasualafricanstore</t>
  </si>
  <si>
    <t xml:space="preserve">The Corporate Iyà Alàte Ltd</t>
  </si>
  <si>
    <t xml:space="preserve">276 Agege Motor Rd, Mushin, Lagos 102215, Lagos, Nigeria</t>
  </si>
  <si>
    <t xml:space="preserve">The Deck</t>
  </si>
  <si>
    <t xml:space="preserve">2 Bishop St, Ilupeju, Lagos 102215, Lagos, Nigeria</t>
  </si>
  <si>
    <t xml:space="preserve">+2349039732760</t>
  </si>
  <si>
    <t xml:space="preserve">The Events Warehouse Limited</t>
  </si>
  <si>
    <t xml:space="preserve">Plot CDE, Industrial Cres, Lagos, Ademosun, Lagos, Nigeria</t>
  </si>
  <si>
    <t xml:space="preserve">+2348154210122</t>
  </si>
  <si>
    <t xml:space="preserve">http://theeventswarehouse.com/</t>
  </si>
  <si>
    <t xml:space="preserve">THE GARRISON</t>
  </si>
  <si>
    <t xml:space="preserve">300 Ikorodu Rd, Obanikoro, Lagos 102216, Lagos, Nigeria</t>
  </si>
  <si>
    <t xml:space="preserve">The Giftens Church (Gifted House)</t>
  </si>
  <si>
    <t xml:space="preserve">2 Church Street, Third Axial Rd, off Eric Omobhude, Seaflow Estate, Ifako, Lagos 100001, Lagos, Nigeria</t>
  </si>
  <si>
    <t xml:space="preserve">+2349064124588</t>
  </si>
  <si>
    <t xml:space="preserve">http://thegiftenschurch.net/</t>
  </si>
  <si>
    <t xml:space="preserve">The King's Heritage School</t>
  </si>
  <si>
    <t xml:space="preserve">No. 10, 17 Oworo Rd, Oworosoki, Oworonshoki 105102, Lagos, Nigeria</t>
  </si>
  <si>
    <t xml:space="preserve">+2347035732686</t>
  </si>
  <si>
    <t xml:space="preserve">http://tkhschool.com/</t>
  </si>
  <si>
    <t xml:space="preserve">The Place Restaurant, Ilupeju</t>
  </si>
  <si>
    <t xml:space="preserve">2 Michael Adekoya St, Ilupeju, Lagos 102215, Lagos, Nigeria</t>
  </si>
  <si>
    <t xml:space="preserve">+2347011083312</t>
  </si>
  <si>
    <t xml:space="preserve">The Redeemed Christian Church Of God (Light House Parish)</t>
  </si>
  <si>
    <t xml:space="preserve">Church of Christ</t>
  </si>
  <si>
    <t xml:space="preserve">HC42+995, Salami St, Oworosoki, Oworonshoki 105102, Lagos, Nigeria</t>
  </si>
  <si>
    <t xml:space="preserve">The Redeemed Christian Church Of God, Maranatha Church Gbagada</t>
  </si>
  <si>
    <t xml:space="preserve">21/23 Layori Soetan St, Gbagada, Lagos 100242, Lagos, Nigeria</t>
  </si>
  <si>
    <t xml:space="preserve">+2347030996246</t>
  </si>
  <si>
    <t xml:space="preserve">The Spa Melori Gbagada</t>
  </si>
  <si>
    <t xml:space="preserve">Spa and health club</t>
  </si>
  <si>
    <t xml:space="preserve">Phase 2, 5A Residence Road, Gbagada Estate, Somolu, Lagos 100234, Lagos, Nigeria</t>
  </si>
  <si>
    <t xml:space="preserve">+2349166419840</t>
  </si>
  <si>
    <t xml:space="preserve">http://www.melori.com/</t>
  </si>
  <si>
    <t xml:space="preserve">The three crowns super mart</t>
  </si>
  <si>
    <t xml:space="preserve">15 Okeowo St, Kosofe, Lagos 105102, Lagos, Nigeria</t>
  </si>
  <si>
    <t xml:space="preserve">The Whiteland Guest House</t>
  </si>
  <si>
    <t xml:space="preserve">G9P4+WC9, Shokunbi St, Onipanu, Lagos 102215, Lagos, Nigeria</t>
  </si>
  <si>
    <t xml:space="preserve">+2348033159008</t>
  </si>
  <si>
    <t xml:space="preserve">The Yudel Media (Abel Kayode Photography)</t>
  </si>
  <si>
    <t xml:space="preserve">Goodwill House, 278 Ikorodu Rd, Obanikoro, Lagos 102216, Lagos, Nigeria</t>
  </si>
  <si>
    <t xml:space="preserve">+2347053467426</t>
  </si>
  <si>
    <t xml:space="preserve">http://www.theyudelmedia.com/</t>
  </si>
  <si>
    <t xml:space="preserve">The Zone</t>
  </si>
  <si>
    <t xml:space="preserve">Plot 9 Gbagada Industrial Scheme, Beside UPS, Gbagada Expressway, Lagos, Nigeria</t>
  </si>
  <si>
    <t xml:space="preserve">+2348092560860</t>
  </si>
  <si>
    <t xml:space="preserve">https://thezone.ng/</t>
  </si>
  <si>
    <t xml:space="preserve">Tibeths Cuisine</t>
  </si>
  <si>
    <t xml:space="preserve">+2347015080612</t>
  </si>
  <si>
    <t xml:space="preserve">Tire Repair Shop</t>
  </si>
  <si>
    <t xml:space="preserve">H926+QW6, Coker Rd, Ilupeju, Lagos 102215, Lagos, Nigeria</t>
  </si>
  <si>
    <t xml:space="preserve">Tofek Schools</t>
  </si>
  <si>
    <t xml:space="preserve">35 Ogunnoiki St, Oworosoki, Lagos 105102, Lagos, Nigeria</t>
  </si>
  <si>
    <t xml:space="preserve">Tolajide Store</t>
  </si>
  <si>
    <t xml:space="preserve">Oshodi, 6 Suwebatu Ajala St, Lagos, Nigeria</t>
  </si>
  <si>
    <t xml:space="preserve">+2348023155265</t>
  </si>
  <si>
    <t xml:space="preserve">Tomisin plumbing works</t>
  </si>
  <si>
    <t xml:space="preserve">6 Akinpelu St, Oshodi, Lagos 300001, Lagos, Nigeria</t>
  </si>
  <si>
    <t xml:space="preserve">+2348063374821</t>
  </si>
  <si>
    <t xml:space="preserve">Tooth Angel Dental Clinic, Ilupeju, Lagos</t>
  </si>
  <si>
    <t xml:space="preserve">Bus Stop, 69 Owodunni St, off Shyllon Street, beside Bokku mart, Ilupeju, Lagos 102215, Lagos, Nigeria</t>
  </si>
  <si>
    <t xml:space="preserve">+2349013645456</t>
  </si>
  <si>
    <t xml:space="preserve">https://toothangeldentalclinic.com.ng/</t>
  </si>
  <si>
    <t xml:space="preserve">Toothmine Dental Clinic - Gbagada</t>
  </si>
  <si>
    <t xml:space="preserve">6 Adeola Raji Ave, Atunrase Estate, Gbagada, Lagos 100235, Lagos, Nigeria</t>
  </si>
  <si>
    <t xml:space="preserve">+2349065090722</t>
  </si>
  <si>
    <t xml:space="preserve">http://www.toothminedental.com/</t>
  </si>
  <si>
    <t xml:space="preserve">Topmech Autoservices</t>
  </si>
  <si>
    <t xml:space="preserve">Adenuga Taiwo St, Somolu, Lagos 102216, Lagos, Nigeria</t>
  </si>
  <si>
    <t xml:space="preserve">+2348085606938</t>
  </si>
  <si>
    <t xml:space="preserve">TOPSHADE JANITORIAL SERVICES</t>
  </si>
  <si>
    <t xml:space="preserve">+2347068913708</t>
  </si>
  <si>
    <t xml:space="preserve">TotalEnergies Challenge Service Station</t>
  </si>
  <si>
    <t xml:space="preserve">Gas station</t>
  </si>
  <si>
    <t xml:space="preserve">Lagos-Abeokuta Expy Agege Motor Road, By Palm Avenue, opposite GT Bank, Mushin, Lagos, Nigeria</t>
  </si>
  <si>
    <t xml:space="preserve">+2347001000829</t>
  </si>
  <si>
    <t xml:space="preserve">Toyibat Comprehensive High School</t>
  </si>
  <si>
    <t xml:space="preserve">Comprehensive secondary school</t>
  </si>
  <si>
    <t xml:space="preserve">H93M+MV7, Gbagada, Lagos 105102, Lagos, Nigeria</t>
  </si>
  <si>
    <t xml:space="preserve">Tranquilla Mimar Zen</t>
  </si>
  <si>
    <t xml:space="preserve">Massage spa</t>
  </si>
  <si>
    <t xml:space="preserve">Charly boy, Gbagada, Lagos 102216, Lagos, Nigeria</t>
  </si>
  <si>
    <t xml:space="preserve">+2348083918533</t>
  </si>
  <si>
    <t xml:space="preserve">Trinitarian Redemption Church</t>
  </si>
  <si>
    <t xml:space="preserve">Olorunsogo Mushin, Off Fafolu Street, 19 Oyo St, Mushin, Lagos, Nigeria</t>
  </si>
  <si>
    <t xml:space="preserve">Trips Clothing Company</t>
  </si>
  <si>
    <t xml:space="preserve">66b Coker Rd, Ilupeju, Lagos 101223, Lagos, Nigeria</t>
  </si>
  <si>
    <t xml:space="preserve">+2349064471191</t>
  </si>
  <si>
    <t xml:space="preserve">https://tripsclothingcompany.com/</t>
  </si>
  <si>
    <t xml:space="preserve">Tropicalsun Events Centre</t>
  </si>
  <si>
    <t xml:space="preserve">1 Suwebatu Ajala St, off Liasu Road, Orile Oshodi, Lagos 102214, Lagos, Nigeria</t>
  </si>
  <si>
    <t xml:space="preserve">+2348086287822</t>
  </si>
  <si>
    <t xml:space="preserve">TUNZ PLUMBING</t>
  </si>
  <si>
    <t xml:space="preserve">15 Bola Adewunmi St, Obanikoro, Lagos 100233, Lagos, Nigeria</t>
  </si>
  <si>
    <t xml:space="preserve">+2348051440024</t>
  </si>
  <si>
    <t xml:space="preserve">U &amp; I Culture Enterprises Electrical</t>
  </si>
  <si>
    <t xml:space="preserve">17 Ariyibi - Oke St, off Igbehinadun, Mafoluku Oshodi, Lagos 102214, Lagos, Nigeria</t>
  </si>
  <si>
    <t xml:space="preserve">+2348024946820</t>
  </si>
  <si>
    <t xml:space="preserve">Ubon Supermarket</t>
  </si>
  <si>
    <t xml:space="preserve">16 Shakiru Adio St, Oworosoki, Lagos 100242, Lagos, Nigeria</t>
  </si>
  <si>
    <t xml:space="preserve">+2348183080925</t>
  </si>
  <si>
    <t xml:space="preserve">Uche Iwuchukwu And Company</t>
  </si>
  <si>
    <t xml:space="preserve">14 D'Alberto Rd, Lagos, Ademosun 102215, Lagos, Nigeria</t>
  </si>
  <si>
    <t xml:space="preserve">+2348033000848</t>
  </si>
  <si>
    <t xml:space="preserve">UHY Maaji</t>
  </si>
  <si>
    <t xml:space="preserve">22 Town Planning Way, Ilupeju, Lagos 100252, Lagos, Nigeria</t>
  </si>
  <si>
    <t xml:space="preserve">+2348035474613</t>
  </si>
  <si>
    <t xml:space="preserve">http://www.uhy-ng-maaji.com/</t>
  </si>
  <si>
    <t xml:space="preserve">ULTRA WASH professional drycleaning &amp; laundry service</t>
  </si>
  <si>
    <t xml:space="preserve">Suite 40 ilupeju shopping complex, Lagos 300001, Lagos, Nigeria</t>
  </si>
  <si>
    <t xml:space="preserve">+2348023364358</t>
  </si>
  <si>
    <t xml:space="preserve">Ultra Wash Ventures</t>
  </si>
  <si>
    <t xml:space="preserve">31 Town Planning Way, Ilupeju, Lagos 100001, Lagos, Nigeria</t>
  </si>
  <si>
    <t xml:space="preserve">Uncle Dee Auto's</t>
  </si>
  <si>
    <t xml:space="preserve">2 Nitel Rd, Papa Ajao, Lagos 102215, Lagos, Nigeria</t>
  </si>
  <si>
    <t xml:space="preserve">+2348024204333</t>
  </si>
  <si>
    <t xml:space="preserve">Unique Glow Beauty World and Spa</t>
  </si>
  <si>
    <t xml:space="preserve">2 Ora Ekpen Cres, Gbagada, Lagos 105102, Lagos, Nigeria</t>
  </si>
  <si>
    <t xml:space="preserve">Unique Look Boutique</t>
  </si>
  <si>
    <t xml:space="preserve">9 Araromi St, Oshodi, Lagos 102214, Lagos, Nigeria</t>
  </si>
  <si>
    <t xml:space="preserve">+2348034929008</t>
  </si>
  <si>
    <t xml:space="preserve">Unique Mega Wash</t>
  </si>
  <si>
    <t xml:space="preserve">9 Ibiyemi St, Somolu, Lagos 102216, Lagos, Nigeria</t>
  </si>
  <si>
    <t xml:space="preserve">Unique pro cleaning service and fumigation</t>
  </si>
  <si>
    <t xml:space="preserve">34 Ilupeju Rd, off Palm Grove estate, Mushin, Ikeja 100253, Lagos, Nigeria</t>
  </si>
  <si>
    <t xml:space="preserve">+2348121576248</t>
  </si>
  <si>
    <t xml:space="preserve">https://uniqueprocleaningserviceandfumigation.com.ng/</t>
  </si>
  <si>
    <t xml:space="preserve">Unity Restaurant And Catering Services</t>
  </si>
  <si>
    <t xml:space="preserve">11 Olusoji Idowu St, Mushin, Lagos 102215, Lagos, Nigeria</t>
  </si>
  <si>
    <t xml:space="preserve">+2349130705386</t>
  </si>
  <si>
    <t xml:space="preserve">Uyime Supermarket</t>
  </si>
  <si>
    <t xml:space="preserve">50 Oke-Eri St, Oworosoki, Lagos 105102, Lagos, Nigeria</t>
  </si>
  <si>
    <t xml:space="preserve">+2349094269764</t>
  </si>
  <si>
    <t xml:space="preserve">Valom Properties And Estate Management</t>
  </si>
  <si>
    <t xml:space="preserve">24 Association Ave, near Obanikoro Bus Stop, opposite Splendor Hotel, Ilupeju, Lagos 100252, Lagos, Nigeria</t>
  </si>
  <si>
    <t xml:space="preserve">+2348023893275</t>
  </si>
  <si>
    <t xml:space="preserve">Value Homes and Properties</t>
  </si>
  <si>
    <t xml:space="preserve">23A, Sura Mogaji Street, Off Coker Rd, Ilupeju, Lagos 230222, Lagos, Nigeria</t>
  </si>
  <si>
    <t xml:space="preserve">+2348023300333</t>
  </si>
  <si>
    <t xml:space="preserve">https://valuehomesandproperties.blogspot.com/</t>
  </si>
  <si>
    <t xml:space="preserve">Verve Insurance Brokers</t>
  </si>
  <si>
    <t xml:space="preserve">20 Adeyinka St, off Sura Mogaji Street, off Coker Road, Ilupeju, Lagos 100252, Lagos, Nigeria</t>
  </si>
  <si>
    <t xml:space="preserve">+2348090218736</t>
  </si>
  <si>
    <t xml:space="preserve">http://www.verveinsurancebrokers.net/</t>
  </si>
  <si>
    <t xml:space="preserve">Vibrant Corporate Laundry &amp; Dry Cleaning Services</t>
  </si>
  <si>
    <t xml:space="preserve">Shop 079, Ilupeju Model Market, Town Planning Way, Ilupeju, Lagos 102215, Lagos, Nigeria</t>
  </si>
  <si>
    <t xml:space="preserve">+2348060207658</t>
  </si>
  <si>
    <t xml:space="preserve">Victhor Insured</t>
  </si>
  <si>
    <t xml:space="preserve">+2349082983780</t>
  </si>
  <si>
    <t xml:space="preserve">VICTORY BARBER'S</t>
  </si>
  <si>
    <t xml:space="preserve">Gbagada, Ikeja 105102, Lagos, Nigeria</t>
  </si>
  <si>
    <t xml:space="preserve">Victory Chambers</t>
  </si>
  <si>
    <t xml:space="preserve">5 Adebisi Ladejobi St, Ilupeju, Lagos 102215, Lagos, Nigeria</t>
  </si>
  <si>
    <t xml:space="preserve">+2348038120440</t>
  </si>
  <si>
    <t xml:space="preserve">VIDAVIL CONCEPT</t>
  </si>
  <si>
    <t xml:space="preserve">Ilupeju, Lagos 100252, Lagos, Nigeria</t>
  </si>
  <si>
    <t xml:space="preserve">+2348135541244</t>
  </si>
  <si>
    <t xml:space="preserve">Vintage Autos Quick Repair Center</t>
  </si>
  <si>
    <t xml:space="preserve">151 Ikorodu - Lagos Rd, Onipanu, Lagos 102215, Lagos, Nigeria</t>
  </si>
  <si>
    <t xml:space="preserve">Vista Guest House &amp; Restaurant</t>
  </si>
  <si>
    <t xml:space="preserve">Plot 175, Ifako-Ijaiye, Lagos 102216, Lagos, Nigeria</t>
  </si>
  <si>
    <t xml:space="preserve">VL Auto Spare Parts</t>
  </si>
  <si>
    <t xml:space="preserve">Ladipo Auto Spare Parts Market, Mushin, Lagos 100253, Lagos, Nigeria</t>
  </si>
  <si>
    <t xml:space="preserve">+2349154038438</t>
  </si>
  <si>
    <t xml:space="preserve">https://wa.me/2349154038438</t>
  </si>
  <si>
    <t xml:space="preserve">Vydaren Boutique</t>
  </si>
  <si>
    <t xml:space="preserve">6 Coker Rd, opp. African Church Close, Ilupeju, Lagos 102215, Lagos, Nigeria</t>
  </si>
  <si>
    <t xml:space="preserve">+2348032331437</t>
  </si>
  <si>
    <t xml:space="preserve">https://www.instagram.com/vydaren_boutique?igsh=eGp4OWJ2MHpldzI2</t>
  </si>
  <si>
    <t xml:space="preserve">W. A. Kareem &amp; Co</t>
  </si>
  <si>
    <t xml:space="preserve">Asiyahu Abewon Place, 205B Ikorodu Rd, Ilupeju, Lagos 102215, Lagos, Nigeria</t>
  </si>
  <si>
    <t xml:space="preserve">+2348023153053</t>
  </si>
  <si>
    <t xml:space="preserve">Wahab</t>
  </si>
  <si>
    <t xml:space="preserve">G8PX+5RH, Papa Ajao, Lagos 102215, Lagos, Nigeria</t>
  </si>
  <si>
    <t xml:space="preserve">Waje Guest House</t>
  </si>
  <si>
    <t xml:space="preserve">Chief, Sunday Ogunyade St, Abule Okuta, Lagos 102216, Lagos, Nigeria</t>
  </si>
  <si>
    <t xml:space="preserve">Wale Awokoya Health Centre</t>
  </si>
  <si>
    <t xml:space="preserve">Wale Car Wash</t>
  </si>
  <si>
    <t xml:space="preserve">Self service car wash</t>
  </si>
  <si>
    <t xml:space="preserve">Oshodi Adeyemi St, Mafoluku Oshodi, Lagos 102214, Lagos, Nigeria</t>
  </si>
  <si>
    <t xml:space="preserve">+2348136547556</t>
  </si>
  <si>
    <t xml:space="preserve">Wcl Dry Cleaning &amp; Laundry Services</t>
  </si>
  <si>
    <t xml:space="preserve">G9X6+V93, Oyetola Idowu St, Ilupeju, Lagos 102215, Lagos, Nigeria</t>
  </si>
  <si>
    <t xml:space="preserve">We Care Medical Centre</t>
  </si>
  <si>
    <t xml:space="preserve">6A Okeowo Somorin street Ifako bustop Ifako, Gbagada, Lagos 102216, Lagos, Nigeria</t>
  </si>
  <si>
    <t xml:space="preserve">+2349019670308</t>
  </si>
  <si>
    <t xml:space="preserve">Webfield Properties</t>
  </si>
  <si>
    <t xml:space="preserve">G9X5+G8J, Oyewole Oshodi St, Ilupeju, Lagos 102215, Lagos, Nigeria</t>
  </si>
  <si>
    <t xml:space="preserve">+2349066550761</t>
  </si>
  <si>
    <t xml:space="preserve">Wellness Bliss Health Club</t>
  </si>
  <si>
    <t xml:space="preserve">174 Ikorodu Rd, Onipanu, Lagos 102216, Lagos, Nigeria</t>
  </si>
  <si>
    <t xml:space="preserve">+2348033435375</t>
  </si>
  <si>
    <t xml:space="preserve">Wemimo Ogunde &amp; Co</t>
  </si>
  <si>
    <t xml:space="preserve">18 Oyetola Idowu St, off Coker Road, Ilupeju, Lagos 102215, Lagos, Nigeria</t>
  </si>
  <si>
    <t xml:space="preserve">+2348074016080</t>
  </si>
  <si>
    <t xml:space="preserve">http://www.wemimo-ogunde.com/</t>
  </si>
  <si>
    <t xml:space="preserve">Wese Gold Xclusive Barbing Salon</t>
  </si>
  <si>
    <t xml:space="preserve">G9XX+XVV, Idera St, Oworosoki, Lagos 105102, Lagos, Nigeria</t>
  </si>
  <si>
    <t xml:space="preserve">White House Pharmacy</t>
  </si>
  <si>
    <t xml:space="preserve">G9P3+7PH, 10 Fafolu St, Olorunsogo St, Onipanu, Lagos 102215, Lagos, Nigeria</t>
  </si>
  <si>
    <t xml:space="preserve">+2348097925545</t>
  </si>
  <si>
    <t xml:space="preserve">White Pearl Salon,Spa &amp; Gym</t>
  </si>
  <si>
    <t xml:space="preserve">Atunrase Estate, 5 Adeola Raji Ave, Gbagada, Lagos 105102, Lagos, Nigeria</t>
  </si>
  <si>
    <t xml:space="preserve">+2347039728009</t>
  </si>
  <si>
    <t xml:space="preserve">Whonu and Associates</t>
  </si>
  <si>
    <t xml:space="preserve">Odi olowo, 77A Coker Rd, LGA, Ilupeju, Lagos 100272, Lagos, Nigeria</t>
  </si>
  <si>
    <t xml:space="preserve">+2348028448616</t>
  </si>
  <si>
    <t xml:space="preserve">Whyteclean Premium Laundry Services</t>
  </si>
  <si>
    <t xml:space="preserve">82A,Ilupeju Avenue University Of Agriculture, Odeda, Ogun State, Nigeria</t>
  </si>
  <si>
    <t xml:space="preserve">+2348063790773</t>
  </si>
  <si>
    <t xml:space="preserve">Williams Memorial Anglican Church</t>
  </si>
  <si>
    <t xml:space="preserve">H93V+8FP, Kiniun-Ifa St, Gbagada, Lagos 100242, Lagos, Nigeria</t>
  </si>
  <si>
    <t xml:space="preserve">Wisdom Catering Services and Rentals</t>
  </si>
  <si>
    <t xml:space="preserve">Office equipment rental service</t>
  </si>
  <si>
    <t xml:space="preserve">Arowojobe Street, Mafoluku Oshodi, Ikeja 102214, Lagos, Nigeria</t>
  </si>
  <si>
    <t xml:space="preserve">WQ Drycleaning</t>
  </si>
  <si>
    <t xml:space="preserve">H956+4FH, Town Planning Way, Ilupeju, Lagos 102215, Lagos, Nigeria</t>
  </si>
  <si>
    <t xml:space="preserve">+2348177777765</t>
  </si>
  <si>
    <t xml:space="preserve">Wunmi Adeboye Provision Store</t>
  </si>
  <si>
    <t xml:space="preserve">3 Church St, Oshodi, Lagos 300001, Lagos, Nigeria</t>
  </si>
  <si>
    <t xml:space="preserve">+2349090001091</t>
  </si>
  <si>
    <t xml:space="preserve">Wunmi Odusola &amp; Co</t>
  </si>
  <si>
    <t xml:space="preserve">15 Taiwo Koya St, Ilupeju, Lagos 102215, Lagos, Nigeria</t>
  </si>
  <si>
    <t xml:space="preserve">+2348023038234</t>
  </si>
  <si>
    <t xml:space="preserve">X &amp; X Boutique</t>
  </si>
  <si>
    <t xml:space="preserve">10 Oshodi, Oshodi Rd, Mafoluku Oshodi, Lagos 102214, Lagos, Nigeria</t>
  </si>
  <si>
    <t xml:space="preserve">+2348023147258</t>
  </si>
  <si>
    <t xml:space="preserve">Yahshua Maternity Clinic</t>
  </si>
  <si>
    <t xml:space="preserve">G9VV+85M, Somolu, Lagos 102216, Lagos, Nigeria</t>
  </si>
  <si>
    <t xml:space="preserve">Ybee classic cutz barbershop</t>
  </si>
  <si>
    <t xml:space="preserve">5 Yusuf Street, LGA, Papa Ajao, Lagos 100004, Lagos, Nigeria</t>
  </si>
  <si>
    <t xml:space="preserve">+2348094396305</t>
  </si>
  <si>
    <t xml:space="preserve">Yes! Wash</t>
  </si>
  <si>
    <t xml:space="preserve">22 Osoro St, Mushin, Lagos 102215, Lagos, Nigeria</t>
  </si>
  <si>
    <t xml:space="preserve">Yetunde Imoleayo(Eslanco Events)</t>
  </si>
  <si>
    <t xml:space="preserve">7 Adeola Adeleye St, off Apata Street, Somolu, Lagos 102215, Lagos, Nigeria</t>
  </si>
  <si>
    <t xml:space="preserve">+2347065975039</t>
  </si>
  <si>
    <t xml:space="preserve">yingiworld</t>
  </si>
  <si>
    <t xml:space="preserve">91 Shipeolu St, Somolu, Lagos 100231, Lagos, Nigeria</t>
  </si>
  <si>
    <t xml:space="preserve">+2348033329037</t>
  </si>
  <si>
    <t xml:space="preserve">Yinkaz Kitchen &amp; Confectioneries</t>
  </si>
  <si>
    <t xml:space="preserve">Abibat Street, 3, Alhaja, Coker Rd, Lagos, Nigeria</t>
  </si>
  <si>
    <t xml:space="preserve">+2348051568365</t>
  </si>
  <si>
    <t xml:space="preserve">Yomi Carpenters</t>
  </si>
  <si>
    <t xml:space="preserve">Bus - Stop, 7/8 Mafoluku Street, Lagos, Nigeria</t>
  </si>
  <si>
    <t xml:space="preserve">+2348074283692</t>
  </si>
  <si>
    <t xml:space="preserve">Yummy Meals NG</t>
  </si>
  <si>
    <t xml:space="preserve">1 Buraimoh Kenku St, Pedro, Lagos 102216, Lagos, Nigeria</t>
  </si>
  <si>
    <t xml:space="preserve">+2348184307688</t>
  </si>
  <si>
    <t xml:space="preserve">Zaika Indian &amp; Chinese Food (Ilupeju)</t>
  </si>
  <si>
    <t xml:space="preserve">1st floor, Round About, 2 Obanle Aro Ave, Coker Rd, opp. Fidelity Bank Plc, Ilupeju, Lagos 100252, Lagos, Nigeria</t>
  </si>
  <si>
    <t xml:space="preserve">+2348082479999</t>
  </si>
  <si>
    <t xml:space="preserve">https://wa.me/2348082479999</t>
  </si>
  <si>
    <t xml:space="preserve">Zainab Beauty Saloon</t>
  </si>
  <si>
    <t xml:space="preserve">15 Oluwaseun St, Anthony Village, Lagos 105102, Lagos, Nigeria</t>
  </si>
  <si>
    <t xml:space="preserve">+2348077380070</t>
  </si>
  <si>
    <t xml:space="preserve">Zanga Nail Salon</t>
  </si>
  <si>
    <t xml:space="preserve">29 Okugade Okunneye St, Mende, Lagos 105102, Lagos, Nigeria</t>
  </si>
  <si>
    <t xml:space="preserve">Zara Nails and Makeup Studio</t>
  </si>
  <si>
    <t xml:space="preserve">28 Ajegunle Street, Off Adeshiyan street, Ilupeju, Odi-Olowo, Lagos 100253, Lagos, Nigeria</t>
  </si>
  <si>
    <t xml:space="preserve">+2348065340683</t>
  </si>
  <si>
    <t xml:space="preserve">Zee royal beauty Spa</t>
  </si>
  <si>
    <t xml:space="preserve">54 Diya St, Gbagada, Lagos 105102, Lagos, Nigeria</t>
  </si>
  <si>
    <t xml:space="preserve">+2347061733261</t>
  </si>
  <si>
    <t xml:space="preserve">Zizat Beauty Salon</t>
  </si>
  <si>
    <t xml:space="preserve">Somolu, Ikeja 102216, Lagos, Nigeria</t>
  </si>
  <si>
    <t xml:space="preserve">Zukky</t>
  </si>
  <si>
    <t xml:space="preserve">2 miyaki street, Oworosoki, Oworonshoki 105102, Lagos, Nigeria</t>
  </si>
  <si>
    <t xml:space="preserve">Zulu Continental Foods</t>
  </si>
  <si>
    <t xml:space="preserve">4B Egbeyemi St, Ilupeju, Lagos 100252, Lagos, Nigeria</t>
  </si>
  <si>
    <t xml:space="preserve">+2348131038766</t>
  </si>
  <si>
    <t xml:space="preserve">𝐋𝐀𝐃𝐈𝐏𝐎 𝐄𝐗𝐏𝐑𝐄𝐒𝐒 𝐀𝐔𝐓𝐎 𝐋𝐈𝐍𝐊</t>
  </si>
  <si>
    <t xml:space="preserve">shop C, trinity Plaza, 19, 05 Osoro St, Mushin, Lagos 100253, Lagos, Nigeria</t>
  </si>
  <si>
    <t xml:space="preserve">+2349035123672</t>
  </si>
  <si>
    <t xml:space="preserve">https://ladipoexpress.com/</t>
  </si>
  <si>
    <t xml:space="preserve">🌸 INDIAN SAREES &amp; ACCESSORIES IN LAGOS (WHOLESALE &amp; RETAIL) ...ANIS CLOTHING</t>
  </si>
  <si>
    <t xml:space="preserve">+2348023075978</t>
  </si>
</sst>
</file>

<file path=xl/styles.xml><?xml version="1.0" encoding="utf-8"?>
<styleSheet xmlns="http://schemas.openxmlformats.org/spreadsheetml/2006/main">
  <numFmts count="8">
    <numFmt numFmtId="164" formatCode="General"/>
    <numFmt numFmtId="165" formatCode="#,##0"/>
    <numFmt numFmtId="166" formatCode="0.0%"/>
    <numFmt numFmtId="167" formatCode="General"/>
    <numFmt numFmtId="168" formatCode="0.0"/>
    <numFmt numFmtId="169" formatCode="0.000000"/>
    <numFmt numFmtId="170" formatCode="0.00"/>
    <numFmt numFmtId="171" formatCode="0%"/>
  </numFmts>
  <fonts count="15">
    <font>
      <sz val="11"/>
      <color theme="1"/>
      <name val="Calibri"/>
      <family val="2"/>
      <charset val="1"/>
    </font>
    <font>
      <sz val="10"/>
      <name val="Arial"/>
      <family val="0"/>
    </font>
    <font>
      <sz val="10"/>
      <name val="Arial"/>
      <family val="0"/>
    </font>
    <font>
      <sz val="10"/>
      <name val="Arial"/>
      <family val="0"/>
    </font>
    <font>
      <b val="true"/>
      <sz val="16"/>
      <color rgb="FF1F3864"/>
      <name val="Arial"/>
      <family val="0"/>
      <charset val="1"/>
    </font>
    <font>
      <i val="true"/>
      <sz val="10"/>
      <color rgb="FF595959"/>
      <name val="Arial"/>
      <family val="0"/>
      <charset val="1"/>
    </font>
    <font>
      <b val="true"/>
      <sz val="11"/>
      <color rgb="FFFFFFFF"/>
      <name val="Arial"/>
      <family val="0"/>
      <charset val="1"/>
    </font>
    <font>
      <b val="true"/>
      <sz val="10"/>
      <name val="Arial"/>
      <family val="0"/>
      <charset val="1"/>
    </font>
    <font>
      <b val="true"/>
      <sz val="11"/>
      <color rgb="FF1F3864"/>
      <name val="Arial"/>
      <family val="0"/>
      <charset val="1"/>
    </font>
    <font>
      <sz val="10"/>
      <name val="Arial"/>
      <family val="0"/>
      <charset val="1"/>
    </font>
    <font>
      <b val="true"/>
      <sz val="11"/>
      <color rgb="FF008000"/>
      <name val="Arial"/>
      <family val="0"/>
      <charset val="1"/>
    </font>
    <font>
      <b val="true"/>
      <sz val="10"/>
      <color rgb="FFFFFFFF"/>
      <name val="Arial"/>
      <family val="0"/>
      <charset val="1"/>
    </font>
    <font>
      <sz val="10"/>
      <color rgb="FF595959"/>
      <name val="Arial"/>
      <family val="0"/>
      <charset val="1"/>
    </font>
    <font>
      <sz val="10"/>
      <color rgb="FF7F6000"/>
      <name val="Arial"/>
      <family val="0"/>
      <charset val="1"/>
    </font>
    <font>
      <b val="true"/>
      <sz val="10"/>
      <color rgb="FF006100"/>
      <name val="Arial"/>
      <family val="0"/>
      <charset val="1"/>
    </font>
  </fonts>
  <fills count="8">
    <fill>
      <patternFill patternType="none"/>
    </fill>
    <fill>
      <patternFill patternType="gray125"/>
    </fill>
    <fill>
      <patternFill patternType="solid">
        <fgColor rgb="FF2F5597"/>
        <bgColor rgb="FF1F3864"/>
      </patternFill>
    </fill>
    <fill>
      <patternFill patternType="solid">
        <fgColor rgb="FF1F3864"/>
        <bgColor rgb="FF333333"/>
      </patternFill>
    </fill>
    <fill>
      <patternFill patternType="solid">
        <fgColor rgb="FFF2F2F2"/>
        <bgColor rgb="FFFFFFFF"/>
      </patternFill>
    </fill>
    <fill>
      <patternFill patternType="solid">
        <fgColor rgb="FFD9E2F3"/>
        <bgColor rgb="FFF2F2F2"/>
      </patternFill>
    </fill>
    <fill>
      <patternFill patternType="solid">
        <fgColor rgb="FFFFF2CC"/>
        <bgColor rgb="FFF2F2F2"/>
      </patternFill>
    </fill>
    <fill>
      <patternFill patternType="solid">
        <fgColor rgb="FFC6EFCE"/>
        <bgColor rgb="FFD9E2F3"/>
      </patternFill>
    </fill>
  </fills>
  <borders count="3">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 diagonalUp="false" diagonalDown="false">
      <left style="thin">
        <color rgb="FFBFBFBF"/>
      </left>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5">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true" applyAlignment="false" applyProtection="false">
      <alignment horizontal="general" vertical="bottom" textRotation="0" wrapText="false" indent="0" shrinkToFit="false"/>
      <protection locked="true" hidden="false"/>
    </xf>
    <xf numFmtId="164" fontId="5" fillId="0" borderId="0" xfId="0" applyFont="true" applyBorder="true" applyAlignment="false" applyProtection="false">
      <alignment horizontal="general" vertical="bottom" textRotation="0" wrapText="false" indent="0" shrinkToFit="false"/>
      <protection locked="true" hidden="false"/>
    </xf>
    <xf numFmtId="164" fontId="6" fillId="2" borderId="0" xfId="0" applyFont="true" applyBorder="true" applyAlignment="false" applyProtection="false">
      <alignment horizontal="general" vertical="bottom" textRotation="0" wrapText="false" indent="0" shrinkToFit="false"/>
      <protection locked="true" hidden="false"/>
    </xf>
    <xf numFmtId="164" fontId="7" fillId="0" borderId="1" xfId="0" applyFont="true" applyBorder="true" applyAlignment="false" applyProtection="false">
      <alignment horizontal="general" vertical="bottom" textRotation="0" wrapText="false" indent="0" shrinkToFit="false"/>
      <protection locked="true" hidden="false"/>
    </xf>
    <xf numFmtId="165" fontId="8" fillId="0" borderId="1" xfId="0" applyFont="true" applyBorder="true" applyAlignment="true" applyProtection="false">
      <alignment horizontal="right"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false" applyAlignment="true" applyProtection="false">
      <alignment horizontal="right" vertical="bottom" textRotation="0" wrapText="false" indent="0" shrinkToFit="false"/>
      <protection locked="true" hidden="false"/>
    </xf>
    <xf numFmtId="166" fontId="10" fillId="0" borderId="0" xfId="0" applyFont="true" applyBorder="false" applyAlignment="true" applyProtection="false">
      <alignment horizontal="right" vertical="bottom" textRotation="0" wrapText="false" indent="0" shrinkToFit="false"/>
      <protection locked="true" hidden="false"/>
    </xf>
    <xf numFmtId="164" fontId="11" fillId="3" borderId="1" xfId="0" applyFont="true" applyBorder="true" applyAlignment="true" applyProtection="false">
      <alignment horizontal="center" vertical="center" textRotation="0" wrapText="true" indent="0" shrinkToFit="false"/>
      <protection locked="true" hidden="false"/>
    </xf>
    <xf numFmtId="167" fontId="9" fillId="0" borderId="1" xfId="0" applyFont="true" applyBorder="true" applyAlignment="true" applyProtection="false">
      <alignment horizontal="center" vertical="bottom" textRotation="0" wrapText="false" indent="0" shrinkToFit="false"/>
      <protection locked="true" hidden="false"/>
    </xf>
    <xf numFmtId="166" fontId="9" fillId="0" borderId="1" xfId="0" applyFont="true" applyBorder="true" applyAlignment="true" applyProtection="false">
      <alignment horizontal="center" vertical="bottom" textRotation="0" wrapText="false" indent="0" shrinkToFit="false"/>
      <protection locked="true" hidden="false"/>
    </xf>
    <xf numFmtId="164" fontId="7" fillId="4" borderId="1" xfId="0" applyFont="true" applyBorder="true" applyAlignment="false" applyProtection="false">
      <alignment horizontal="general" vertical="bottom" textRotation="0" wrapText="false" indent="0" shrinkToFit="false"/>
      <protection locked="true" hidden="false"/>
    </xf>
    <xf numFmtId="167" fontId="9" fillId="4" borderId="1" xfId="0" applyFont="true" applyBorder="true" applyAlignment="true" applyProtection="false">
      <alignment horizontal="center" vertical="bottom" textRotation="0" wrapText="false" indent="0" shrinkToFit="false"/>
      <protection locked="true" hidden="false"/>
    </xf>
    <xf numFmtId="166" fontId="9" fillId="4" borderId="1" xfId="0" applyFont="true" applyBorder="true" applyAlignment="true" applyProtection="false">
      <alignment horizontal="center" vertical="bottom" textRotation="0" wrapText="false" indent="0" shrinkToFit="false"/>
      <protection locked="true" hidden="false"/>
    </xf>
    <xf numFmtId="164" fontId="6" fillId="2" borderId="1" xfId="0" applyFont="true" applyBorder="true" applyAlignment="true" applyProtection="false">
      <alignment horizontal="left" vertical="bottom" textRotation="0" wrapText="false" indent="0" shrinkToFit="false"/>
      <protection locked="true" hidden="false"/>
    </xf>
    <xf numFmtId="167" fontId="6" fillId="2" borderId="1" xfId="0" applyFont="true" applyBorder="true" applyAlignment="true" applyProtection="false">
      <alignment horizontal="center" vertical="bottom" textRotation="0" wrapText="false" indent="0" shrinkToFit="false"/>
      <protection locked="true" hidden="false"/>
    </xf>
    <xf numFmtId="166" fontId="6" fillId="2" borderId="1" xfId="0" applyFont="true" applyBorder="true" applyAlignment="true" applyProtection="false">
      <alignment horizontal="center" vertical="bottom" textRotation="0" wrapText="false" indent="0" shrinkToFit="false"/>
      <protection locked="true" hidden="false"/>
    </xf>
    <xf numFmtId="164" fontId="7" fillId="5" borderId="1" xfId="0" applyFont="true" applyBorder="true" applyAlignment="true" applyProtection="false">
      <alignment horizontal="general" vertical="top" textRotation="0" wrapText="false" indent="0" shrinkToFit="false"/>
      <protection locked="true" hidden="false"/>
    </xf>
    <xf numFmtId="164" fontId="9" fillId="0" borderId="2" xfId="0" applyFont="true" applyBorder="true" applyAlignment="true" applyProtection="false">
      <alignment horizontal="general" vertical="top" textRotation="0" wrapText="true" indent="0" shrinkToFit="false"/>
      <protection locked="true" hidden="false"/>
    </xf>
    <xf numFmtId="164" fontId="9" fillId="0" borderId="0" xfId="0" applyFont="true" applyBorder="false" applyAlignment="true" applyProtection="false">
      <alignment horizontal="general" vertical="top" textRotation="0" wrapText="false" indent="0" shrinkToFit="false"/>
      <protection locked="true" hidden="false"/>
    </xf>
    <xf numFmtId="164" fontId="9" fillId="0" borderId="0" xfId="0" applyFont="true" applyBorder="false" applyAlignment="true" applyProtection="false">
      <alignment horizontal="general" vertical="top" textRotation="0" wrapText="true" indent="0" shrinkToFit="false"/>
      <protection locked="true" hidden="false"/>
    </xf>
    <xf numFmtId="168" fontId="9" fillId="0" borderId="0" xfId="0" applyFont="true" applyBorder="false" applyAlignment="true" applyProtection="false">
      <alignment horizontal="general" vertical="top" textRotation="0" wrapText="false" indent="0" shrinkToFit="false"/>
      <protection locked="true" hidden="false"/>
    </xf>
    <xf numFmtId="165" fontId="9" fillId="0" borderId="0" xfId="0" applyFont="true" applyBorder="false" applyAlignment="true" applyProtection="false">
      <alignment horizontal="general" vertical="top" textRotation="0" wrapText="false" indent="0" shrinkToFit="false"/>
      <protection locked="true" hidden="false"/>
    </xf>
    <xf numFmtId="169" fontId="9" fillId="0" borderId="0" xfId="0" applyFont="true" applyBorder="false" applyAlignment="true" applyProtection="false">
      <alignment horizontal="general" vertical="top" textRotation="0" wrapText="false" indent="0" shrinkToFit="false"/>
      <protection locked="true" hidden="false"/>
    </xf>
    <xf numFmtId="164" fontId="12" fillId="4" borderId="0" xfId="0" applyFont="true" applyBorder="false" applyAlignment="true" applyProtection="false">
      <alignment horizontal="general" vertical="top" textRotation="0" wrapText="false" indent="0" shrinkToFit="false"/>
      <protection locked="true" hidden="false"/>
    </xf>
    <xf numFmtId="164" fontId="13" fillId="6" borderId="0" xfId="0" applyFont="true" applyBorder="false" applyAlignment="true" applyProtection="false">
      <alignment horizontal="general" vertical="top" textRotation="0" wrapText="false" indent="0" shrinkToFit="false"/>
      <protection locked="true" hidden="false"/>
    </xf>
    <xf numFmtId="164" fontId="14" fillId="7" borderId="0" xfId="0" applyFont="true" applyBorder="false" applyAlignment="true" applyProtection="false">
      <alignment horizontal="general" vertical="top" textRotation="0" wrapText="false" indent="0" shrinkToFit="false"/>
      <protection locked="true" hidden="false"/>
    </xf>
    <xf numFmtId="170" fontId="9" fillId="0" borderId="1" xfId="0" applyFont="true" applyBorder="true" applyAlignment="true" applyProtection="false">
      <alignment horizontal="center" vertical="bottom" textRotation="0" wrapText="false" indent="0" shrinkToFit="false"/>
      <protection locked="true" hidden="false"/>
    </xf>
    <xf numFmtId="170" fontId="9" fillId="4" borderId="1" xfId="0" applyFont="true" applyBorder="true" applyAlignment="true" applyProtection="false">
      <alignment horizontal="center" vertical="bottom" textRotation="0" wrapText="false" indent="0" shrinkToFit="false"/>
      <protection locked="true" hidden="false"/>
    </xf>
    <xf numFmtId="164" fontId="9" fillId="0" borderId="1" xfId="0" applyFont="true" applyBorder="true" applyAlignment="false" applyProtection="false">
      <alignment horizontal="general" vertical="bottom" textRotation="0" wrapText="false" indent="0" shrinkToFit="false"/>
      <protection locked="true" hidden="false"/>
    </xf>
    <xf numFmtId="171" fontId="9" fillId="0" borderId="1" xfId="0" applyFont="true" applyBorder="true" applyAlignment="true" applyProtection="false">
      <alignment horizontal="center" vertical="bottom" textRotation="0" wrapText="false" indent="0" shrinkToFit="false"/>
      <protection locked="true" hidden="false"/>
    </xf>
    <xf numFmtId="164" fontId="9" fillId="0" borderId="1" xfId="0" applyFont="true" applyBorder="true" applyAlignment="true" applyProtection="false">
      <alignment horizontal="left" vertical="top" textRotation="0" wrapText="true" indent="0" shrinkToFit="false"/>
      <protection locked="true" hidden="false"/>
    </xf>
    <xf numFmtId="164" fontId="9" fillId="0" borderId="1" xfId="0" applyFont="true" applyBorder="true" applyAlignment="true" applyProtection="false">
      <alignment horizontal="center" vertical="top" textRotation="0" wrapText="true" indent="0" shrinkToFit="false"/>
      <protection locked="true" hidden="false"/>
    </xf>
    <xf numFmtId="164" fontId="5" fillId="0" borderId="0"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9">
    <dxf>
      <fill>
        <patternFill patternType="solid">
          <fgColor rgb="FF1F3864"/>
          <bgColor rgb="FF000000"/>
        </patternFill>
      </fill>
    </dxf>
    <dxf>
      <fill>
        <patternFill patternType="solid">
          <bgColor rgb="FF000000"/>
        </patternFill>
      </fill>
    </dxf>
    <dxf>
      <fill>
        <patternFill patternType="solid">
          <fgColor rgb="FFFFFFFF"/>
          <bgColor rgb="FF000000"/>
        </patternFill>
      </fill>
    </dxf>
    <dxf>
      <fill>
        <patternFill patternType="solid">
          <fgColor rgb="FFC6EFCE"/>
          <bgColor rgb="FF000000"/>
        </patternFill>
      </fill>
    </dxf>
    <dxf>
      <fill>
        <patternFill patternType="solid">
          <fgColor rgb="FFF2F2F2"/>
          <bgColor rgb="FF000000"/>
        </patternFill>
      </fill>
    </dxf>
    <dxf>
      <fill>
        <patternFill patternType="solid">
          <fgColor rgb="FFFFF2CC"/>
          <bgColor rgb="FF000000"/>
        </patternFill>
      </fill>
    </dxf>
    <dxf>
      <fill>
        <patternFill patternType="solid">
          <fgColor rgb="FF006100"/>
          <bgColor rgb="FF000000"/>
        </patternFill>
      </fill>
    </dxf>
    <dxf>
      <fill>
        <patternFill patternType="solid">
          <fgColor rgb="FF595959"/>
          <bgColor rgb="FF000000"/>
        </patternFill>
      </fill>
    </dxf>
    <dxf>
      <fill>
        <patternFill patternType="solid">
          <fgColor rgb="FF7F6000"/>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7F6000"/>
      <rgbColor rgb="FF800080"/>
      <rgbColor rgb="FF008080"/>
      <rgbColor rgb="FFBFBFBF"/>
      <rgbColor rgb="FF808080"/>
      <rgbColor rgb="FF9999FF"/>
      <rgbColor rgb="FF993366"/>
      <rgbColor rgb="FFFFF2CC"/>
      <rgbColor rgb="FFF2F2F2"/>
      <rgbColor rgb="FF660066"/>
      <rgbColor rgb="FFFF8080"/>
      <rgbColor rgb="FF0066CC"/>
      <rgbColor rgb="FFD9E2F3"/>
      <rgbColor rgb="FF000080"/>
      <rgbColor rgb="FFFF00FF"/>
      <rgbColor rgb="FFFFFF00"/>
      <rgbColor rgb="FF00FFFF"/>
      <rgbColor rgb="FF800080"/>
      <rgbColor rgb="FF800000"/>
      <rgbColor rgb="FF008080"/>
      <rgbColor rgb="FF0000FF"/>
      <rgbColor rgb="FF00CCFF"/>
      <rgbColor rgb="FFCCFFFF"/>
      <rgbColor rgb="FFC6EFCE"/>
      <rgbColor rgb="FFFFFF99"/>
      <rgbColor rgb="FF99CCFF"/>
      <rgbColor rgb="FFFF99CC"/>
      <rgbColor rgb="FFCC99FF"/>
      <rgbColor rgb="FFFFCC99"/>
      <rgbColor rgb="FF3366FF"/>
      <rgbColor rgb="FF33CCCC"/>
      <rgbColor rgb="FF99CC00"/>
      <rgbColor rgb="FFFFCC00"/>
      <rgbColor rgb="FFFF9900"/>
      <rgbColor rgb="FFFF6600"/>
      <rgbColor rgb="FF595959"/>
      <rgbColor rgb="FF969696"/>
      <rgbColor rgb="FF1F3864"/>
      <rgbColor rgb="FF339966"/>
      <rgbColor rgb="FF006100"/>
      <rgbColor rgb="FF333300"/>
      <rgbColor rgb="FF993300"/>
      <rgbColor rgb="FF993366"/>
      <rgbColor rgb="FF2F5597"/>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3.xml.rels><?xml version="1.0" encoding="UTF-8"?>
<Relationships xmlns="http://schemas.openxmlformats.org/package/2006/relationships"><Relationship Id="rId1" Type="http://schemas.openxmlformats.org/officeDocument/2006/relationships/drawing" Target="../drawings/drawing1.xml"/>
</Relationships>
</file>

<file path=xl/worksheets/_rels/sheet6.xml.rels><?xml version="1.0" encoding="UTF-8"?>
<Relationships xmlns="http://schemas.openxmlformats.org/package/2006/relationships"><Relationship Id="rId1" Type="http://schemas.openxmlformats.org/officeDocument/2006/relationships/drawing" Target="../drawings/drawing2.xml"/>
</Relationships>
</file>

<file path=xl/worksheets/_rels/sheet8.xml.rels><?xml version="1.0" encoding="UTF-8"?>
<Relationships xmlns="http://schemas.openxmlformats.org/package/2006/relationships"><Relationship Id="rId1" Type="http://schemas.openxmlformats.org/officeDocument/2006/relationships/drawing" Target="../drawings/drawing3.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38"/>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2" min="2" style="0" width="26"/>
    <col collapsed="false" customWidth="true" hidden="false" outlineLevel="0" max="3" min="3" style="0" width="22"/>
    <col collapsed="false" customWidth="true" hidden="false" outlineLevel="0" max="5" min="4" style="0" width="12"/>
    <col collapsed="false" customWidth="true" hidden="false" outlineLevel="0" max="6" min="6" style="0" width="14"/>
  </cols>
  <sheetData>
    <row r="1" customFormat="false" ht="19.7" hidden="false" customHeight="false" outlineLevel="0" collapsed="false">
      <c r="A1" s="1" t="s">
        <v>0</v>
      </c>
      <c r="B1" s="1"/>
      <c r="C1" s="1"/>
      <c r="D1" s="1"/>
      <c r="E1" s="1"/>
      <c r="F1" s="1"/>
    </row>
    <row r="2" customFormat="false" ht="15" hidden="false" customHeight="false" outlineLevel="0" collapsed="false">
      <c r="A2" s="2" t="s">
        <v>1</v>
      </c>
      <c r="B2" s="2"/>
      <c r="C2" s="2"/>
      <c r="D2" s="2"/>
      <c r="E2" s="2"/>
      <c r="F2" s="2"/>
    </row>
    <row r="4" customFormat="false" ht="15" hidden="false" customHeight="false" outlineLevel="0" collapsed="false">
      <c r="A4" s="3" t="s">
        <v>2</v>
      </c>
      <c r="B4" s="3"/>
      <c r="C4" s="3"/>
      <c r="D4" s="3"/>
      <c r="E4" s="3"/>
      <c r="F4" s="3"/>
    </row>
    <row r="5" customFormat="false" ht="15" hidden="false" customHeight="false" outlineLevel="0" collapsed="false">
      <c r="A5" s="4" t="s">
        <v>3</v>
      </c>
      <c r="C5" s="5" t="n">
        <f aca="false">COUNTA('MASTER DATABASE'!B2:B931)</f>
        <v>930</v>
      </c>
    </row>
    <row r="6" customFormat="false" ht="15" hidden="false" customHeight="false" outlineLevel="0" collapsed="false">
      <c r="A6" s="4" t="s">
        <v>4</v>
      </c>
      <c r="C6" s="5" t="n">
        <f aca="false">COUNTIF('MASTER DATABASE'!C2:C931,"Anthony / Anthony Village")</f>
        <v>478</v>
      </c>
    </row>
    <row r="7" customFormat="false" ht="15" hidden="false" customHeight="false" outlineLevel="0" collapsed="false">
      <c r="A7" s="4" t="s">
        <v>5</v>
      </c>
      <c r="C7" s="5" t="n">
        <f aca="false">COUNTIF('MASTER DATABASE'!C2:C931,"Maryland / Mende")</f>
        <v>452</v>
      </c>
    </row>
    <row r="8" customFormat="false" ht="15" hidden="false" customHeight="false" outlineLevel="0" collapsed="false">
      <c r="A8" s="4" t="s">
        <v>6</v>
      </c>
      <c r="C8" s="5" t="n">
        <f aca="false">COUNTIF('MASTER DATABASE'!M2:M931,"Yes")</f>
        <v>559</v>
      </c>
    </row>
    <row r="9" customFormat="false" ht="15" hidden="false" customHeight="false" outlineLevel="0" collapsed="false">
      <c r="A9" s="4" t="s">
        <v>7</v>
      </c>
      <c r="C9" s="5" t="n">
        <f aca="false">COUNTIF('MASTER DATABASE'!S2:S931,"Google-verified")</f>
        <v>724</v>
      </c>
    </row>
    <row r="10" customFormat="false" ht="15" hidden="false" customHeight="false" outlineLevel="0" collapsed="false">
      <c r="A10" s="4" t="s">
        <v>8</v>
      </c>
      <c r="C10" s="5" t="n">
        <f aca="false">COUNTIF('MASTER DATABASE'!T2:T931,"A - High commercial relevance")</f>
        <v>152</v>
      </c>
    </row>
    <row r="11" customFormat="false" ht="15" hidden="false" customHeight="false" outlineLevel="0" collapsed="false">
      <c r="A11" s="4" t="s">
        <v>9</v>
      </c>
      <c r="C11" s="5" t="n">
        <f aca="false">COUNTIF('MASTER DATABASE'!T2:T931,"B - Potential advertiser")</f>
        <v>407</v>
      </c>
    </row>
    <row r="13" customFormat="false" ht="15" hidden="false" customHeight="false" outlineLevel="0" collapsed="false">
      <c r="A13" s="6" t="s">
        <v>10</v>
      </c>
      <c r="C13" s="7" t="s">
        <v>11</v>
      </c>
    </row>
    <row r="14" customFormat="false" ht="15" hidden="false" customHeight="false" outlineLevel="0" collapsed="false">
      <c r="A14" s="6" t="s">
        <v>12</v>
      </c>
      <c r="C14" s="8" t="n">
        <f aca="false">C5/700</f>
        <v>1.32857142857143</v>
      </c>
    </row>
    <row r="16" customFormat="false" ht="15" hidden="false" customHeight="false" outlineLevel="0" collapsed="false">
      <c r="A16" s="3" t="s">
        <v>13</v>
      </c>
      <c r="B16" s="3"/>
      <c r="C16" s="3"/>
      <c r="D16" s="3"/>
      <c r="E16" s="3"/>
      <c r="F16" s="3"/>
    </row>
    <row r="17" customFormat="false" ht="15" hidden="false" customHeight="false" outlineLevel="0" collapsed="false">
      <c r="A17" s="9" t="s">
        <v>14</v>
      </c>
      <c r="B17" s="9" t="s">
        <v>4</v>
      </c>
      <c r="C17" s="9" t="s">
        <v>5</v>
      </c>
      <c r="D17" s="9" t="s">
        <v>15</v>
      </c>
      <c r="E17" s="9" t="s">
        <v>16</v>
      </c>
      <c r="F17" s="9" t="s">
        <v>17</v>
      </c>
    </row>
    <row r="18" customFormat="false" ht="15" hidden="false" customHeight="false" outlineLevel="0" collapsed="false">
      <c r="A18" s="4" t="s">
        <v>18</v>
      </c>
      <c r="B18" s="10" t="n">
        <f aca="false">COUNTIFS('MASTER DATABASE'!C2:C931,$B$17,'MASTER DATABASE'!E2:E931,$A18)</f>
        <v>34</v>
      </c>
      <c r="C18" s="10" t="n">
        <f aca="false">COUNTIFS('MASTER DATABASE'!C2:C931,$C$17,'MASTER DATABASE'!E2:E931,$A18)</f>
        <v>63</v>
      </c>
      <c r="D18" s="10" t="n">
        <f aca="false">SUM(B18:C18)</f>
        <v>97</v>
      </c>
      <c r="E18" s="10" t="n">
        <f aca="false">COUNTIFS('MASTER DATABASE'!E2:E931,$A18,'MASTER DATABASE'!T2:T931,"A - High commercial relevance")</f>
        <v>7</v>
      </c>
      <c r="F18" s="11" t="n">
        <f aca="false">IFERROR(D18/$D$36,0)</f>
        <v>0.104301075268817</v>
      </c>
    </row>
    <row r="19" customFormat="false" ht="15" hidden="false" customHeight="false" outlineLevel="0" collapsed="false">
      <c r="A19" s="12" t="s">
        <v>19</v>
      </c>
      <c r="B19" s="13" t="n">
        <f aca="false">COUNTIFS('MASTER DATABASE'!C2:C931,$B$17,'MASTER DATABASE'!E2:E931,$A19)</f>
        <v>11</v>
      </c>
      <c r="C19" s="13" t="n">
        <f aca="false">COUNTIFS('MASTER DATABASE'!C2:C931,$C$17,'MASTER DATABASE'!E2:E931,$A19)</f>
        <v>14</v>
      </c>
      <c r="D19" s="13" t="n">
        <f aca="false">SUM(B19:C19)</f>
        <v>25</v>
      </c>
      <c r="E19" s="13" t="n">
        <f aca="false">COUNTIFS('MASTER DATABASE'!E2:E931,$A19,'MASTER DATABASE'!T2:T931,"A - High commercial relevance")</f>
        <v>4</v>
      </c>
      <c r="F19" s="14" t="n">
        <f aca="false">IFERROR(D19/$D$36,0)</f>
        <v>0.0268817204301075</v>
      </c>
    </row>
    <row r="20" customFormat="false" ht="15" hidden="false" customHeight="false" outlineLevel="0" collapsed="false">
      <c r="A20" s="4" t="s">
        <v>20</v>
      </c>
      <c r="B20" s="10" t="n">
        <f aca="false">COUNTIFS('MASTER DATABASE'!C2:C931,$B$17,'MASTER DATABASE'!E2:E931,$A20)</f>
        <v>15</v>
      </c>
      <c r="C20" s="10" t="n">
        <f aca="false">COUNTIFS('MASTER DATABASE'!C2:C931,$C$17,'MASTER DATABASE'!E2:E931,$A20)</f>
        <v>12</v>
      </c>
      <c r="D20" s="10" t="n">
        <f aca="false">SUM(B20:C20)</f>
        <v>27</v>
      </c>
      <c r="E20" s="10" t="n">
        <f aca="false">COUNTIFS('MASTER DATABASE'!E2:E931,$A20,'MASTER DATABASE'!T2:T931,"A - High commercial relevance")</f>
        <v>1</v>
      </c>
      <c r="F20" s="11" t="n">
        <f aca="false">IFERROR(D20/$D$36,0)</f>
        <v>0.0290322580645161</v>
      </c>
    </row>
    <row r="21" customFormat="false" ht="15" hidden="false" customHeight="false" outlineLevel="0" collapsed="false">
      <c r="A21" s="12" t="s">
        <v>21</v>
      </c>
      <c r="B21" s="13" t="n">
        <f aca="false">COUNTIFS('MASTER DATABASE'!C2:C931,$B$17,'MASTER DATABASE'!E2:E931,$A21)</f>
        <v>43</v>
      </c>
      <c r="C21" s="13" t="n">
        <f aca="false">COUNTIFS('MASTER DATABASE'!C2:C931,$C$17,'MASTER DATABASE'!E2:E931,$A21)</f>
        <v>79</v>
      </c>
      <c r="D21" s="13" t="n">
        <f aca="false">SUM(B21:C21)</f>
        <v>122</v>
      </c>
      <c r="E21" s="13" t="n">
        <f aca="false">COUNTIFS('MASTER DATABASE'!E2:E931,$A21,'MASTER DATABASE'!T2:T931,"A - High commercial relevance")</f>
        <v>11</v>
      </c>
      <c r="F21" s="14" t="n">
        <f aca="false">IFERROR(D21/$D$36,0)</f>
        <v>0.131182795698925</v>
      </c>
    </row>
    <row r="22" customFormat="false" ht="15" hidden="false" customHeight="false" outlineLevel="0" collapsed="false">
      <c r="A22" s="4" t="s">
        <v>22</v>
      </c>
      <c r="B22" s="10" t="n">
        <f aca="false">COUNTIFS('MASTER DATABASE'!C2:C931,$B$17,'MASTER DATABASE'!E2:E931,$A22)</f>
        <v>8</v>
      </c>
      <c r="C22" s="10" t="n">
        <f aca="false">COUNTIFS('MASTER DATABASE'!C2:C931,$C$17,'MASTER DATABASE'!E2:E931,$A22)</f>
        <v>10</v>
      </c>
      <c r="D22" s="10" t="n">
        <f aca="false">SUM(B22:C22)</f>
        <v>18</v>
      </c>
      <c r="E22" s="10" t="n">
        <f aca="false">COUNTIFS('MASTER DATABASE'!E2:E931,$A22,'MASTER DATABASE'!T2:T931,"A - High commercial relevance")</f>
        <v>1</v>
      </c>
      <c r="F22" s="11" t="n">
        <f aca="false">IFERROR(D22/$D$36,0)</f>
        <v>0.0193548387096774</v>
      </c>
    </row>
    <row r="23" customFormat="false" ht="15" hidden="false" customHeight="false" outlineLevel="0" collapsed="false">
      <c r="A23" s="12" t="s">
        <v>23</v>
      </c>
      <c r="B23" s="13" t="n">
        <f aca="false">COUNTIFS('MASTER DATABASE'!C2:C931,$B$17,'MASTER DATABASE'!E2:E931,$A23)</f>
        <v>31</v>
      </c>
      <c r="C23" s="13" t="n">
        <f aca="false">COUNTIFS('MASTER DATABASE'!C2:C931,$C$17,'MASTER DATABASE'!E2:E931,$A23)</f>
        <v>29</v>
      </c>
      <c r="D23" s="13" t="n">
        <f aca="false">SUM(B23:C23)</f>
        <v>60</v>
      </c>
      <c r="E23" s="13" t="n">
        <f aca="false">COUNTIFS('MASTER DATABASE'!E2:E931,$A23,'MASTER DATABASE'!T2:T931,"A - High commercial relevance")</f>
        <v>18</v>
      </c>
      <c r="F23" s="14" t="n">
        <f aca="false">IFERROR(D23/$D$36,0)</f>
        <v>0.0645161290322581</v>
      </c>
    </row>
    <row r="24" customFormat="false" ht="15" hidden="false" customHeight="false" outlineLevel="0" collapsed="false">
      <c r="A24" s="4" t="s">
        <v>24</v>
      </c>
      <c r="B24" s="10" t="n">
        <f aca="false">COUNTIFS('MASTER DATABASE'!C2:C931,$B$17,'MASTER DATABASE'!E2:E931,$A24)</f>
        <v>6</v>
      </c>
      <c r="C24" s="10" t="n">
        <f aca="false">COUNTIFS('MASTER DATABASE'!C2:C931,$C$17,'MASTER DATABASE'!E2:E931,$A24)</f>
        <v>3</v>
      </c>
      <c r="D24" s="10" t="n">
        <f aca="false">SUM(B24:C24)</f>
        <v>9</v>
      </c>
      <c r="E24" s="10" t="n">
        <f aca="false">COUNTIFS('MASTER DATABASE'!E2:E931,$A24,'MASTER DATABASE'!T2:T931,"A - High commercial relevance")</f>
        <v>3</v>
      </c>
      <c r="F24" s="11" t="n">
        <f aca="false">IFERROR(D24/$D$36,0)</f>
        <v>0.00967741935483871</v>
      </c>
    </row>
    <row r="25" customFormat="false" ht="15" hidden="false" customHeight="false" outlineLevel="0" collapsed="false">
      <c r="A25" s="12" t="s">
        <v>25</v>
      </c>
      <c r="B25" s="13" t="n">
        <f aca="false">COUNTIFS('MASTER DATABASE'!C2:C931,$B$17,'MASTER DATABASE'!E2:E931,$A25)</f>
        <v>13</v>
      </c>
      <c r="C25" s="13" t="n">
        <f aca="false">COUNTIFS('MASTER DATABASE'!C2:C931,$C$17,'MASTER DATABASE'!E2:E931,$A25)</f>
        <v>24</v>
      </c>
      <c r="D25" s="13" t="n">
        <f aca="false">SUM(B25:C25)</f>
        <v>37</v>
      </c>
      <c r="E25" s="13" t="n">
        <f aca="false">COUNTIFS('MASTER DATABASE'!E2:E931,$A25,'MASTER DATABASE'!T2:T931,"A - High commercial relevance")</f>
        <v>5</v>
      </c>
      <c r="F25" s="14" t="n">
        <f aca="false">IFERROR(D25/$D$36,0)</f>
        <v>0.0397849462365591</v>
      </c>
    </row>
    <row r="26" customFormat="false" ht="15" hidden="false" customHeight="false" outlineLevel="0" collapsed="false">
      <c r="A26" s="4" t="s">
        <v>26</v>
      </c>
      <c r="B26" s="10" t="n">
        <f aca="false">COUNTIFS('MASTER DATABASE'!C2:C931,$B$17,'MASTER DATABASE'!E2:E931,$A26)</f>
        <v>12</v>
      </c>
      <c r="C26" s="10" t="n">
        <f aca="false">COUNTIFS('MASTER DATABASE'!C2:C931,$C$17,'MASTER DATABASE'!E2:E931,$A26)</f>
        <v>21</v>
      </c>
      <c r="D26" s="10" t="n">
        <f aca="false">SUM(B26:C26)</f>
        <v>33</v>
      </c>
      <c r="E26" s="10" t="n">
        <f aca="false">COUNTIFS('MASTER DATABASE'!E2:E931,$A26,'MASTER DATABASE'!T2:T931,"A - High commercial relevance")</f>
        <v>1</v>
      </c>
      <c r="F26" s="11" t="n">
        <f aca="false">IFERROR(D26/$D$36,0)</f>
        <v>0.0354838709677419</v>
      </c>
    </row>
    <row r="27" customFormat="false" ht="15" hidden="false" customHeight="false" outlineLevel="0" collapsed="false">
      <c r="A27" s="12" t="s">
        <v>27</v>
      </c>
      <c r="B27" s="13" t="n">
        <f aca="false">COUNTIFS('MASTER DATABASE'!C2:C931,$B$17,'MASTER DATABASE'!E2:E931,$A27)</f>
        <v>11</v>
      </c>
      <c r="C27" s="13" t="n">
        <f aca="false">COUNTIFS('MASTER DATABASE'!C2:C931,$C$17,'MASTER DATABASE'!E2:E931,$A27)</f>
        <v>14</v>
      </c>
      <c r="D27" s="13" t="n">
        <f aca="false">SUM(B27:C27)</f>
        <v>25</v>
      </c>
      <c r="E27" s="13" t="n">
        <f aca="false">COUNTIFS('MASTER DATABASE'!E2:E931,$A27,'MASTER DATABASE'!T2:T931,"A - High commercial relevance")</f>
        <v>3</v>
      </c>
      <c r="F27" s="14" t="n">
        <f aca="false">IFERROR(D27/$D$36,0)</f>
        <v>0.0268817204301075</v>
      </c>
    </row>
    <row r="28" customFormat="false" ht="15" hidden="false" customHeight="false" outlineLevel="0" collapsed="false">
      <c r="A28" s="4" t="s">
        <v>28</v>
      </c>
      <c r="B28" s="10" t="n">
        <f aca="false">COUNTIFS('MASTER DATABASE'!C2:C931,$B$17,'MASTER DATABASE'!E2:E931,$A28)</f>
        <v>56</v>
      </c>
      <c r="C28" s="10" t="n">
        <f aca="false">COUNTIFS('MASTER DATABASE'!C2:C931,$C$17,'MASTER DATABASE'!E2:E931,$A28)</f>
        <v>19</v>
      </c>
      <c r="D28" s="10" t="n">
        <f aca="false">SUM(B28:C28)</f>
        <v>75</v>
      </c>
      <c r="E28" s="10" t="n">
        <f aca="false">COUNTIFS('MASTER DATABASE'!E2:E931,$A28,'MASTER DATABASE'!T2:T931,"A - High commercial relevance")</f>
        <v>13</v>
      </c>
      <c r="F28" s="11" t="n">
        <f aca="false">IFERROR(D28/$D$36,0)</f>
        <v>0.0806451612903226</v>
      </c>
    </row>
    <row r="29" customFormat="false" ht="15" hidden="false" customHeight="false" outlineLevel="0" collapsed="false">
      <c r="A29" s="12" t="s">
        <v>29</v>
      </c>
      <c r="B29" s="13" t="n">
        <f aca="false">COUNTIFS('MASTER DATABASE'!C2:C931,$B$17,'MASTER DATABASE'!E2:E931,$A29)</f>
        <v>43</v>
      </c>
      <c r="C29" s="13" t="n">
        <f aca="false">COUNTIFS('MASTER DATABASE'!C2:C931,$C$17,'MASTER DATABASE'!E2:E931,$A29)</f>
        <v>12</v>
      </c>
      <c r="D29" s="13" t="n">
        <f aca="false">SUM(B29:C29)</f>
        <v>55</v>
      </c>
      <c r="E29" s="13" t="n">
        <f aca="false">COUNTIFS('MASTER DATABASE'!E2:E931,$A29,'MASTER DATABASE'!T2:T931,"A - High commercial relevance")</f>
        <v>13</v>
      </c>
      <c r="F29" s="14" t="n">
        <f aca="false">IFERROR(D29/$D$36,0)</f>
        <v>0.0591397849462366</v>
      </c>
    </row>
    <row r="30" customFormat="false" ht="15" hidden="false" customHeight="false" outlineLevel="0" collapsed="false">
      <c r="A30" s="4" t="s">
        <v>30</v>
      </c>
      <c r="B30" s="10" t="n">
        <f aca="false">COUNTIFS('MASTER DATABASE'!C2:C931,$B$17,'MASTER DATABASE'!E2:E931,$A30)</f>
        <v>41</v>
      </c>
      <c r="C30" s="10" t="n">
        <f aca="false">COUNTIFS('MASTER DATABASE'!C2:C931,$C$17,'MASTER DATABASE'!E2:E931,$A30)</f>
        <v>32</v>
      </c>
      <c r="D30" s="10" t="n">
        <f aca="false">SUM(B30:C30)</f>
        <v>73</v>
      </c>
      <c r="E30" s="10" t="n">
        <f aca="false">COUNTIFS('MASTER DATABASE'!E2:E931,$A30,'MASTER DATABASE'!T2:T931,"A - High commercial relevance")</f>
        <v>9</v>
      </c>
      <c r="F30" s="11" t="n">
        <f aca="false">IFERROR(D30/$D$36,0)</f>
        <v>0.078494623655914</v>
      </c>
    </row>
    <row r="31" customFormat="false" ht="15" hidden="false" customHeight="false" outlineLevel="0" collapsed="false">
      <c r="A31" s="12" t="s">
        <v>31</v>
      </c>
      <c r="B31" s="13" t="n">
        <f aca="false">COUNTIFS('MASTER DATABASE'!C2:C931,$B$17,'MASTER DATABASE'!E2:E931,$A31)</f>
        <v>39</v>
      </c>
      <c r="C31" s="13" t="n">
        <f aca="false">COUNTIFS('MASTER DATABASE'!C2:C931,$C$17,'MASTER DATABASE'!E2:E931,$A31)</f>
        <v>28</v>
      </c>
      <c r="D31" s="13" t="n">
        <f aca="false">SUM(B31:C31)</f>
        <v>67</v>
      </c>
      <c r="E31" s="13" t="n">
        <f aca="false">COUNTIFS('MASTER DATABASE'!E2:E931,$A31,'MASTER DATABASE'!T2:T931,"A - High commercial relevance")</f>
        <v>15</v>
      </c>
      <c r="F31" s="14" t="n">
        <f aca="false">IFERROR(D31/$D$36,0)</f>
        <v>0.0720430107526882</v>
      </c>
    </row>
    <row r="32" customFormat="false" ht="15" hidden="false" customHeight="false" outlineLevel="0" collapsed="false">
      <c r="A32" s="4" t="s">
        <v>32</v>
      </c>
      <c r="B32" s="10" t="n">
        <f aca="false">COUNTIFS('MASTER DATABASE'!C2:C931,$B$17,'MASTER DATABASE'!E2:E931,$A32)</f>
        <v>63</v>
      </c>
      <c r="C32" s="10" t="n">
        <f aca="false">COUNTIFS('MASTER DATABASE'!C2:C931,$C$17,'MASTER DATABASE'!E2:E931,$A32)</f>
        <v>34</v>
      </c>
      <c r="D32" s="10" t="n">
        <f aca="false">SUM(B32:C32)</f>
        <v>97</v>
      </c>
      <c r="E32" s="10" t="n">
        <f aca="false">COUNTIFS('MASTER DATABASE'!E2:E931,$A32,'MASTER DATABASE'!T2:T931,"A - High commercial relevance")</f>
        <v>19</v>
      </c>
      <c r="F32" s="11" t="n">
        <f aca="false">IFERROR(D32/$D$36,0)</f>
        <v>0.104301075268817</v>
      </c>
    </row>
    <row r="33" customFormat="false" ht="15" hidden="false" customHeight="false" outlineLevel="0" collapsed="false">
      <c r="A33" s="12" t="s">
        <v>33</v>
      </c>
      <c r="B33" s="13" t="n">
        <f aca="false">COUNTIFS('MASTER DATABASE'!C2:C931,$B$17,'MASTER DATABASE'!E2:E931,$A33)</f>
        <v>20</v>
      </c>
      <c r="C33" s="13" t="n">
        <f aca="false">COUNTIFS('MASTER DATABASE'!C2:C931,$C$17,'MASTER DATABASE'!E2:E931,$A33)</f>
        <v>13</v>
      </c>
      <c r="D33" s="13" t="n">
        <f aca="false">SUM(B33:C33)</f>
        <v>33</v>
      </c>
      <c r="E33" s="13" t="n">
        <f aca="false">COUNTIFS('MASTER DATABASE'!E2:E931,$A33,'MASTER DATABASE'!T2:T931,"A - High commercial relevance")</f>
        <v>6</v>
      </c>
      <c r="F33" s="14" t="n">
        <f aca="false">IFERROR(D33/$D$36,0)</f>
        <v>0.0354838709677419</v>
      </c>
    </row>
    <row r="34" customFormat="false" ht="15" hidden="false" customHeight="false" outlineLevel="0" collapsed="false">
      <c r="A34" s="4" t="s">
        <v>34</v>
      </c>
      <c r="B34" s="10" t="n">
        <f aca="false">COUNTIFS('MASTER DATABASE'!C2:C931,$B$17,'MASTER DATABASE'!E2:E931,$A34)</f>
        <v>29</v>
      </c>
      <c r="C34" s="10" t="n">
        <f aca="false">COUNTIFS('MASTER DATABASE'!C2:C931,$C$17,'MASTER DATABASE'!E2:E931,$A34)</f>
        <v>30</v>
      </c>
      <c r="D34" s="10" t="n">
        <f aca="false">SUM(B34:C34)</f>
        <v>59</v>
      </c>
      <c r="E34" s="10" t="n">
        <f aca="false">COUNTIFS('MASTER DATABASE'!E2:E931,$A34,'MASTER DATABASE'!T2:T931,"A - High commercial relevance")</f>
        <v>20</v>
      </c>
      <c r="F34" s="11" t="n">
        <f aca="false">IFERROR(D34/$D$36,0)</f>
        <v>0.0634408602150538</v>
      </c>
    </row>
    <row r="35" customFormat="false" ht="15" hidden="false" customHeight="false" outlineLevel="0" collapsed="false">
      <c r="A35" s="12" t="s">
        <v>35</v>
      </c>
      <c r="B35" s="13" t="n">
        <f aca="false">COUNTIFS('MASTER DATABASE'!C2:C931,$B$17,'MASTER DATABASE'!E2:E931,$A35)</f>
        <v>3</v>
      </c>
      <c r="C35" s="13" t="n">
        <f aca="false">COUNTIFS('MASTER DATABASE'!C2:C931,$C$17,'MASTER DATABASE'!E2:E931,$A35)</f>
        <v>15</v>
      </c>
      <c r="D35" s="13" t="n">
        <f aca="false">SUM(B35:C35)</f>
        <v>18</v>
      </c>
      <c r="E35" s="13" t="n">
        <f aca="false">COUNTIFS('MASTER DATABASE'!E2:E931,$A35,'MASTER DATABASE'!T2:T931,"A - High commercial relevance")</f>
        <v>3</v>
      </c>
      <c r="F35" s="14" t="n">
        <f aca="false">IFERROR(D35/$D$36,0)</f>
        <v>0.0193548387096774</v>
      </c>
    </row>
    <row r="36" customFormat="false" ht="15" hidden="false" customHeight="false" outlineLevel="0" collapsed="false">
      <c r="A36" s="15" t="s">
        <v>36</v>
      </c>
      <c r="B36" s="16" t="n">
        <f aca="false">SUM(B18:B35)</f>
        <v>478</v>
      </c>
      <c r="C36" s="16" t="n">
        <f aca="false">SUM(C18:C35)</f>
        <v>452</v>
      </c>
      <c r="D36" s="16" t="n">
        <f aca="false">SUM(D18:D35)</f>
        <v>930</v>
      </c>
      <c r="E36" s="16" t="n">
        <f aca="false">SUM(E18:E35)</f>
        <v>152</v>
      </c>
      <c r="F36" s="17" t="n">
        <f aca="false">IFERROR(D36/$D$36,0)</f>
        <v>1</v>
      </c>
    </row>
    <row r="38" customFormat="false" ht="15" hidden="false" customHeight="false" outlineLevel="0" collapsed="false">
      <c r="A38" s="6" t="s">
        <v>37</v>
      </c>
      <c r="B38" s="2" t="s">
        <v>38</v>
      </c>
      <c r="C38" s="2"/>
      <c r="D38" s="2"/>
      <c r="E38" s="2"/>
      <c r="F38" s="2"/>
    </row>
  </sheetData>
  <mergeCells count="5">
    <mergeCell ref="A1:F1"/>
    <mergeCell ref="A2:F2"/>
    <mergeCell ref="A4:F4"/>
    <mergeCell ref="A16:F16"/>
    <mergeCell ref="B38:F3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2"/>
    <col collapsed="false" customWidth="true" hidden="false" outlineLevel="0" max="2" min="2" style="0" width="30"/>
    <col collapsed="false" customWidth="true" hidden="false" outlineLevel="0" max="6" min="3" style="0" width="22"/>
  </cols>
  <sheetData>
    <row r="1" customFormat="false" ht="19.7" hidden="false" customHeight="false" outlineLevel="0" collapsed="false">
      <c r="A1" s="1" t="s">
        <v>39</v>
      </c>
      <c r="B1" s="1"/>
      <c r="C1" s="1"/>
    </row>
    <row r="3" customFormat="false" ht="45.75" hidden="false" customHeight="true" outlineLevel="0" collapsed="false">
      <c r="A3" s="18" t="s">
        <v>40</v>
      </c>
      <c r="B3" s="19" t="s">
        <v>41</v>
      </c>
      <c r="C3" s="19"/>
      <c r="D3" s="19"/>
      <c r="E3" s="19"/>
      <c r="F3" s="19"/>
    </row>
    <row r="4" customFormat="false" ht="45.75" hidden="false" customHeight="true" outlineLevel="0" collapsed="false">
      <c r="A4" s="18" t="s">
        <v>42</v>
      </c>
      <c r="B4" s="19" t="s">
        <v>43</v>
      </c>
      <c r="C4" s="19"/>
      <c r="D4" s="19"/>
      <c r="E4" s="19"/>
      <c r="F4" s="19"/>
    </row>
    <row r="5" customFormat="false" ht="45.75" hidden="false" customHeight="true" outlineLevel="0" collapsed="false">
      <c r="A5" s="18" t="s">
        <v>44</v>
      </c>
      <c r="B5" s="19" t="s">
        <v>45</v>
      </c>
      <c r="C5" s="19"/>
      <c r="D5" s="19"/>
      <c r="E5" s="19"/>
      <c r="F5" s="19"/>
    </row>
    <row r="6" customFormat="false" ht="45.75" hidden="false" customHeight="true" outlineLevel="0" collapsed="false">
      <c r="A6" s="18" t="s">
        <v>46</v>
      </c>
      <c r="B6" s="19" t="s">
        <v>47</v>
      </c>
      <c r="C6" s="19"/>
      <c r="D6" s="19"/>
      <c r="E6" s="19"/>
      <c r="F6" s="19"/>
    </row>
    <row r="7" customFormat="false" ht="45.75" hidden="false" customHeight="true" outlineLevel="0" collapsed="false">
      <c r="A7" s="18" t="s">
        <v>48</v>
      </c>
      <c r="B7" s="19" t="s">
        <v>49</v>
      </c>
      <c r="C7" s="19"/>
      <c r="D7" s="19"/>
      <c r="E7" s="19"/>
      <c r="F7" s="19"/>
    </row>
    <row r="8" customFormat="false" ht="45.75" hidden="false" customHeight="true" outlineLevel="0" collapsed="false">
      <c r="A8" s="18" t="s">
        <v>50</v>
      </c>
      <c r="B8" s="19" t="s">
        <v>51</v>
      </c>
      <c r="C8" s="19"/>
      <c r="D8" s="19"/>
      <c r="E8" s="19"/>
      <c r="F8" s="19"/>
    </row>
    <row r="9" customFormat="false" ht="45.75" hidden="false" customHeight="true" outlineLevel="0" collapsed="false">
      <c r="A9" s="18" t="s">
        <v>52</v>
      </c>
      <c r="B9" s="19" t="s">
        <v>53</v>
      </c>
      <c r="C9" s="19"/>
      <c r="D9" s="19"/>
      <c r="E9" s="19"/>
      <c r="F9" s="19"/>
    </row>
    <row r="10" customFormat="false" ht="45.75" hidden="false" customHeight="true" outlineLevel="0" collapsed="false">
      <c r="A10" s="18" t="s">
        <v>54</v>
      </c>
      <c r="B10" s="19" t="s">
        <v>55</v>
      </c>
      <c r="C10" s="19"/>
      <c r="D10" s="19"/>
      <c r="E10" s="19"/>
      <c r="F10" s="19"/>
    </row>
    <row r="11" customFormat="false" ht="45.75" hidden="false" customHeight="true" outlineLevel="0" collapsed="false">
      <c r="A11" s="18" t="s">
        <v>56</v>
      </c>
      <c r="B11" s="19" t="s">
        <v>57</v>
      </c>
      <c r="C11" s="19"/>
      <c r="D11" s="19"/>
      <c r="E11" s="19"/>
      <c r="F11" s="19"/>
    </row>
  </sheetData>
  <mergeCells count="10">
    <mergeCell ref="A1:C1"/>
    <mergeCell ref="B3:F3"/>
    <mergeCell ref="B4:F4"/>
    <mergeCell ref="B5:F5"/>
    <mergeCell ref="B6:F6"/>
    <mergeCell ref="B7:F7"/>
    <mergeCell ref="B8:F8"/>
    <mergeCell ref="B9:F9"/>
    <mergeCell ref="B10:F10"/>
    <mergeCell ref="B11:F1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W93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38"/>
    <col collapsed="false" customWidth="true" hidden="false" outlineLevel="0" max="4" min="3" style="0" width="26"/>
    <col collapsed="false" customWidth="true" hidden="false" outlineLevel="0" max="5" min="5" style="0" width="20"/>
    <col collapsed="false" customWidth="true" hidden="false" outlineLevel="0" max="6" min="6" style="0" width="26"/>
    <col collapsed="false" customWidth="true" hidden="false" outlineLevel="0" max="7" min="7" style="0" width="46"/>
    <col collapsed="false" customWidth="true" hidden="false" outlineLevel="0" max="8" min="8" style="0" width="17"/>
    <col collapsed="false" customWidth="true" hidden="false" outlineLevel="0" max="9" min="9" style="0" width="26"/>
    <col collapsed="false" customWidth="true" hidden="false" outlineLevel="0" max="10" min="10" style="0" width="30"/>
    <col collapsed="false" customWidth="true" hidden="false" outlineLevel="0" max="11" min="11" style="0" width="9"/>
    <col collapsed="false" customWidth="true" hidden="false" outlineLevel="0" max="13" min="12" style="0" width="10"/>
    <col collapsed="false" customWidth="true" hidden="false" outlineLevel="0" max="15" min="14" style="0" width="12"/>
    <col collapsed="false" customWidth="true" hidden="false" outlineLevel="0" max="16" min="16" style="0" width="26"/>
    <col collapsed="false" customWidth="true" hidden="false" outlineLevel="0" max="18" min="17" style="0" width="12"/>
    <col collapsed="false" customWidth="true" hidden="false" outlineLevel="0" max="19" min="19" style="0" width="20"/>
    <col collapsed="false" customWidth="true" hidden="false" outlineLevel="0" max="20" min="20" style="0" width="28"/>
    <col collapsed="false" customWidth="true" hidden="false" outlineLevel="0" max="21" min="21" style="0" width="14"/>
    <col collapsed="false" customWidth="true" hidden="false" outlineLevel="0" max="22" min="22" style="0" width="16"/>
    <col collapsed="false" customWidth="true" hidden="false" outlineLevel="0" max="23" min="23" style="0" width="30"/>
  </cols>
  <sheetData>
    <row r="1" customFormat="false" ht="35.05" hidden="false" customHeight="false" outlineLevel="0" collapsed="false">
      <c r="A1" s="9" t="s">
        <v>58</v>
      </c>
      <c r="B1" s="9" t="s">
        <v>59</v>
      </c>
      <c r="C1" s="9" t="s">
        <v>60</v>
      </c>
      <c r="D1" s="9" t="s">
        <v>61</v>
      </c>
      <c r="E1" s="9" t="s">
        <v>14</v>
      </c>
      <c r="F1" s="9" t="s">
        <v>62</v>
      </c>
      <c r="G1" s="9" t="s">
        <v>63</v>
      </c>
      <c r="H1" s="9" t="s">
        <v>64</v>
      </c>
      <c r="I1" s="9" t="s">
        <v>65</v>
      </c>
      <c r="J1" s="9" t="s">
        <v>66</v>
      </c>
      <c r="K1" s="9" t="s">
        <v>67</v>
      </c>
      <c r="L1" s="9" t="s">
        <v>68</v>
      </c>
      <c r="M1" s="9" t="s">
        <v>69</v>
      </c>
      <c r="N1" s="9" t="s">
        <v>70</v>
      </c>
      <c r="O1" s="9" t="s">
        <v>71</v>
      </c>
      <c r="P1" s="9" t="s">
        <v>72</v>
      </c>
      <c r="Q1" s="9" t="s">
        <v>73</v>
      </c>
      <c r="R1" s="9" t="s">
        <v>74</v>
      </c>
      <c r="S1" s="9" t="s">
        <v>75</v>
      </c>
      <c r="T1" s="9" t="s">
        <v>76</v>
      </c>
      <c r="U1" s="9" t="s">
        <v>77</v>
      </c>
      <c r="V1" s="9" t="s">
        <v>78</v>
      </c>
      <c r="W1" s="9" t="s">
        <v>79</v>
      </c>
    </row>
    <row r="2" customFormat="false" ht="15" hidden="false" customHeight="false" outlineLevel="0" collapsed="false">
      <c r="A2" s="20" t="n">
        <v>1</v>
      </c>
      <c r="B2" s="20" t="s">
        <v>80</v>
      </c>
      <c r="C2" s="20" t="s">
        <v>4</v>
      </c>
      <c r="D2" s="20" t="s">
        <v>81</v>
      </c>
      <c r="E2" s="20" t="s">
        <v>18</v>
      </c>
      <c r="F2" s="20" t="s">
        <v>82</v>
      </c>
      <c r="G2" s="21" t="s">
        <v>83</v>
      </c>
      <c r="H2" s="20"/>
      <c r="I2" s="20"/>
      <c r="J2" s="20"/>
      <c r="K2" s="22"/>
      <c r="L2" s="23"/>
      <c r="M2" s="20" t="s">
        <v>84</v>
      </c>
      <c r="N2" s="24" t="n">
        <v>6.57427</v>
      </c>
      <c r="O2" s="24" t="n">
        <v>3.36322</v>
      </c>
      <c r="P2" s="20" t="s">
        <v>85</v>
      </c>
      <c r="Q2" s="20" t="s">
        <v>86</v>
      </c>
      <c r="R2" s="20" t="s">
        <v>86</v>
      </c>
      <c r="S2" s="20" t="s">
        <v>87</v>
      </c>
      <c r="T2" s="25" t="s">
        <v>88</v>
      </c>
      <c r="U2" s="20" t="s">
        <v>89</v>
      </c>
      <c r="V2" s="20" t="s">
        <v>90</v>
      </c>
      <c r="W2" s="21"/>
    </row>
    <row r="3" customFormat="false" ht="15" hidden="false" customHeight="false" outlineLevel="0" collapsed="false">
      <c r="A3" s="20" t="n">
        <v>2</v>
      </c>
      <c r="B3" s="20" t="s">
        <v>91</v>
      </c>
      <c r="C3" s="20" t="s">
        <v>4</v>
      </c>
      <c r="D3" s="20" t="s">
        <v>92</v>
      </c>
      <c r="E3" s="20" t="s">
        <v>18</v>
      </c>
      <c r="F3" s="20" t="s">
        <v>93</v>
      </c>
      <c r="G3" s="21" t="s">
        <v>94</v>
      </c>
      <c r="H3" s="20"/>
      <c r="I3" s="20"/>
      <c r="J3" s="20"/>
      <c r="K3" s="22"/>
      <c r="L3" s="23"/>
      <c r="M3" s="20" t="s">
        <v>84</v>
      </c>
      <c r="N3" s="24" t="n">
        <v>6.56739</v>
      </c>
      <c r="O3" s="24" t="n">
        <v>3.36724</v>
      </c>
      <c r="P3" s="20" t="s">
        <v>85</v>
      </c>
      <c r="Q3" s="20" t="s">
        <v>86</v>
      </c>
      <c r="R3" s="20" t="s">
        <v>86</v>
      </c>
      <c r="S3" s="20" t="s">
        <v>87</v>
      </c>
      <c r="T3" s="25" t="s">
        <v>88</v>
      </c>
      <c r="U3" s="20" t="s">
        <v>89</v>
      </c>
      <c r="V3" s="20" t="s">
        <v>90</v>
      </c>
      <c r="W3" s="21"/>
    </row>
    <row r="4" customFormat="false" ht="15" hidden="false" customHeight="false" outlineLevel="0" collapsed="false">
      <c r="A4" s="20" t="n">
        <v>3</v>
      </c>
      <c r="B4" s="20" t="s">
        <v>95</v>
      </c>
      <c r="C4" s="20" t="s">
        <v>4</v>
      </c>
      <c r="D4" s="20" t="s">
        <v>96</v>
      </c>
      <c r="E4" s="20" t="s">
        <v>18</v>
      </c>
      <c r="F4" s="20" t="s">
        <v>97</v>
      </c>
      <c r="G4" s="21" t="s">
        <v>98</v>
      </c>
      <c r="H4" s="20" t="s">
        <v>99</v>
      </c>
      <c r="I4" s="20"/>
      <c r="J4" s="20"/>
      <c r="K4" s="22"/>
      <c r="L4" s="23"/>
      <c r="M4" s="20" t="s">
        <v>100</v>
      </c>
      <c r="N4" s="24"/>
      <c r="O4" s="24"/>
      <c r="P4" s="20" t="s">
        <v>101</v>
      </c>
      <c r="Q4" s="20" t="s">
        <v>86</v>
      </c>
      <c r="R4" s="20" t="s">
        <v>86</v>
      </c>
      <c r="S4" s="20" t="s">
        <v>102</v>
      </c>
      <c r="T4" s="26" t="s">
        <v>103</v>
      </c>
      <c r="U4" s="20" t="s">
        <v>104</v>
      </c>
      <c r="V4" s="20" t="s">
        <v>90</v>
      </c>
      <c r="W4" s="21"/>
    </row>
    <row r="5" customFormat="false" ht="15" hidden="false" customHeight="false" outlineLevel="0" collapsed="false">
      <c r="A5" s="20" t="n">
        <v>4</v>
      </c>
      <c r="B5" s="20" t="s">
        <v>105</v>
      </c>
      <c r="C5" s="20" t="s">
        <v>4</v>
      </c>
      <c r="D5" s="20" t="s">
        <v>106</v>
      </c>
      <c r="E5" s="20" t="s">
        <v>18</v>
      </c>
      <c r="F5" s="20" t="s">
        <v>97</v>
      </c>
      <c r="G5" s="21" t="s">
        <v>107</v>
      </c>
      <c r="H5" s="20" t="s">
        <v>108</v>
      </c>
      <c r="I5" s="20"/>
      <c r="J5" s="20" t="s">
        <v>109</v>
      </c>
      <c r="K5" s="22"/>
      <c r="L5" s="23"/>
      <c r="M5" s="20" t="s">
        <v>100</v>
      </c>
      <c r="N5" s="24" t="n">
        <v>6.5607853</v>
      </c>
      <c r="O5" s="24" t="n">
        <v>3.369635</v>
      </c>
      <c r="P5" s="20" t="s">
        <v>110</v>
      </c>
      <c r="Q5" s="20" t="s">
        <v>86</v>
      </c>
      <c r="R5" s="20" t="s">
        <v>86</v>
      </c>
      <c r="S5" s="20" t="s">
        <v>87</v>
      </c>
      <c r="T5" s="26" t="s">
        <v>103</v>
      </c>
      <c r="U5" s="20" t="s">
        <v>104</v>
      </c>
      <c r="V5" s="20" t="s">
        <v>90</v>
      </c>
      <c r="W5" s="21"/>
    </row>
    <row r="6" customFormat="false" ht="15" hidden="false" customHeight="false" outlineLevel="0" collapsed="false">
      <c r="A6" s="20" t="n">
        <v>5</v>
      </c>
      <c r="B6" s="20" t="s">
        <v>111</v>
      </c>
      <c r="C6" s="20" t="s">
        <v>4</v>
      </c>
      <c r="D6" s="20" t="s">
        <v>112</v>
      </c>
      <c r="E6" s="20" t="s">
        <v>18</v>
      </c>
      <c r="F6" s="20" t="s">
        <v>113</v>
      </c>
      <c r="G6" s="21" t="s">
        <v>114</v>
      </c>
      <c r="H6" s="20" t="s">
        <v>115</v>
      </c>
      <c r="I6" s="20"/>
      <c r="J6" s="20" t="s">
        <v>116</v>
      </c>
      <c r="K6" s="22" t="n">
        <v>4.2</v>
      </c>
      <c r="L6" s="23" t="n">
        <v>49</v>
      </c>
      <c r="M6" s="20" t="s">
        <v>100</v>
      </c>
      <c r="N6" s="24" t="n">
        <v>6.5594616</v>
      </c>
      <c r="O6" s="24" t="n">
        <v>3.3686859</v>
      </c>
      <c r="P6" s="20" t="s">
        <v>110</v>
      </c>
      <c r="Q6" s="20" t="s">
        <v>86</v>
      </c>
      <c r="R6" s="20" t="s">
        <v>86</v>
      </c>
      <c r="S6" s="20" t="s">
        <v>87</v>
      </c>
      <c r="T6" s="27" t="s">
        <v>117</v>
      </c>
      <c r="U6" s="20" t="s">
        <v>118</v>
      </c>
      <c r="V6" s="20" t="s">
        <v>90</v>
      </c>
      <c r="W6" s="21"/>
    </row>
    <row r="7" customFormat="false" ht="23.85" hidden="false" customHeight="false" outlineLevel="0" collapsed="false">
      <c r="A7" s="20" t="n">
        <v>6</v>
      </c>
      <c r="B7" s="20" t="s">
        <v>119</v>
      </c>
      <c r="C7" s="20" t="s">
        <v>4</v>
      </c>
      <c r="D7" s="20" t="s">
        <v>120</v>
      </c>
      <c r="E7" s="20" t="s">
        <v>18</v>
      </c>
      <c r="F7" s="20" t="s">
        <v>121</v>
      </c>
      <c r="G7" s="21" t="s">
        <v>122</v>
      </c>
      <c r="H7" s="20" t="s">
        <v>123</v>
      </c>
      <c r="I7" s="20"/>
      <c r="J7" s="20" t="s">
        <v>124</v>
      </c>
      <c r="K7" s="22" t="n">
        <v>5</v>
      </c>
      <c r="L7" s="23" t="n">
        <v>1</v>
      </c>
      <c r="M7" s="20" t="s">
        <v>100</v>
      </c>
      <c r="N7" s="24" t="n">
        <v>6.5581386</v>
      </c>
      <c r="O7" s="24" t="n">
        <v>3.3708764</v>
      </c>
      <c r="P7" s="20" t="s">
        <v>125</v>
      </c>
      <c r="Q7" s="20" t="s">
        <v>86</v>
      </c>
      <c r="R7" s="20" t="s">
        <v>86</v>
      </c>
      <c r="S7" s="20" t="s">
        <v>87</v>
      </c>
      <c r="T7" s="26" t="s">
        <v>103</v>
      </c>
      <c r="U7" s="20" t="s">
        <v>104</v>
      </c>
      <c r="V7" s="20" t="s">
        <v>90</v>
      </c>
      <c r="W7" s="21"/>
    </row>
    <row r="8" customFormat="false" ht="15" hidden="false" customHeight="false" outlineLevel="0" collapsed="false">
      <c r="A8" s="20" t="n">
        <v>7</v>
      </c>
      <c r="B8" s="20" t="s">
        <v>126</v>
      </c>
      <c r="C8" s="20" t="s">
        <v>4</v>
      </c>
      <c r="D8" s="20" t="s">
        <v>127</v>
      </c>
      <c r="E8" s="20" t="s">
        <v>18</v>
      </c>
      <c r="F8" s="20" t="s">
        <v>97</v>
      </c>
      <c r="G8" s="21" t="s">
        <v>128</v>
      </c>
      <c r="H8" s="20" t="s">
        <v>129</v>
      </c>
      <c r="I8" s="20"/>
      <c r="J8" s="20"/>
      <c r="K8" s="22"/>
      <c r="L8" s="23"/>
      <c r="M8" s="20" t="s">
        <v>100</v>
      </c>
      <c r="N8" s="24"/>
      <c r="O8" s="24"/>
      <c r="P8" s="20" t="s">
        <v>101</v>
      </c>
      <c r="Q8" s="20" t="s">
        <v>86</v>
      </c>
      <c r="R8" s="20" t="s">
        <v>86</v>
      </c>
      <c r="S8" s="20" t="s">
        <v>102</v>
      </c>
      <c r="T8" s="26" t="s">
        <v>103</v>
      </c>
      <c r="U8" s="20" t="s">
        <v>104</v>
      </c>
      <c r="V8" s="20" t="s">
        <v>90</v>
      </c>
      <c r="W8" s="21"/>
    </row>
    <row r="9" customFormat="false" ht="15" hidden="false" customHeight="false" outlineLevel="0" collapsed="false">
      <c r="A9" s="20" t="n">
        <v>8</v>
      </c>
      <c r="B9" s="20" t="s">
        <v>130</v>
      </c>
      <c r="C9" s="20" t="s">
        <v>4</v>
      </c>
      <c r="D9" s="20" t="s">
        <v>131</v>
      </c>
      <c r="E9" s="20" t="s">
        <v>18</v>
      </c>
      <c r="F9" s="20" t="s">
        <v>113</v>
      </c>
      <c r="G9" s="21" t="s">
        <v>132</v>
      </c>
      <c r="H9" s="20" t="s">
        <v>133</v>
      </c>
      <c r="I9" s="20"/>
      <c r="J9" s="20"/>
      <c r="K9" s="22" t="n">
        <v>4</v>
      </c>
      <c r="L9" s="23" t="n">
        <v>39</v>
      </c>
      <c r="M9" s="20" t="s">
        <v>100</v>
      </c>
      <c r="N9" s="24"/>
      <c r="O9" s="24"/>
      <c r="P9" s="20" t="s">
        <v>101</v>
      </c>
      <c r="Q9" s="20" t="s">
        <v>86</v>
      </c>
      <c r="R9" s="20" t="s">
        <v>86</v>
      </c>
      <c r="S9" s="20" t="s">
        <v>102</v>
      </c>
      <c r="T9" s="27" t="s">
        <v>117</v>
      </c>
      <c r="U9" s="20" t="s">
        <v>118</v>
      </c>
      <c r="V9" s="20" t="s">
        <v>90</v>
      </c>
      <c r="W9" s="21"/>
    </row>
    <row r="10" customFormat="false" ht="15" hidden="false" customHeight="false" outlineLevel="0" collapsed="false">
      <c r="A10" s="20" t="n">
        <v>9</v>
      </c>
      <c r="B10" s="20" t="s">
        <v>134</v>
      </c>
      <c r="C10" s="20" t="s">
        <v>4</v>
      </c>
      <c r="D10" s="20" t="s">
        <v>135</v>
      </c>
      <c r="E10" s="20" t="s">
        <v>18</v>
      </c>
      <c r="F10" s="20" t="s">
        <v>82</v>
      </c>
      <c r="G10" s="21" t="s">
        <v>136</v>
      </c>
      <c r="H10" s="20" t="s">
        <v>137</v>
      </c>
      <c r="I10" s="20"/>
      <c r="J10" s="20"/>
      <c r="K10" s="22"/>
      <c r="L10" s="23"/>
      <c r="M10" s="20" t="s">
        <v>100</v>
      </c>
      <c r="N10" s="24"/>
      <c r="O10" s="24"/>
      <c r="P10" s="20" t="s">
        <v>101</v>
      </c>
      <c r="Q10" s="20" t="s">
        <v>86</v>
      </c>
      <c r="R10" s="20" t="s">
        <v>86</v>
      </c>
      <c r="S10" s="20" t="s">
        <v>102</v>
      </c>
      <c r="T10" s="26" t="s">
        <v>103</v>
      </c>
      <c r="U10" s="20" t="s">
        <v>104</v>
      </c>
      <c r="V10" s="20" t="s">
        <v>138</v>
      </c>
      <c r="W10" s="21" t="s">
        <v>139</v>
      </c>
    </row>
    <row r="11" customFormat="false" ht="23.85" hidden="false" customHeight="false" outlineLevel="0" collapsed="false">
      <c r="A11" s="20" t="n">
        <v>10</v>
      </c>
      <c r="B11" s="20" t="s">
        <v>140</v>
      </c>
      <c r="C11" s="20" t="s">
        <v>4</v>
      </c>
      <c r="D11" s="20" t="s">
        <v>141</v>
      </c>
      <c r="E11" s="20" t="s">
        <v>18</v>
      </c>
      <c r="F11" s="20" t="s">
        <v>82</v>
      </c>
      <c r="G11" s="21" t="s">
        <v>142</v>
      </c>
      <c r="H11" s="20"/>
      <c r="I11" s="20"/>
      <c r="J11" s="20" t="s">
        <v>143</v>
      </c>
      <c r="K11" s="22" t="n">
        <v>4.5</v>
      </c>
      <c r="L11" s="23" t="n">
        <v>2</v>
      </c>
      <c r="M11" s="20" t="s">
        <v>84</v>
      </c>
      <c r="N11" s="24" t="n">
        <v>6.5607097</v>
      </c>
      <c r="O11" s="24" t="n">
        <v>3.3693926</v>
      </c>
      <c r="P11" s="20" t="s">
        <v>125</v>
      </c>
      <c r="Q11" s="20" t="s">
        <v>86</v>
      </c>
      <c r="R11" s="20" t="s">
        <v>86</v>
      </c>
      <c r="S11" s="20" t="s">
        <v>87</v>
      </c>
      <c r="T11" s="25" t="s">
        <v>88</v>
      </c>
      <c r="U11" s="20" t="s">
        <v>89</v>
      </c>
      <c r="V11" s="20" t="s">
        <v>90</v>
      </c>
      <c r="W11" s="21"/>
    </row>
    <row r="12" customFormat="false" ht="15" hidden="false" customHeight="false" outlineLevel="0" collapsed="false">
      <c r="A12" s="20" t="n">
        <v>11</v>
      </c>
      <c r="B12" s="20" t="s">
        <v>144</v>
      </c>
      <c r="C12" s="20" t="s">
        <v>4</v>
      </c>
      <c r="D12" s="20" t="s">
        <v>145</v>
      </c>
      <c r="E12" s="20" t="s">
        <v>18</v>
      </c>
      <c r="F12" s="20" t="s">
        <v>93</v>
      </c>
      <c r="G12" s="21" t="s">
        <v>145</v>
      </c>
      <c r="H12" s="20"/>
      <c r="I12" s="20"/>
      <c r="J12" s="20"/>
      <c r="K12" s="22" t="n">
        <v>4.2</v>
      </c>
      <c r="L12" s="23" t="n">
        <v>621</v>
      </c>
      <c r="M12" s="20" t="s">
        <v>84</v>
      </c>
      <c r="N12" s="24" t="n">
        <v>6.56354</v>
      </c>
      <c r="O12" s="24" t="n">
        <v>3.37019</v>
      </c>
      <c r="P12" s="20" t="s">
        <v>85</v>
      </c>
      <c r="Q12" s="20" t="s">
        <v>86</v>
      </c>
      <c r="R12" s="20" t="s">
        <v>86</v>
      </c>
      <c r="S12" s="20" t="s">
        <v>87</v>
      </c>
      <c r="T12" s="25" t="s">
        <v>88</v>
      </c>
      <c r="U12" s="20" t="s">
        <v>89</v>
      </c>
      <c r="V12" s="20" t="s">
        <v>90</v>
      </c>
      <c r="W12" s="21"/>
    </row>
    <row r="13" customFormat="false" ht="23.85" hidden="false" customHeight="false" outlineLevel="0" collapsed="false">
      <c r="A13" s="20" t="n">
        <v>12</v>
      </c>
      <c r="B13" s="20" t="s">
        <v>146</v>
      </c>
      <c r="C13" s="20" t="s">
        <v>4</v>
      </c>
      <c r="D13" s="20" t="s">
        <v>147</v>
      </c>
      <c r="E13" s="20" t="s">
        <v>18</v>
      </c>
      <c r="F13" s="20" t="s">
        <v>97</v>
      </c>
      <c r="G13" s="21" t="s">
        <v>148</v>
      </c>
      <c r="H13" s="20" t="s">
        <v>149</v>
      </c>
      <c r="I13" s="20" t="s">
        <v>150</v>
      </c>
      <c r="J13" s="20" t="s">
        <v>151</v>
      </c>
      <c r="K13" s="22" t="n">
        <v>3.7</v>
      </c>
      <c r="L13" s="23" t="n">
        <v>49</v>
      </c>
      <c r="M13" s="20" t="s">
        <v>100</v>
      </c>
      <c r="N13" s="24" t="n">
        <v>6.5605343</v>
      </c>
      <c r="O13" s="24" t="n">
        <v>3.3689203</v>
      </c>
      <c r="P13" s="20" t="s">
        <v>110</v>
      </c>
      <c r="Q13" s="20" t="s">
        <v>86</v>
      </c>
      <c r="R13" s="20" t="s">
        <v>86</v>
      </c>
      <c r="S13" s="20" t="s">
        <v>87</v>
      </c>
      <c r="T13" s="27" t="s">
        <v>117</v>
      </c>
      <c r="U13" s="20" t="s">
        <v>118</v>
      </c>
      <c r="V13" s="20" t="s">
        <v>90</v>
      </c>
      <c r="W13" s="21"/>
    </row>
    <row r="14" customFormat="false" ht="15" hidden="false" customHeight="false" outlineLevel="0" collapsed="false">
      <c r="A14" s="20" t="n">
        <v>13</v>
      </c>
      <c r="B14" s="20" t="s">
        <v>152</v>
      </c>
      <c r="C14" s="20" t="s">
        <v>4</v>
      </c>
      <c r="D14" s="20" t="s">
        <v>153</v>
      </c>
      <c r="E14" s="20" t="s">
        <v>18</v>
      </c>
      <c r="F14" s="20" t="s">
        <v>82</v>
      </c>
      <c r="G14" s="21" t="s">
        <v>153</v>
      </c>
      <c r="H14" s="20"/>
      <c r="I14" s="20"/>
      <c r="J14" s="20"/>
      <c r="K14" s="22" t="n">
        <v>4.1</v>
      </c>
      <c r="L14" s="23" t="n">
        <v>60</v>
      </c>
      <c r="M14" s="20" t="s">
        <v>84</v>
      </c>
      <c r="N14" s="24" t="n">
        <v>6.56366</v>
      </c>
      <c r="O14" s="24" t="n">
        <v>3.36907</v>
      </c>
      <c r="P14" s="20" t="s">
        <v>85</v>
      </c>
      <c r="Q14" s="20" t="s">
        <v>86</v>
      </c>
      <c r="R14" s="20" t="s">
        <v>86</v>
      </c>
      <c r="S14" s="20" t="s">
        <v>87</v>
      </c>
      <c r="T14" s="25" t="s">
        <v>88</v>
      </c>
      <c r="U14" s="20" t="s">
        <v>89</v>
      </c>
      <c r="V14" s="20" t="s">
        <v>90</v>
      </c>
      <c r="W14" s="21"/>
    </row>
    <row r="15" customFormat="false" ht="15" hidden="false" customHeight="false" outlineLevel="0" collapsed="false">
      <c r="A15" s="20" t="n">
        <v>14</v>
      </c>
      <c r="B15" s="20" t="s">
        <v>154</v>
      </c>
      <c r="C15" s="20" t="s">
        <v>4</v>
      </c>
      <c r="D15" s="20" t="s">
        <v>155</v>
      </c>
      <c r="E15" s="20" t="s">
        <v>18</v>
      </c>
      <c r="F15" s="20" t="s">
        <v>82</v>
      </c>
      <c r="G15" s="21" t="s">
        <v>156</v>
      </c>
      <c r="H15" s="20"/>
      <c r="I15" s="20"/>
      <c r="J15" s="20"/>
      <c r="K15" s="22"/>
      <c r="L15" s="23"/>
      <c r="M15" s="20" t="s">
        <v>84</v>
      </c>
      <c r="N15" s="24"/>
      <c r="O15" s="24"/>
      <c r="P15" s="20" t="s">
        <v>101</v>
      </c>
      <c r="Q15" s="20" t="s">
        <v>86</v>
      </c>
      <c r="R15" s="20" t="s">
        <v>86</v>
      </c>
      <c r="S15" s="20" t="s">
        <v>102</v>
      </c>
      <c r="T15" s="25" t="s">
        <v>88</v>
      </c>
      <c r="U15" s="20" t="s">
        <v>89</v>
      </c>
      <c r="V15" s="20" t="s">
        <v>138</v>
      </c>
      <c r="W15" s="21" t="s">
        <v>139</v>
      </c>
    </row>
    <row r="16" customFormat="false" ht="15" hidden="false" customHeight="false" outlineLevel="0" collapsed="false">
      <c r="A16" s="20" t="n">
        <v>15</v>
      </c>
      <c r="B16" s="20" t="s">
        <v>157</v>
      </c>
      <c r="C16" s="20" t="s">
        <v>4</v>
      </c>
      <c r="D16" s="20" t="s">
        <v>158</v>
      </c>
      <c r="E16" s="20" t="s">
        <v>18</v>
      </c>
      <c r="F16" s="20" t="s">
        <v>97</v>
      </c>
      <c r="G16" s="21" t="s">
        <v>159</v>
      </c>
      <c r="H16" s="20" t="s">
        <v>160</v>
      </c>
      <c r="I16" s="20"/>
      <c r="J16" s="20"/>
      <c r="K16" s="22"/>
      <c r="L16" s="23"/>
      <c r="M16" s="20" t="s">
        <v>100</v>
      </c>
      <c r="N16" s="24"/>
      <c r="O16" s="24"/>
      <c r="P16" s="20" t="s">
        <v>101</v>
      </c>
      <c r="Q16" s="20" t="s">
        <v>86</v>
      </c>
      <c r="R16" s="20" t="s">
        <v>86</v>
      </c>
      <c r="S16" s="20" t="s">
        <v>102</v>
      </c>
      <c r="T16" s="26" t="s">
        <v>103</v>
      </c>
      <c r="U16" s="20" t="s">
        <v>104</v>
      </c>
      <c r="V16" s="20" t="s">
        <v>90</v>
      </c>
      <c r="W16" s="21"/>
    </row>
    <row r="17" customFormat="false" ht="23.85" hidden="false" customHeight="false" outlineLevel="0" collapsed="false">
      <c r="A17" s="20" t="n">
        <v>16</v>
      </c>
      <c r="B17" s="20" t="s">
        <v>161</v>
      </c>
      <c r="C17" s="20" t="s">
        <v>4</v>
      </c>
      <c r="D17" s="20" t="s">
        <v>162</v>
      </c>
      <c r="E17" s="20" t="s">
        <v>18</v>
      </c>
      <c r="F17" s="20" t="s">
        <v>82</v>
      </c>
      <c r="G17" s="21" t="s">
        <v>163</v>
      </c>
      <c r="H17" s="20"/>
      <c r="I17" s="20"/>
      <c r="J17" s="20" t="s">
        <v>164</v>
      </c>
      <c r="K17" s="22"/>
      <c r="L17" s="23"/>
      <c r="M17" s="20" t="s">
        <v>84</v>
      </c>
      <c r="N17" s="24" t="n">
        <v>6.5594338</v>
      </c>
      <c r="O17" s="24" t="n">
        <v>3.3697174</v>
      </c>
      <c r="P17" s="20" t="s">
        <v>125</v>
      </c>
      <c r="Q17" s="20" t="s">
        <v>86</v>
      </c>
      <c r="R17" s="20" t="s">
        <v>86</v>
      </c>
      <c r="S17" s="20" t="s">
        <v>87</v>
      </c>
      <c r="T17" s="25" t="s">
        <v>88</v>
      </c>
      <c r="U17" s="20" t="s">
        <v>89</v>
      </c>
      <c r="V17" s="20" t="s">
        <v>90</v>
      </c>
      <c r="W17" s="21"/>
    </row>
    <row r="18" customFormat="false" ht="15" hidden="false" customHeight="false" outlineLevel="0" collapsed="false">
      <c r="A18" s="20" t="n">
        <v>17</v>
      </c>
      <c r="B18" s="20" t="s">
        <v>165</v>
      </c>
      <c r="C18" s="20" t="s">
        <v>4</v>
      </c>
      <c r="D18" s="20" t="s">
        <v>166</v>
      </c>
      <c r="E18" s="20" t="s">
        <v>18</v>
      </c>
      <c r="F18" s="20" t="s">
        <v>82</v>
      </c>
      <c r="G18" s="21" t="s">
        <v>167</v>
      </c>
      <c r="H18" s="20"/>
      <c r="I18" s="20"/>
      <c r="J18" s="20"/>
      <c r="K18" s="22"/>
      <c r="L18" s="23"/>
      <c r="M18" s="20" t="s">
        <v>84</v>
      </c>
      <c r="N18" s="24"/>
      <c r="O18" s="24"/>
      <c r="P18" s="20" t="s">
        <v>101</v>
      </c>
      <c r="Q18" s="20" t="s">
        <v>86</v>
      </c>
      <c r="R18" s="20" t="s">
        <v>86</v>
      </c>
      <c r="S18" s="20" t="s">
        <v>102</v>
      </c>
      <c r="T18" s="25" t="s">
        <v>88</v>
      </c>
      <c r="U18" s="20" t="s">
        <v>89</v>
      </c>
      <c r="V18" s="20" t="s">
        <v>138</v>
      </c>
      <c r="W18" s="21" t="s">
        <v>168</v>
      </c>
    </row>
    <row r="19" customFormat="false" ht="15" hidden="false" customHeight="false" outlineLevel="0" collapsed="false">
      <c r="A19" s="20" t="n">
        <v>18</v>
      </c>
      <c r="B19" s="20" t="s">
        <v>169</v>
      </c>
      <c r="C19" s="20" t="s">
        <v>4</v>
      </c>
      <c r="D19" s="20" t="s">
        <v>170</v>
      </c>
      <c r="E19" s="20" t="s">
        <v>18</v>
      </c>
      <c r="F19" s="20" t="s">
        <v>82</v>
      </c>
      <c r="G19" s="21" t="s">
        <v>171</v>
      </c>
      <c r="H19" s="20"/>
      <c r="I19" s="20"/>
      <c r="J19" s="20" t="s">
        <v>172</v>
      </c>
      <c r="K19" s="22"/>
      <c r="L19" s="23"/>
      <c r="M19" s="20" t="s">
        <v>84</v>
      </c>
      <c r="N19" s="24" t="n">
        <v>6.5600693</v>
      </c>
      <c r="O19" s="24" t="n">
        <v>3.3700498</v>
      </c>
      <c r="P19" s="20" t="s">
        <v>125</v>
      </c>
      <c r="Q19" s="20" t="s">
        <v>86</v>
      </c>
      <c r="R19" s="20" t="s">
        <v>86</v>
      </c>
      <c r="S19" s="20" t="s">
        <v>87</v>
      </c>
      <c r="T19" s="25" t="s">
        <v>88</v>
      </c>
      <c r="U19" s="20" t="s">
        <v>89</v>
      </c>
      <c r="V19" s="20" t="s">
        <v>90</v>
      </c>
      <c r="W19" s="21"/>
    </row>
    <row r="20" customFormat="false" ht="23.85" hidden="false" customHeight="false" outlineLevel="0" collapsed="false">
      <c r="A20" s="20" t="n">
        <v>19</v>
      </c>
      <c r="B20" s="20" t="s">
        <v>173</v>
      </c>
      <c r="C20" s="20" t="s">
        <v>4</v>
      </c>
      <c r="D20" s="20" t="s">
        <v>174</v>
      </c>
      <c r="E20" s="20" t="s">
        <v>18</v>
      </c>
      <c r="F20" s="20" t="s">
        <v>97</v>
      </c>
      <c r="G20" s="21" t="s">
        <v>175</v>
      </c>
      <c r="H20" s="20" t="s">
        <v>176</v>
      </c>
      <c r="I20" s="20"/>
      <c r="J20" s="20"/>
      <c r="K20" s="22" t="n">
        <v>3.9</v>
      </c>
      <c r="L20" s="23" t="n">
        <v>39</v>
      </c>
      <c r="M20" s="20" t="s">
        <v>100</v>
      </c>
      <c r="N20" s="24" t="n">
        <v>6.56382</v>
      </c>
      <c r="O20" s="24" t="n">
        <v>3.37313</v>
      </c>
      <c r="P20" s="20" t="s">
        <v>110</v>
      </c>
      <c r="Q20" s="20" t="s">
        <v>86</v>
      </c>
      <c r="R20" s="20" t="s">
        <v>86</v>
      </c>
      <c r="S20" s="20" t="s">
        <v>87</v>
      </c>
      <c r="T20" s="27" t="s">
        <v>117</v>
      </c>
      <c r="U20" s="20" t="s">
        <v>118</v>
      </c>
      <c r="V20" s="20" t="s">
        <v>90</v>
      </c>
      <c r="W20" s="21"/>
    </row>
    <row r="21" customFormat="false" ht="15" hidden="false" customHeight="false" outlineLevel="0" collapsed="false">
      <c r="A21" s="20" t="n">
        <v>20</v>
      </c>
      <c r="B21" s="20" t="s">
        <v>177</v>
      </c>
      <c r="C21" s="20" t="s">
        <v>4</v>
      </c>
      <c r="D21" s="20" t="s">
        <v>178</v>
      </c>
      <c r="E21" s="20" t="s">
        <v>18</v>
      </c>
      <c r="F21" s="20" t="s">
        <v>93</v>
      </c>
      <c r="G21" s="21" t="s">
        <v>179</v>
      </c>
      <c r="H21" s="20" t="s">
        <v>180</v>
      </c>
      <c r="I21" s="20"/>
      <c r="J21" s="20"/>
      <c r="K21" s="22"/>
      <c r="L21" s="23"/>
      <c r="M21" s="20" t="s">
        <v>100</v>
      </c>
      <c r="N21" s="24"/>
      <c r="O21" s="24"/>
      <c r="P21" s="20" t="s">
        <v>101</v>
      </c>
      <c r="Q21" s="20" t="s">
        <v>86</v>
      </c>
      <c r="R21" s="20" t="s">
        <v>86</v>
      </c>
      <c r="S21" s="20" t="s">
        <v>102</v>
      </c>
      <c r="T21" s="26" t="s">
        <v>103</v>
      </c>
      <c r="U21" s="20" t="s">
        <v>104</v>
      </c>
      <c r="V21" s="20" t="s">
        <v>138</v>
      </c>
      <c r="W21" s="21" t="s">
        <v>181</v>
      </c>
    </row>
    <row r="22" customFormat="false" ht="15" hidden="false" customHeight="false" outlineLevel="0" collapsed="false">
      <c r="A22" s="20" t="n">
        <v>21</v>
      </c>
      <c r="B22" s="20" t="s">
        <v>182</v>
      </c>
      <c r="C22" s="20" t="s">
        <v>4</v>
      </c>
      <c r="D22" s="20" t="s">
        <v>183</v>
      </c>
      <c r="E22" s="20" t="s">
        <v>18</v>
      </c>
      <c r="F22" s="20" t="s">
        <v>93</v>
      </c>
      <c r="G22" s="21" t="s">
        <v>184</v>
      </c>
      <c r="H22" s="20" t="s">
        <v>185</v>
      </c>
      <c r="I22" s="20"/>
      <c r="J22" s="20"/>
      <c r="K22" s="22"/>
      <c r="L22" s="23"/>
      <c r="M22" s="20" t="s">
        <v>100</v>
      </c>
      <c r="N22" s="24"/>
      <c r="O22" s="24"/>
      <c r="P22" s="20" t="s">
        <v>101</v>
      </c>
      <c r="Q22" s="20" t="s">
        <v>86</v>
      </c>
      <c r="R22" s="20" t="s">
        <v>86</v>
      </c>
      <c r="S22" s="20" t="s">
        <v>102</v>
      </c>
      <c r="T22" s="26" t="s">
        <v>103</v>
      </c>
      <c r="U22" s="20" t="s">
        <v>104</v>
      </c>
      <c r="V22" s="20" t="s">
        <v>138</v>
      </c>
      <c r="W22" s="21" t="s">
        <v>181</v>
      </c>
    </row>
    <row r="23" customFormat="false" ht="23.85" hidden="false" customHeight="false" outlineLevel="0" collapsed="false">
      <c r="A23" s="20" t="n">
        <v>22</v>
      </c>
      <c r="B23" s="20" t="s">
        <v>186</v>
      </c>
      <c r="C23" s="20" t="s">
        <v>4</v>
      </c>
      <c r="D23" s="20" t="s">
        <v>131</v>
      </c>
      <c r="E23" s="20" t="s">
        <v>18</v>
      </c>
      <c r="F23" s="20" t="s">
        <v>82</v>
      </c>
      <c r="G23" s="21" t="s">
        <v>187</v>
      </c>
      <c r="H23" s="20"/>
      <c r="I23" s="20"/>
      <c r="J23" s="20" t="s">
        <v>188</v>
      </c>
      <c r="K23" s="22" t="n">
        <v>4.7</v>
      </c>
      <c r="L23" s="23" t="n">
        <v>3</v>
      </c>
      <c r="M23" s="20" t="s">
        <v>84</v>
      </c>
      <c r="N23" s="24" t="n">
        <v>6.5592574</v>
      </c>
      <c r="O23" s="24" t="n">
        <v>3.3701432</v>
      </c>
      <c r="P23" s="20" t="s">
        <v>125</v>
      </c>
      <c r="Q23" s="20" t="s">
        <v>86</v>
      </c>
      <c r="R23" s="20" t="s">
        <v>86</v>
      </c>
      <c r="S23" s="20" t="s">
        <v>87</v>
      </c>
      <c r="T23" s="25" t="s">
        <v>88</v>
      </c>
      <c r="U23" s="20" t="s">
        <v>89</v>
      </c>
      <c r="V23" s="20" t="s">
        <v>90</v>
      </c>
      <c r="W23" s="21"/>
    </row>
    <row r="24" customFormat="false" ht="23.85" hidden="false" customHeight="false" outlineLevel="0" collapsed="false">
      <c r="A24" s="20" t="n">
        <v>23</v>
      </c>
      <c r="B24" s="20" t="s">
        <v>189</v>
      </c>
      <c r="C24" s="20" t="s">
        <v>4</v>
      </c>
      <c r="D24" s="20" t="s">
        <v>190</v>
      </c>
      <c r="E24" s="20" t="s">
        <v>18</v>
      </c>
      <c r="F24" s="20" t="s">
        <v>82</v>
      </c>
      <c r="G24" s="21" t="s">
        <v>191</v>
      </c>
      <c r="H24" s="20" t="s">
        <v>192</v>
      </c>
      <c r="I24" s="20"/>
      <c r="J24" s="20" t="s">
        <v>193</v>
      </c>
      <c r="K24" s="22" t="n">
        <v>3</v>
      </c>
      <c r="L24" s="23" t="n">
        <v>1</v>
      </c>
      <c r="M24" s="20" t="s">
        <v>100</v>
      </c>
      <c r="N24" s="24" t="n">
        <v>6.558616</v>
      </c>
      <c r="O24" s="24" t="n">
        <v>3.3683757</v>
      </c>
      <c r="P24" s="20" t="s">
        <v>125</v>
      </c>
      <c r="Q24" s="20" t="s">
        <v>86</v>
      </c>
      <c r="R24" s="20" t="s">
        <v>86</v>
      </c>
      <c r="S24" s="20" t="s">
        <v>87</v>
      </c>
      <c r="T24" s="26" t="s">
        <v>103</v>
      </c>
      <c r="U24" s="20" t="s">
        <v>104</v>
      </c>
      <c r="V24" s="20" t="s">
        <v>90</v>
      </c>
      <c r="W24" s="21"/>
    </row>
    <row r="25" customFormat="false" ht="15" hidden="false" customHeight="false" outlineLevel="0" collapsed="false">
      <c r="A25" s="20" t="n">
        <v>24</v>
      </c>
      <c r="B25" s="20" t="s">
        <v>194</v>
      </c>
      <c r="C25" s="20" t="s">
        <v>4</v>
      </c>
      <c r="D25" s="20"/>
      <c r="E25" s="20" t="s">
        <v>18</v>
      </c>
      <c r="F25" s="20"/>
      <c r="G25" s="21"/>
      <c r="H25" s="20"/>
      <c r="I25" s="20"/>
      <c r="J25" s="20"/>
      <c r="K25" s="22" t="n">
        <v>5</v>
      </c>
      <c r="L25" s="23" t="n">
        <v>8</v>
      </c>
      <c r="M25" s="20" t="s">
        <v>84</v>
      </c>
      <c r="N25" s="24" t="n">
        <v>6.56366</v>
      </c>
      <c r="O25" s="24" t="n">
        <v>3.36446</v>
      </c>
      <c r="P25" s="20" t="s">
        <v>85</v>
      </c>
      <c r="Q25" s="20" t="s">
        <v>86</v>
      </c>
      <c r="R25" s="20" t="s">
        <v>86</v>
      </c>
      <c r="S25" s="20" t="s">
        <v>87</v>
      </c>
      <c r="T25" s="25" t="s">
        <v>88</v>
      </c>
      <c r="U25" s="20" t="s">
        <v>89</v>
      </c>
      <c r="V25" s="20" t="s">
        <v>90</v>
      </c>
      <c r="W25" s="21"/>
    </row>
    <row r="26" customFormat="false" ht="23.85" hidden="false" customHeight="false" outlineLevel="0" collapsed="false">
      <c r="A26" s="20" t="n">
        <v>25</v>
      </c>
      <c r="B26" s="20" t="s">
        <v>195</v>
      </c>
      <c r="C26" s="20" t="s">
        <v>4</v>
      </c>
      <c r="D26" s="20" t="s">
        <v>196</v>
      </c>
      <c r="E26" s="20" t="s">
        <v>18</v>
      </c>
      <c r="F26" s="20" t="s">
        <v>197</v>
      </c>
      <c r="G26" s="21" t="s">
        <v>198</v>
      </c>
      <c r="H26" s="20"/>
      <c r="I26" s="20"/>
      <c r="J26" s="20" t="s">
        <v>199</v>
      </c>
      <c r="K26" s="22" t="n">
        <v>5</v>
      </c>
      <c r="L26" s="23" t="n">
        <v>1</v>
      </c>
      <c r="M26" s="20" t="s">
        <v>84</v>
      </c>
      <c r="N26" s="24" t="n">
        <v>6.5574658</v>
      </c>
      <c r="O26" s="24" t="n">
        <v>3.370496</v>
      </c>
      <c r="P26" s="20" t="s">
        <v>125</v>
      </c>
      <c r="Q26" s="20" t="s">
        <v>86</v>
      </c>
      <c r="R26" s="20" t="s">
        <v>86</v>
      </c>
      <c r="S26" s="20" t="s">
        <v>87</v>
      </c>
      <c r="T26" s="25" t="s">
        <v>88</v>
      </c>
      <c r="U26" s="20" t="s">
        <v>89</v>
      </c>
      <c r="V26" s="20" t="s">
        <v>90</v>
      </c>
      <c r="W26" s="21"/>
    </row>
    <row r="27" customFormat="false" ht="15" hidden="false" customHeight="false" outlineLevel="0" collapsed="false">
      <c r="A27" s="20" t="n">
        <v>26</v>
      </c>
      <c r="B27" s="20" t="s">
        <v>200</v>
      </c>
      <c r="C27" s="20" t="s">
        <v>4</v>
      </c>
      <c r="D27" s="20" t="s">
        <v>201</v>
      </c>
      <c r="E27" s="20" t="s">
        <v>18</v>
      </c>
      <c r="F27" s="20" t="s">
        <v>82</v>
      </c>
      <c r="G27" s="21" t="s">
        <v>202</v>
      </c>
      <c r="H27" s="20" t="s">
        <v>203</v>
      </c>
      <c r="I27" s="20"/>
      <c r="J27" s="20" t="s">
        <v>204</v>
      </c>
      <c r="K27" s="22" t="n">
        <v>4</v>
      </c>
      <c r="L27" s="23" t="n">
        <v>2</v>
      </c>
      <c r="M27" s="20" t="s">
        <v>100</v>
      </c>
      <c r="N27" s="24" t="n">
        <v>6.5592321</v>
      </c>
      <c r="O27" s="24" t="n">
        <v>3.369412</v>
      </c>
      <c r="P27" s="20" t="s">
        <v>110</v>
      </c>
      <c r="Q27" s="20" t="s">
        <v>86</v>
      </c>
      <c r="R27" s="20" t="s">
        <v>86</v>
      </c>
      <c r="S27" s="20" t="s">
        <v>87</v>
      </c>
      <c r="T27" s="26" t="s">
        <v>103</v>
      </c>
      <c r="U27" s="20" t="s">
        <v>104</v>
      </c>
      <c r="V27" s="20" t="s">
        <v>138</v>
      </c>
      <c r="W27" s="21" t="s">
        <v>139</v>
      </c>
    </row>
    <row r="28" customFormat="false" ht="23.85" hidden="false" customHeight="false" outlineLevel="0" collapsed="false">
      <c r="A28" s="20" t="n">
        <v>27</v>
      </c>
      <c r="B28" s="20" t="s">
        <v>205</v>
      </c>
      <c r="C28" s="20" t="s">
        <v>4</v>
      </c>
      <c r="D28" s="20" t="s">
        <v>206</v>
      </c>
      <c r="E28" s="20" t="s">
        <v>18</v>
      </c>
      <c r="F28" s="20" t="s">
        <v>207</v>
      </c>
      <c r="G28" s="21" t="s">
        <v>208</v>
      </c>
      <c r="H28" s="20" t="s">
        <v>209</v>
      </c>
      <c r="I28" s="20"/>
      <c r="J28" s="20" t="s">
        <v>210</v>
      </c>
      <c r="K28" s="22"/>
      <c r="L28" s="23"/>
      <c r="M28" s="20" t="s">
        <v>100</v>
      </c>
      <c r="N28" s="24" t="n">
        <v>6.559453</v>
      </c>
      <c r="O28" s="24" t="n">
        <v>3.3693809</v>
      </c>
      <c r="P28" s="20" t="s">
        <v>125</v>
      </c>
      <c r="Q28" s="20" t="s">
        <v>86</v>
      </c>
      <c r="R28" s="20" t="s">
        <v>86</v>
      </c>
      <c r="S28" s="20" t="s">
        <v>87</v>
      </c>
      <c r="T28" s="26" t="s">
        <v>103</v>
      </c>
      <c r="U28" s="20" t="s">
        <v>104</v>
      </c>
      <c r="V28" s="20" t="s">
        <v>90</v>
      </c>
      <c r="W28" s="21"/>
    </row>
    <row r="29" customFormat="false" ht="15" hidden="false" customHeight="false" outlineLevel="0" collapsed="false">
      <c r="A29" s="20" t="n">
        <v>28</v>
      </c>
      <c r="B29" s="20" t="s">
        <v>211</v>
      </c>
      <c r="C29" s="20" t="s">
        <v>4</v>
      </c>
      <c r="D29" s="20" t="s">
        <v>212</v>
      </c>
      <c r="E29" s="20" t="s">
        <v>18</v>
      </c>
      <c r="F29" s="20" t="s">
        <v>93</v>
      </c>
      <c r="G29" s="21" t="s">
        <v>213</v>
      </c>
      <c r="H29" s="20" t="s">
        <v>214</v>
      </c>
      <c r="I29" s="20"/>
      <c r="J29" s="20" t="s">
        <v>215</v>
      </c>
      <c r="K29" s="22" t="n">
        <v>4.8</v>
      </c>
      <c r="L29" s="23" t="n">
        <v>15</v>
      </c>
      <c r="M29" s="20" t="s">
        <v>100</v>
      </c>
      <c r="N29" s="24" t="n">
        <v>6.5600695</v>
      </c>
      <c r="O29" s="24" t="n">
        <v>3.3714821</v>
      </c>
      <c r="P29" s="20" t="s">
        <v>110</v>
      </c>
      <c r="Q29" s="20" t="s">
        <v>86</v>
      </c>
      <c r="R29" s="20" t="s">
        <v>86</v>
      </c>
      <c r="S29" s="20" t="s">
        <v>87</v>
      </c>
      <c r="T29" s="27" t="s">
        <v>117</v>
      </c>
      <c r="U29" s="20" t="s">
        <v>118</v>
      </c>
      <c r="V29" s="20" t="s">
        <v>138</v>
      </c>
      <c r="W29" s="21" t="s">
        <v>181</v>
      </c>
    </row>
    <row r="30" customFormat="false" ht="23.85" hidden="false" customHeight="false" outlineLevel="0" collapsed="false">
      <c r="A30" s="20" t="n">
        <v>29</v>
      </c>
      <c r="B30" s="20" t="s">
        <v>216</v>
      </c>
      <c r="C30" s="20" t="s">
        <v>4</v>
      </c>
      <c r="D30" s="20" t="s">
        <v>206</v>
      </c>
      <c r="E30" s="20" t="s">
        <v>18</v>
      </c>
      <c r="F30" s="20" t="s">
        <v>217</v>
      </c>
      <c r="G30" s="21" t="s">
        <v>218</v>
      </c>
      <c r="H30" s="20"/>
      <c r="I30" s="20"/>
      <c r="J30" s="20" t="s">
        <v>219</v>
      </c>
      <c r="K30" s="22"/>
      <c r="L30" s="23"/>
      <c r="M30" s="20" t="s">
        <v>84</v>
      </c>
      <c r="N30" s="24" t="n">
        <v>6.559453</v>
      </c>
      <c r="O30" s="24" t="n">
        <v>3.3693809</v>
      </c>
      <c r="P30" s="20" t="s">
        <v>125</v>
      </c>
      <c r="Q30" s="20" t="s">
        <v>86</v>
      </c>
      <c r="R30" s="20" t="s">
        <v>86</v>
      </c>
      <c r="S30" s="20" t="s">
        <v>87</v>
      </c>
      <c r="T30" s="25" t="s">
        <v>88</v>
      </c>
      <c r="U30" s="20" t="s">
        <v>89</v>
      </c>
      <c r="V30" s="20" t="s">
        <v>90</v>
      </c>
      <c r="W30" s="21"/>
    </row>
    <row r="31" customFormat="false" ht="15" hidden="false" customHeight="false" outlineLevel="0" collapsed="false">
      <c r="A31" s="20" t="n">
        <v>30</v>
      </c>
      <c r="B31" s="20" t="s">
        <v>220</v>
      </c>
      <c r="C31" s="20" t="s">
        <v>4</v>
      </c>
      <c r="D31" s="20" t="s">
        <v>221</v>
      </c>
      <c r="E31" s="20" t="s">
        <v>18</v>
      </c>
      <c r="F31" s="20" t="s">
        <v>82</v>
      </c>
      <c r="G31" s="21" t="s">
        <v>221</v>
      </c>
      <c r="H31" s="20"/>
      <c r="I31" s="20"/>
      <c r="J31" s="20"/>
      <c r="K31" s="22" t="n">
        <v>5</v>
      </c>
      <c r="L31" s="23" t="n">
        <v>1</v>
      </c>
      <c r="M31" s="20" t="s">
        <v>84</v>
      </c>
      <c r="N31" s="24" t="n">
        <v>6.57254</v>
      </c>
      <c r="O31" s="24" t="n">
        <v>3.3639</v>
      </c>
      <c r="P31" s="20" t="s">
        <v>85</v>
      </c>
      <c r="Q31" s="20" t="s">
        <v>86</v>
      </c>
      <c r="R31" s="20" t="s">
        <v>86</v>
      </c>
      <c r="S31" s="20" t="s">
        <v>87</v>
      </c>
      <c r="T31" s="25" t="s">
        <v>88</v>
      </c>
      <c r="U31" s="20" t="s">
        <v>89</v>
      </c>
      <c r="V31" s="20" t="s">
        <v>90</v>
      </c>
      <c r="W31" s="21"/>
    </row>
    <row r="32" customFormat="false" ht="15" hidden="false" customHeight="false" outlineLevel="0" collapsed="false">
      <c r="A32" s="20" t="n">
        <v>31</v>
      </c>
      <c r="B32" s="20" t="s">
        <v>222</v>
      </c>
      <c r="C32" s="20" t="s">
        <v>4</v>
      </c>
      <c r="D32" s="20" t="s">
        <v>223</v>
      </c>
      <c r="E32" s="20" t="s">
        <v>18</v>
      </c>
      <c r="F32" s="20" t="s">
        <v>97</v>
      </c>
      <c r="G32" s="21" t="s">
        <v>224</v>
      </c>
      <c r="H32" s="20" t="s">
        <v>225</v>
      </c>
      <c r="I32" s="20"/>
      <c r="J32" s="20"/>
      <c r="K32" s="22"/>
      <c r="L32" s="23"/>
      <c r="M32" s="20" t="s">
        <v>100</v>
      </c>
      <c r="N32" s="24"/>
      <c r="O32" s="24"/>
      <c r="P32" s="20" t="s">
        <v>101</v>
      </c>
      <c r="Q32" s="20" t="s">
        <v>86</v>
      </c>
      <c r="R32" s="20" t="s">
        <v>86</v>
      </c>
      <c r="S32" s="20" t="s">
        <v>102</v>
      </c>
      <c r="T32" s="26" t="s">
        <v>103</v>
      </c>
      <c r="U32" s="20" t="s">
        <v>104</v>
      </c>
      <c r="V32" s="20" t="s">
        <v>90</v>
      </c>
      <c r="W32" s="21"/>
    </row>
    <row r="33" customFormat="false" ht="15" hidden="false" customHeight="false" outlineLevel="0" collapsed="false">
      <c r="A33" s="20" t="n">
        <v>32</v>
      </c>
      <c r="B33" s="20" t="s">
        <v>226</v>
      </c>
      <c r="C33" s="20" t="s">
        <v>4</v>
      </c>
      <c r="D33" s="20" t="s">
        <v>227</v>
      </c>
      <c r="E33" s="20" t="s">
        <v>18</v>
      </c>
      <c r="F33" s="20" t="s">
        <v>82</v>
      </c>
      <c r="G33" s="21" t="s">
        <v>228</v>
      </c>
      <c r="H33" s="20"/>
      <c r="I33" s="20"/>
      <c r="J33" s="20" t="s">
        <v>229</v>
      </c>
      <c r="K33" s="22" t="n">
        <v>5</v>
      </c>
      <c r="L33" s="23" t="n">
        <v>3</v>
      </c>
      <c r="M33" s="20" t="s">
        <v>84</v>
      </c>
      <c r="N33" s="24" t="n">
        <v>6.5595707</v>
      </c>
      <c r="O33" s="24" t="n">
        <v>3.3696572</v>
      </c>
      <c r="P33" s="20" t="s">
        <v>110</v>
      </c>
      <c r="Q33" s="20" t="s">
        <v>86</v>
      </c>
      <c r="R33" s="20" t="s">
        <v>86</v>
      </c>
      <c r="S33" s="20" t="s">
        <v>87</v>
      </c>
      <c r="T33" s="25" t="s">
        <v>88</v>
      </c>
      <c r="U33" s="20" t="s">
        <v>89</v>
      </c>
      <c r="V33" s="20" t="s">
        <v>138</v>
      </c>
      <c r="W33" s="21" t="s">
        <v>139</v>
      </c>
    </row>
    <row r="34" customFormat="false" ht="23.85" hidden="false" customHeight="false" outlineLevel="0" collapsed="false">
      <c r="A34" s="20" t="n">
        <v>33</v>
      </c>
      <c r="B34" s="20" t="s">
        <v>230</v>
      </c>
      <c r="C34" s="20" t="s">
        <v>4</v>
      </c>
      <c r="D34" s="20" t="s">
        <v>231</v>
      </c>
      <c r="E34" s="20" t="s">
        <v>18</v>
      </c>
      <c r="F34" s="20" t="s">
        <v>232</v>
      </c>
      <c r="G34" s="21" t="s">
        <v>233</v>
      </c>
      <c r="H34" s="20"/>
      <c r="I34" s="20"/>
      <c r="J34" s="20" t="s">
        <v>234</v>
      </c>
      <c r="K34" s="22"/>
      <c r="L34" s="23"/>
      <c r="M34" s="20" t="s">
        <v>84</v>
      </c>
      <c r="N34" s="24" t="n">
        <v>6.5594134</v>
      </c>
      <c r="O34" s="24" t="n">
        <v>3.3698488</v>
      </c>
      <c r="P34" s="20" t="s">
        <v>125</v>
      </c>
      <c r="Q34" s="20" t="s">
        <v>86</v>
      </c>
      <c r="R34" s="20" t="s">
        <v>86</v>
      </c>
      <c r="S34" s="20" t="s">
        <v>87</v>
      </c>
      <c r="T34" s="25" t="s">
        <v>88</v>
      </c>
      <c r="U34" s="20" t="s">
        <v>89</v>
      </c>
      <c r="V34" s="20" t="s">
        <v>90</v>
      </c>
      <c r="W34" s="21"/>
    </row>
    <row r="35" customFormat="false" ht="23.85" hidden="false" customHeight="false" outlineLevel="0" collapsed="false">
      <c r="A35" s="20" t="n">
        <v>34</v>
      </c>
      <c r="B35" s="20" t="s">
        <v>235</v>
      </c>
      <c r="C35" s="20" t="s">
        <v>4</v>
      </c>
      <c r="D35" s="20" t="s">
        <v>236</v>
      </c>
      <c r="E35" s="20" t="s">
        <v>18</v>
      </c>
      <c r="F35" s="20" t="s">
        <v>82</v>
      </c>
      <c r="G35" s="21" t="s">
        <v>237</v>
      </c>
      <c r="H35" s="20" t="s">
        <v>238</v>
      </c>
      <c r="I35" s="20"/>
      <c r="J35" s="20" t="s">
        <v>239</v>
      </c>
      <c r="K35" s="22"/>
      <c r="L35" s="23"/>
      <c r="M35" s="20" t="s">
        <v>100</v>
      </c>
      <c r="N35" s="24" t="n">
        <v>6.5593901</v>
      </c>
      <c r="O35" s="24" t="n">
        <v>3.3682047</v>
      </c>
      <c r="P35" s="20" t="s">
        <v>125</v>
      </c>
      <c r="Q35" s="20" t="s">
        <v>86</v>
      </c>
      <c r="R35" s="20" t="s">
        <v>86</v>
      </c>
      <c r="S35" s="20" t="s">
        <v>87</v>
      </c>
      <c r="T35" s="26" t="s">
        <v>103</v>
      </c>
      <c r="U35" s="20" t="s">
        <v>104</v>
      </c>
      <c r="V35" s="20" t="s">
        <v>90</v>
      </c>
      <c r="W35" s="21"/>
    </row>
    <row r="36" customFormat="false" ht="15" hidden="false" customHeight="false" outlineLevel="0" collapsed="false">
      <c r="A36" s="20" t="n">
        <v>35</v>
      </c>
      <c r="B36" s="20" t="s">
        <v>240</v>
      </c>
      <c r="C36" s="20" t="s">
        <v>4</v>
      </c>
      <c r="D36" s="20" t="s">
        <v>241</v>
      </c>
      <c r="E36" s="20" t="s">
        <v>19</v>
      </c>
      <c r="F36" s="20" t="s">
        <v>19</v>
      </c>
      <c r="G36" s="21" t="s">
        <v>242</v>
      </c>
      <c r="H36" s="20" t="s">
        <v>243</v>
      </c>
      <c r="I36" s="20"/>
      <c r="J36" s="20"/>
      <c r="K36" s="22"/>
      <c r="L36" s="23"/>
      <c r="M36" s="20" t="s">
        <v>100</v>
      </c>
      <c r="N36" s="24"/>
      <c r="O36" s="24"/>
      <c r="P36" s="20" t="s">
        <v>101</v>
      </c>
      <c r="Q36" s="20" t="s">
        <v>86</v>
      </c>
      <c r="R36" s="20" t="s">
        <v>86</v>
      </c>
      <c r="S36" s="20" t="s">
        <v>102</v>
      </c>
      <c r="T36" s="26" t="s">
        <v>103</v>
      </c>
      <c r="U36" s="20" t="s">
        <v>104</v>
      </c>
      <c r="V36" s="20" t="s">
        <v>90</v>
      </c>
      <c r="W36" s="21"/>
    </row>
    <row r="37" customFormat="false" ht="15" hidden="false" customHeight="false" outlineLevel="0" collapsed="false">
      <c r="A37" s="20" t="n">
        <v>36</v>
      </c>
      <c r="B37" s="20" t="s">
        <v>244</v>
      </c>
      <c r="C37" s="20" t="s">
        <v>4</v>
      </c>
      <c r="D37" s="20"/>
      <c r="E37" s="20" t="s">
        <v>19</v>
      </c>
      <c r="F37" s="20"/>
      <c r="G37" s="21"/>
      <c r="H37" s="20"/>
      <c r="I37" s="20"/>
      <c r="J37" s="20"/>
      <c r="K37" s="22" t="n">
        <v>3.5</v>
      </c>
      <c r="L37" s="23" t="n">
        <v>99</v>
      </c>
      <c r="M37" s="20" t="s">
        <v>84</v>
      </c>
      <c r="N37" s="24" t="n">
        <v>6.56427</v>
      </c>
      <c r="O37" s="24" t="n">
        <v>3.37034</v>
      </c>
      <c r="P37" s="20" t="s">
        <v>85</v>
      </c>
      <c r="Q37" s="20" t="s">
        <v>86</v>
      </c>
      <c r="R37" s="20" t="s">
        <v>86</v>
      </c>
      <c r="S37" s="20" t="s">
        <v>87</v>
      </c>
      <c r="T37" s="25" t="s">
        <v>88</v>
      </c>
      <c r="U37" s="20" t="s">
        <v>89</v>
      </c>
      <c r="V37" s="20" t="s">
        <v>90</v>
      </c>
      <c r="W37" s="21"/>
    </row>
    <row r="38" customFormat="false" ht="15" hidden="false" customHeight="false" outlineLevel="0" collapsed="false">
      <c r="A38" s="20" t="n">
        <v>37</v>
      </c>
      <c r="B38" s="20" t="s">
        <v>245</v>
      </c>
      <c r="C38" s="20" t="s">
        <v>4</v>
      </c>
      <c r="D38" s="20" t="s">
        <v>246</v>
      </c>
      <c r="E38" s="20" t="s">
        <v>19</v>
      </c>
      <c r="F38" s="20" t="s">
        <v>19</v>
      </c>
      <c r="G38" s="21" t="s">
        <v>247</v>
      </c>
      <c r="H38" s="20" t="s">
        <v>248</v>
      </c>
      <c r="I38" s="20"/>
      <c r="J38" s="20"/>
      <c r="K38" s="22" t="n">
        <v>3.8</v>
      </c>
      <c r="L38" s="23" t="n">
        <v>421</v>
      </c>
      <c r="M38" s="20" t="s">
        <v>100</v>
      </c>
      <c r="N38" s="24" t="n">
        <v>6.56571</v>
      </c>
      <c r="O38" s="24" t="n">
        <v>3.37141</v>
      </c>
      <c r="P38" s="20" t="s">
        <v>110</v>
      </c>
      <c r="Q38" s="20" t="s">
        <v>86</v>
      </c>
      <c r="R38" s="20" t="s">
        <v>86</v>
      </c>
      <c r="S38" s="20" t="s">
        <v>87</v>
      </c>
      <c r="T38" s="27" t="s">
        <v>117</v>
      </c>
      <c r="U38" s="20" t="s">
        <v>118</v>
      </c>
      <c r="V38" s="20" t="s">
        <v>90</v>
      </c>
      <c r="W38" s="21"/>
    </row>
    <row r="39" customFormat="false" ht="23.85" hidden="false" customHeight="false" outlineLevel="0" collapsed="false">
      <c r="A39" s="20" t="n">
        <v>38</v>
      </c>
      <c r="B39" s="20" t="s">
        <v>249</v>
      </c>
      <c r="C39" s="20" t="s">
        <v>4</v>
      </c>
      <c r="D39" s="20" t="s">
        <v>250</v>
      </c>
      <c r="E39" s="20" t="s">
        <v>19</v>
      </c>
      <c r="F39" s="20" t="s">
        <v>19</v>
      </c>
      <c r="G39" s="21" t="s">
        <v>251</v>
      </c>
      <c r="H39" s="20" t="s">
        <v>252</v>
      </c>
      <c r="I39" s="20"/>
      <c r="J39" s="20"/>
      <c r="K39" s="22"/>
      <c r="L39" s="23"/>
      <c r="M39" s="20" t="s">
        <v>100</v>
      </c>
      <c r="N39" s="24"/>
      <c r="O39" s="24"/>
      <c r="P39" s="20" t="s">
        <v>101</v>
      </c>
      <c r="Q39" s="20" t="s">
        <v>86</v>
      </c>
      <c r="R39" s="20" t="s">
        <v>86</v>
      </c>
      <c r="S39" s="20" t="s">
        <v>102</v>
      </c>
      <c r="T39" s="26" t="s">
        <v>103</v>
      </c>
      <c r="U39" s="20" t="s">
        <v>104</v>
      </c>
      <c r="V39" s="20" t="s">
        <v>90</v>
      </c>
      <c r="W39" s="21"/>
    </row>
    <row r="40" customFormat="false" ht="15" hidden="false" customHeight="false" outlineLevel="0" collapsed="false">
      <c r="A40" s="20" t="n">
        <v>39</v>
      </c>
      <c r="B40" s="20" t="s">
        <v>253</v>
      </c>
      <c r="C40" s="20" t="s">
        <v>4</v>
      </c>
      <c r="D40" s="20" t="s">
        <v>254</v>
      </c>
      <c r="E40" s="20" t="s">
        <v>19</v>
      </c>
      <c r="F40" s="20" t="s">
        <v>19</v>
      </c>
      <c r="G40" s="21" t="s">
        <v>255</v>
      </c>
      <c r="H40" s="20" t="s">
        <v>256</v>
      </c>
      <c r="I40" s="20"/>
      <c r="J40" s="20"/>
      <c r="K40" s="22"/>
      <c r="L40" s="23"/>
      <c r="M40" s="20" t="s">
        <v>100</v>
      </c>
      <c r="N40" s="24"/>
      <c r="O40" s="24"/>
      <c r="P40" s="20" t="s">
        <v>101</v>
      </c>
      <c r="Q40" s="20" t="s">
        <v>86</v>
      </c>
      <c r="R40" s="20" t="s">
        <v>86</v>
      </c>
      <c r="S40" s="20" t="s">
        <v>102</v>
      </c>
      <c r="T40" s="26" t="s">
        <v>103</v>
      </c>
      <c r="U40" s="20" t="s">
        <v>104</v>
      </c>
      <c r="V40" s="20" t="s">
        <v>90</v>
      </c>
      <c r="W40" s="21"/>
    </row>
    <row r="41" customFormat="false" ht="15" hidden="false" customHeight="false" outlineLevel="0" collapsed="false">
      <c r="A41" s="20" t="n">
        <v>40</v>
      </c>
      <c r="B41" s="20" t="s">
        <v>257</v>
      </c>
      <c r="C41" s="20" t="s">
        <v>4</v>
      </c>
      <c r="D41" s="20" t="s">
        <v>258</v>
      </c>
      <c r="E41" s="20" t="s">
        <v>19</v>
      </c>
      <c r="F41" s="20" t="s">
        <v>259</v>
      </c>
      <c r="G41" s="21" t="s">
        <v>258</v>
      </c>
      <c r="H41" s="20"/>
      <c r="I41" s="20"/>
      <c r="J41" s="20"/>
      <c r="K41" s="22" t="n">
        <v>4.3</v>
      </c>
      <c r="L41" s="23" t="n">
        <v>188</v>
      </c>
      <c r="M41" s="20" t="s">
        <v>84</v>
      </c>
      <c r="N41" s="24" t="n">
        <v>6.57108</v>
      </c>
      <c r="O41" s="24" t="n">
        <v>3.36229</v>
      </c>
      <c r="P41" s="20" t="s">
        <v>85</v>
      </c>
      <c r="Q41" s="20" t="s">
        <v>86</v>
      </c>
      <c r="R41" s="20" t="s">
        <v>86</v>
      </c>
      <c r="S41" s="20" t="s">
        <v>87</v>
      </c>
      <c r="T41" s="25" t="s">
        <v>88</v>
      </c>
      <c r="U41" s="20" t="s">
        <v>89</v>
      </c>
      <c r="V41" s="20" t="s">
        <v>90</v>
      </c>
      <c r="W41" s="21"/>
    </row>
    <row r="42" customFormat="false" ht="15" hidden="false" customHeight="false" outlineLevel="0" collapsed="false">
      <c r="A42" s="20" t="n">
        <v>41</v>
      </c>
      <c r="B42" s="20" t="s">
        <v>260</v>
      </c>
      <c r="C42" s="20" t="s">
        <v>4</v>
      </c>
      <c r="D42" s="20"/>
      <c r="E42" s="20" t="s">
        <v>19</v>
      </c>
      <c r="F42" s="20"/>
      <c r="G42" s="21"/>
      <c r="H42" s="20"/>
      <c r="I42" s="20"/>
      <c r="J42" s="20"/>
      <c r="K42" s="22" t="n">
        <v>4</v>
      </c>
      <c r="L42" s="23" t="n">
        <v>1088</v>
      </c>
      <c r="M42" s="20" t="s">
        <v>84</v>
      </c>
      <c r="N42" s="24" t="n">
        <v>6.56421</v>
      </c>
      <c r="O42" s="24" t="n">
        <v>3.37031</v>
      </c>
      <c r="P42" s="20" t="s">
        <v>85</v>
      </c>
      <c r="Q42" s="20" t="s">
        <v>86</v>
      </c>
      <c r="R42" s="20" t="s">
        <v>86</v>
      </c>
      <c r="S42" s="20" t="s">
        <v>87</v>
      </c>
      <c r="T42" s="25" t="s">
        <v>88</v>
      </c>
      <c r="U42" s="20" t="s">
        <v>89</v>
      </c>
      <c r="V42" s="20" t="s">
        <v>90</v>
      </c>
      <c r="W42" s="21"/>
    </row>
    <row r="43" customFormat="false" ht="15" hidden="false" customHeight="false" outlineLevel="0" collapsed="false">
      <c r="A43" s="20" t="n">
        <v>42</v>
      </c>
      <c r="B43" s="20" t="s">
        <v>261</v>
      </c>
      <c r="C43" s="20" t="s">
        <v>4</v>
      </c>
      <c r="D43" s="20" t="s">
        <v>262</v>
      </c>
      <c r="E43" s="20" t="s">
        <v>19</v>
      </c>
      <c r="F43" s="20" t="s">
        <v>19</v>
      </c>
      <c r="G43" s="21" t="s">
        <v>263</v>
      </c>
      <c r="H43" s="20" t="s">
        <v>264</v>
      </c>
      <c r="I43" s="20"/>
      <c r="J43" s="20"/>
      <c r="K43" s="22"/>
      <c r="L43" s="23"/>
      <c r="M43" s="20" t="s">
        <v>100</v>
      </c>
      <c r="N43" s="24"/>
      <c r="O43" s="24"/>
      <c r="P43" s="20" t="s">
        <v>101</v>
      </c>
      <c r="Q43" s="20" t="s">
        <v>86</v>
      </c>
      <c r="R43" s="20" t="s">
        <v>86</v>
      </c>
      <c r="S43" s="20" t="s">
        <v>102</v>
      </c>
      <c r="T43" s="26" t="s">
        <v>103</v>
      </c>
      <c r="U43" s="20" t="s">
        <v>104</v>
      </c>
      <c r="V43" s="20" t="s">
        <v>90</v>
      </c>
      <c r="W43" s="21"/>
    </row>
    <row r="44" customFormat="false" ht="15" hidden="false" customHeight="false" outlineLevel="0" collapsed="false">
      <c r="A44" s="20" t="n">
        <v>43</v>
      </c>
      <c r="B44" s="20" t="s">
        <v>265</v>
      </c>
      <c r="C44" s="20" t="s">
        <v>4</v>
      </c>
      <c r="D44" s="20" t="s">
        <v>266</v>
      </c>
      <c r="E44" s="20" t="s">
        <v>19</v>
      </c>
      <c r="F44" s="20" t="s">
        <v>19</v>
      </c>
      <c r="G44" s="21" t="s">
        <v>267</v>
      </c>
      <c r="H44" s="20" t="s">
        <v>268</v>
      </c>
      <c r="I44" s="20"/>
      <c r="J44" s="20"/>
      <c r="K44" s="22"/>
      <c r="L44" s="23"/>
      <c r="M44" s="20" t="s">
        <v>100</v>
      </c>
      <c r="N44" s="24"/>
      <c r="O44" s="24"/>
      <c r="P44" s="20" t="s">
        <v>101</v>
      </c>
      <c r="Q44" s="20" t="s">
        <v>86</v>
      </c>
      <c r="R44" s="20" t="s">
        <v>86</v>
      </c>
      <c r="S44" s="20" t="s">
        <v>102</v>
      </c>
      <c r="T44" s="26" t="s">
        <v>103</v>
      </c>
      <c r="U44" s="20" t="s">
        <v>104</v>
      </c>
      <c r="V44" s="20" t="s">
        <v>90</v>
      </c>
      <c r="W44" s="21"/>
    </row>
    <row r="45" customFormat="false" ht="15" hidden="false" customHeight="false" outlineLevel="0" collapsed="false">
      <c r="A45" s="20" t="n">
        <v>44</v>
      </c>
      <c r="B45" s="20" t="s">
        <v>269</v>
      </c>
      <c r="C45" s="20" t="s">
        <v>4</v>
      </c>
      <c r="D45" s="20" t="s">
        <v>270</v>
      </c>
      <c r="E45" s="20" t="s">
        <v>19</v>
      </c>
      <c r="F45" s="20" t="s">
        <v>19</v>
      </c>
      <c r="G45" s="21" t="s">
        <v>271</v>
      </c>
      <c r="H45" s="20" t="s">
        <v>272</v>
      </c>
      <c r="I45" s="20"/>
      <c r="J45" s="20"/>
      <c r="K45" s="22" t="n">
        <v>3.9</v>
      </c>
      <c r="L45" s="23" t="n">
        <v>136</v>
      </c>
      <c r="M45" s="20" t="s">
        <v>100</v>
      </c>
      <c r="N45" s="24" t="n">
        <v>6.56183</v>
      </c>
      <c r="O45" s="24" t="n">
        <v>3.37357</v>
      </c>
      <c r="P45" s="20" t="s">
        <v>110</v>
      </c>
      <c r="Q45" s="20" t="s">
        <v>86</v>
      </c>
      <c r="R45" s="20" t="s">
        <v>86</v>
      </c>
      <c r="S45" s="20" t="s">
        <v>87</v>
      </c>
      <c r="T45" s="27" t="s">
        <v>117</v>
      </c>
      <c r="U45" s="20" t="s">
        <v>118</v>
      </c>
      <c r="V45" s="20" t="s">
        <v>90</v>
      </c>
      <c r="W45" s="21"/>
    </row>
    <row r="46" customFormat="false" ht="23.85" hidden="false" customHeight="false" outlineLevel="0" collapsed="false">
      <c r="A46" s="20" t="n">
        <v>45</v>
      </c>
      <c r="B46" s="20" t="s">
        <v>273</v>
      </c>
      <c r="C46" s="20" t="s">
        <v>4</v>
      </c>
      <c r="D46" s="20" t="s">
        <v>274</v>
      </c>
      <c r="E46" s="20" t="s">
        <v>19</v>
      </c>
      <c r="F46" s="20" t="s">
        <v>19</v>
      </c>
      <c r="G46" s="21" t="s">
        <v>275</v>
      </c>
      <c r="H46" s="20" t="s">
        <v>276</v>
      </c>
      <c r="I46" s="20"/>
      <c r="J46" s="20"/>
      <c r="K46" s="22"/>
      <c r="L46" s="23"/>
      <c r="M46" s="20" t="s">
        <v>100</v>
      </c>
      <c r="N46" s="24"/>
      <c r="O46" s="24"/>
      <c r="P46" s="20" t="s">
        <v>101</v>
      </c>
      <c r="Q46" s="20" t="s">
        <v>86</v>
      </c>
      <c r="R46" s="20" t="s">
        <v>86</v>
      </c>
      <c r="S46" s="20" t="s">
        <v>102</v>
      </c>
      <c r="T46" s="26" t="s">
        <v>103</v>
      </c>
      <c r="U46" s="20" t="s">
        <v>104</v>
      </c>
      <c r="V46" s="20" t="s">
        <v>90</v>
      </c>
      <c r="W46" s="21"/>
    </row>
    <row r="47" customFormat="false" ht="15" hidden="false" customHeight="false" outlineLevel="0" collapsed="false">
      <c r="A47" s="20" t="n">
        <v>46</v>
      </c>
      <c r="B47" s="20" t="s">
        <v>277</v>
      </c>
      <c r="C47" s="20" t="s">
        <v>4</v>
      </c>
      <c r="D47" s="20" t="s">
        <v>196</v>
      </c>
      <c r="E47" s="20" t="s">
        <v>20</v>
      </c>
      <c r="F47" s="20" t="s">
        <v>278</v>
      </c>
      <c r="G47" s="21" t="s">
        <v>279</v>
      </c>
      <c r="H47" s="20"/>
      <c r="I47" s="20"/>
      <c r="J47" s="20"/>
      <c r="K47" s="22" t="n">
        <v>3.9</v>
      </c>
      <c r="L47" s="23" t="n">
        <v>504</v>
      </c>
      <c r="M47" s="20" t="s">
        <v>84</v>
      </c>
      <c r="N47" s="24" t="n">
        <v>6.56131</v>
      </c>
      <c r="O47" s="24" t="n">
        <v>3.3716</v>
      </c>
      <c r="P47" s="20" t="s">
        <v>110</v>
      </c>
      <c r="Q47" s="20" t="s">
        <v>86</v>
      </c>
      <c r="R47" s="20" t="s">
        <v>86</v>
      </c>
      <c r="S47" s="20" t="s">
        <v>87</v>
      </c>
      <c r="T47" s="25" t="s">
        <v>88</v>
      </c>
      <c r="U47" s="20" t="s">
        <v>89</v>
      </c>
      <c r="V47" s="20" t="s">
        <v>90</v>
      </c>
      <c r="W47" s="21"/>
    </row>
    <row r="48" customFormat="false" ht="15" hidden="false" customHeight="false" outlineLevel="0" collapsed="false">
      <c r="A48" s="20" t="n">
        <v>47</v>
      </c>
      <c r="B48" s="20" t="s">
        <v>280</v>
      </c>
      <c r="C48" s="20" t="s">
        <v>4</v>
      </c>
      <c r="D48" s="20" t="s">
        <v>281</v>
      </c>
      <c r="E48" s="20" t="s">
        <v>20</v>
      </c>
      <c r="F48" s="20" t="s">
        <v>282</v>
      </c>
      <c r="G48" s="21" t="s">
        <v>283</v>
      </c>
      <c r="H48" s="20" t="s">
        <v>284</v>
      </c>
      <c r="I48" s="20"/>
      <c r="J48" s="20"/>
      <c r="K48" s="22"/>
      <c r="L48" s="23"/>
      <c r="M48" s="20" t="s">
        <v>100</v>
      </c>
      <c r="N48" s="24"/>
      <c r="O48" s="24"/>
      <c r="P48" s="20" t="s">
        <v>101</v>
      </c>
      <c r="Q48" s="20" t="s">
        <v>86</v>
      </c>
      <c r="R48" s="20" t="s">
        <v>86</v>
      </c>
      <c r="S48" s="20" t="s">
        <v>102</v>
      </c>
      <c r="T48" s="26" t="s">
        <v>103</v>
      </c>
      <c r="U48" s="20" t="s">
        <v>104</v>
      </c>
      <c r="V48" s="20" t="s">
        <v>90</v>
      </c>
      <c r="W48" s="21"/>
    </row>
    <row r="49" customFormat="false" ht="15" hidden="false" customHeight="false" outlineLevel="0" collapsed="false">
      <c r="A49" s="20" t="n">
        <v>48</v>
      </c>
      <c r="B49" s="20" t="s">
        <v>285</v>
      </c>
      <c r="C49" s="20" t="s">
        <v>4</v>
      </c>
      <c r="D49" s="20" t="s">
        <v>286</v>
      </c>
      <c r="E49" s="20" t="s">
        <v>20</v>
      </c>
      <c r="F49" s="20" t="s">
        <v>287</v>
      </c>
      <c r="G49" s="21" t="s">
        <v>288</v>
      </c>
      <c r="H49" s="20"/>
      <c r="I49" s="20"/>
      <c r="J49" s="20"/>
      <c r="K49" s="22" t="n">
        <v>4.6</v>
      </c>
      <c r="L49" s="23" t="n">
        <v>55</v>
      </c>
      <c r="M49" s="20" t="s">
        <v>84</v>
      </c>
      <c r="N49" s="24" t="n">
        <v>6.56357</v>
      </c>
      <c r="O49" s="24" t="n">
        <v>3.36478</v>
      </c>
      <c r="P49" s="20" t="s">
        <v>85</v>
      </c>
      <c r="Q49" s="20" t="s">
        <v>86</v>
      </c>
      <c r="R49" s="20" t="s">
        <v>86</v>
      </c>
      <c r="S49" s="20" t="s">
        <v>87</v>
      </c>
      <c r="T49" s="25" t="s">
        <v>88</v>
      </c>
      <c r="U49" s="20" t="s">
        <v>89</v>
      </c>
      <c r="V49" s="20" t="s">
        <v>90</v>
      </c>
      <c r="W49" s="21"/>
    </row>
    <row r="50" customFormat="false" ht="15" hidden="false" customHeight="false" outlineLevel="0" collapsed="false">
      <c r="A50" s="20" t="n">
        <v>49</v>
      </c>
      <c r="B50" s="20" t="s">
        <v>289</v>
      </c>
      <c r="C50" s="20" t="s">
        <v>4</v>
      </c>
      <c r="D50" s="20" t="s">
        <v>290</v>
      </c>
      <c r="E50" s="20" t="s">
        <v>20</v>
      </c>
      <c r="F50" s="20" t="s">
        <v>291</v>
      </c>
      <c r="G50" s="21" t="s">
        <v>292</v>
      </c>
      <c r="H50" s="20" t="s">
        <v>293</v>
      </c>
      <c r="I50" s="20"/>
      <c r="J50" s="20" t="s">
        <v>294</v>
      </c>
      <c r="K50" s="22" t="n">
        <v>4.6</v>
      </c>
      <c r="L50" s="23" t="n">
        <v>8</v>
      </c>
      <c r="M50" s="20" t="s">
        <v>100</v>
      </c>
      <c r="N50" s="24" t="n">
        <v>6.5594151</v>
      </c>
      <c r="O50" s="24" t="n">
        <v>3.369209</v>
      </c>
      <c r="P50" s="20" t="s">
        <v>110</v>
      </c>
      <c r="Q50" s="20" t="s">
        <v>86</v>
      </c>
      <c r="R50" s="20" t="s">
        <v>86</v>
      </c>
      <c r="S50" s="20" t="s">
        <v>87</v>
      </c>
      <c r="T50" s="26" t="s">
        <v>103</v>
      </c>
      <c r="U50" s="20" t="s">
        <v>104</v>
      </c>
      <c r="V50" s="20" t="s">
        <v>90</v>
      </c>
      <c r="W50" s="21"/>
    </row>
    <row r="51" customFormat="false" ht="15" hidden="false" customHeight="false" outlineLevel="0" collapsed="false">
      <c r="A51" s="20" t="n">
        <v>50</v>
      </c>
      <c r="B51" s="20" t="s">
        <v>295</v>
      </c>
      <c r="C51" s="20" t="s">
        <v>4</v>
      </c>
      <c r="D51" s="20" t="s">
        <v>296</v>
      </c>
      <c r="E51" s="20" t="s">
        <v>20</v>
      </c>
      <c r="F51" s="20" t="s">
        <v>297</v>
      </c>
      <c r="G51" s="21" t="s">
        <v>298</v>
      </c>
      <c r="H51" s="20"/>
      <c r="I51" s="20"/>
      <c r="J51" s="20"/>
      <c r="K51" s="22" t="n">
        <v>4.3</v>
      </c>
      <c r="L51" s="23" t="n">
        <v>3</v>
      </c>
      <c r="M51" s="20" t="s">
        <v>84</v>
      </c>
      <c r="N51" s="24" t="n">
        <v>6.56764</v>
      </c>
      <c r="O51" s="24" t="n">
        <v>3.36737</v>
      </c>
      <c r="P51" s="20" t="s">
        <v>110</v>
      </c>
      <c r="Q51" s="20" t="s">
        <v>86</v>
      </c>
      <c r="R51" s="20" t="s">
        <v>86</v>
      </c>
      <c r="S51" s="20" t="s">
        <v>87</v>
      </c>
      <c r="T51" s="25" t="s">
        <v>88</v>
      </c>
      <c r="U51" s="20" t="s">
        <v>89</v>
      </c>
      <c r="V51" s="20" t="s">
        <v>138</v>
      </c>
      <c r="W51" s="21" t="s">
        <v>299</v>
      </c>
    </row>
    <row r="52" customFormat="false" ht="15" hidden="false" customHeight="false" outlineLevel="0" collapsed="false">
      <c r="A52" s="20" t="n">
        <v>51</v>
      </c>
      <c r="B52" s="20" t="s">
        <v>300</v>
      </c>
      <c r="C52" s="20" t="s">
        <v>4</v>
      </c>
      <c r="D52" s="20" t="s">
        <v>301</v>
      </c>
      <c r="E52" s="20" t="s">
        <v>20</v>
      </c>
      <c r="F52" s="20" t="s">
        <v>302</v>
      </c>
      <c r="G52" s="21" t="s">
        <v>303</v>
      </c>
      <c r="H52" s="20"/>
      <c r="I52" s="20" t="s">
        <v>304</v>
      </c>
      <c r="J52" s="20" t="s">
        <v>305</v>
      </c>
      <c r="K52" s="22"/>
      <c r="L52" s="23"/>
      <c r="M52" s="20" t="s">
        <v>84</v>
      </c>
      <c r="N52" s="24" t="n">
        <v>6.5584713</v>
      </c>
      <c r="O52" s="24" t="n">
        <v>3.3695743</v>
      </c>
      <c r="P52" s="20" t="s">
        <v>125</v>
      </c>
      <c r="Q52" s="20" t="s">
        <v>86</v>
      </c>
      <c r="R52" s="20" t="s">
        <v>86</v>
      </c>
      <c r="S52" s="20" t="s">
        <v>87</v>
      </c>
      <c r="T52" s="25" t="s">
        <v>88</v>
      </c>
      <c r="U52" s="20" t="s">
        <v>89</v>
      </c>
      <c r="V52" s="20" t="s">
        <v>90</v>
      </c>
      <c r="W52" s="21"/>
    </row>
    <row r="53" customFormat="false" ht="23.85" hidden="false" customHeight="false" outlineLevel="0" collapsed="false">
      <c r="A53" s="20" t="n">
        <v>52</v>
      </c>
      <c r="B53" s="20" t="s">
        <v>306</v>
      </c>
      <c r="C53" s="20" t="s">
        <v>4</v>
      </c>
      <c r="D53" s="20" t="s">
        <v>307</v>
      </c>
      <c r="E53" s="20" t="s">
        <v>20</v>
      </c>
      <c r="F53" s="20" t="s">
        <v>291</v>
      </c>
      <c r="G53" s="21" t="s">
        <v>308</v>
      </c>
      <c r="H53" s="20" t="s">
        <v>309</v>
      </c>
      <c r="I53" s="20"/>
      <c r="J53" s="20" t="s">
        <v>310</v>
      </c>
      <c r="K53" s="22" t="n">
        <v>4.5</v>
      </c>
      <c r="L53" s="23" t="n">
        <v>91</v>
      </c>
      <c r="M53" s="20" t="s">
        <v>100</v>
      </c>
      <c r="N53" s="24" t="n">
        <v>6.5631114</v>
      </c>
      <c r="O53" s="24" t="n">
        <v>3.376756</v>
      </c>
      <c r="P53" s="20" t="s">
        <v>110</v>
      </c>
      <c r="Q53" s="20" t="s">
        <v>86</v>
      </c>
      <c r="R53" s="20" t="s">
        <v>86</v>
      </c>
      <c r="S53" s="20" t="s">
        <v>87</v>
      </c>
      <c r="T53" s="27" t="s">
        <v>117</v>
      </c>
      <c r="U53" s="20" t="s">
        <v>118</v>
      </c>
      <c r="V53" s="20" t="s">
        <v>90</v>
      </c>
      <c r="W53" s="21"/>
    </row>
    <row r="54" customFormat="false" ht="15" hidden="false" customHeight="false" outlineLevel="0" collapsed="false">
      <c r="A54" s="20" t="n">
        <v>53</v>
      </c>
      <c r="B54" s="20" t="s">
        <v>311</v>
      </c>
      <c r="C54" s="20" t="s">
        <v>4</v>
      </c>
      <c r="D54" s="20" t="s">
        <v>312</v>
      </c>
      <c r="E54" s="20" t="s">
        <v>20</v>
      </c>
      <c r="F54" s="20" t="s">
        <v>313</v>
      </c>
      <c r="G54" s="21" t="s">
        <v>312</v>
      </c>
      <c r="H54" s="20"/>
      <c r="I54" s="20"/>
      <c r="J54" s="20"/>
      <c r="K54" s="22" t="n">
        <v>4.7</v>
      </c>
      <c r="L54" s="23" t="n">
        <v>35</v>
      </c>
      <c r="M54" s="20" t="s">
        <v>84</v>
      </c>
      <c r="N54" s="24" t="n">
        <v>6.5609</v>
      </c>
      <c r="O54" s="24" t="n">
        <v>3.37003</v>
      </c>
      <c r="P54" s="20" t="s">
        <v>85</v>
      </c>
      <c r="Q54" s="20" t="s">
        <v>86</v>
      </c>
      <c r="R54" s="20" t="s">
        <v>86</v>
      </c>
      <c r="S54" s="20" t="s">
        <v>87</v>
      </c>
      <c r="T54" s="25" t="s">
        <v>88</v>
      </c>
      <c r="U54" s="20" t="s">
        <v>89</v>
      </c>
      <c r="V54" s="20" t="s">
        <v>90</v>
      </c>
      <c r="W54" s="21"/>
    </row>
    <row r="55" customFormat="false" ht="23.85" hidden="false" customHeight="false" outlineLevel="0" collapsed="false">
      <c r="A55" s="20" t="n">
        <v>54</v>
      </c>
      <c r="B55" s="20" t="s">
        <v>314</v>
      </c>
      <c r="C55" s="20" t="s">
        <v>4</v>
      </c>
      <c r="D55" s="20" t="s">
        <v>315</v>
      </c>
      <c r="E55" s="20" t="s">
        <v>20</v>
      </c>
      <c r="F55" s="20" t="s">
        <v>316</v>
      </c>
      <c r="G55" s="21" t="s">
        <v>317</v>
      </c>
      <c r="H55" s="20" t="s">
        <v>318</v>
      </c>
      <c r="I55" s="20"/>
      <c r="J55" s="20" t="s">
        <v>319</v>
      </c>
      <c r="K55" s="22" t="n">
        <v>4.5</v>
      </c>
      <c r="L55" s="23" t="n">
        <v>2</v>
      </c>
      <c r="M55" s="20" t="s">
        <v>100</v>
      </c>
      <c r="N55" s="24" t="n">
        <v>6.5593888</v>
      </c>
      <c r="O55" s="24" t="n">
        <v>3.3671534</v>
      </c>
      <c r="P55" s="20" t="s">
        <v>125</v>
      </c>
      <c r="Q55" s="20" t="s">
        <v>86</v>
      </c>
      <c r="R55" s="20" t="s">
        <v>86</v>
      </c>
      <c r="S55" s="20" t="s">
        <v>87</v>
      </c>
      <c r="T55" s="26" t="s">
        <v>103</v>
      </c>
      <c r="U55" s="20" t="s">
        <v>104</v>
      </c>
      <c r="V55" s="20" t="s">
        <v>90</v>
      </c>
      <c r="W55" s="21"/>
    </row>
    <row r="56" customFormat="false" ht="15" hidden="false" customHeight="false" outlineLevel="0" collapsed="false">
      <c r="A56" s="20" t="n">
        <v>55</v>
      </c>
      <c r="B56" s="20" t="s">
        <v>320</v>
      </c>
      <c r="C56" s="20" t="s">
        <v>4</v>
      </c>
      <c r="D56" s="20" t="s">
        <v>321</v>
      </c>
      <c r="E56" s="20" t="s">
        <v>20</v>
      </c>
      <c r="F56" s="20" t="s">
        <v>282</v>
      </c>
      <c r="G56" s="21" t="s">
        <v>322</v>
      </c>
      <c r="H56" s="20" t="s">
        <v>323</v>
      </c>
      <c r="I56" s="20"/>
      <c r="J56" s="20"/>
      <c r="K56" s="22"/>
      <c r="L56" s="23"/>
      <c r="M56" s="20" t="s">
        <v>100</v>
      </c>
      <c r="N56" s="24"/>
      <c r="O56" s="24"/>
      <c r="P56" s="20" t="s">
        <v>101</v>
      </c>
      <c r="Q56" s="20" t="s">
        <v>86</v>
      </c>
      <c r="R56" s="20" t="s">
        <v>86</v>
      </c>
      <c r="S56" s="20" t="s">
        <v>102</v>
      </c>
      <c r="T56" s="26" t="s">
        <v>103</v>
      </c>
      <c r="U56" s="20" t="s">
        <v>104</v>
      </c>
      <c r="V56" s="20" t="s">
        <v>90</v>
      </c>
      <c r="W56" s="21"/>
    </row>
    <row r="57" customFormat="false" ht="23.85" hidden="false" customHeight="false" outlineLevel="0" collapsed="false">
      <c r="A57" s="20" t="n">
        <v>56</v>
      </c>
      <c r="B57" s="20" t="s">
        <v>324</v>
      </c>
      <c r="C57" s="20" t="s">
        <v>4</v>
      </c>
      <c r="D57" s="20" t="s">
        <v>325</v>
      </c>
      <c r="E57" s="20" t="s">
        <v>20</v>
      </c>
      <c r="F57" s="20" t="s">
        <v>282</v>
      </c>
      <c r="G57" s="21" t="s">
        <v>326</v>
      </c>
      <c r="H57" s="20" t="s">
        <v>327</v>
      </c>
      <c r="I57" s="20"/>
      <c r="J57" s="20"/>
      <c r="K57" s="22"/>
      <c r="L57" s="23"/>
      <c r="M57" s="20" t="s">
        <v>100</v>
      </c>
      <c r="N57" s="24"/>
      <c r="O57" s="24"/>
      <c r="P57" s="20" t="s">
        <v>101</v>
      </c>
      <c r="Q57" s="20" t="s">
        <v>86</v>
      </c>
      <c r="R57" s="20" t="s">
        <v>86</v>
      </c>
      <c r="S57" s="20" t="s">
        <v>102</v>
      </c>
      <c r="T57" s="26" t="s">
        <v>103</v>
      </c>
      <c r="U57" s="20" t="s">
        <v>104</v>
      </c>
      <c r="V57" s="20" t="s">
        <v>90</v>
      </c>
      <c r="W57" s="21"/>
    </row>
    <row r="58" customFormat="false" ht="23.85" hidden="false" customHeight="false" outlineLevel="0" collapsed="false">
      <c r="A58" s="20" t="n">
        <v>57</v>
      </c>
      <c r="B58" s="20" t="s">
        <v>328</v>
      </c>
      <c r="C58" s="20" t="s">
        <v>4</v>
      </c>
      <c r="D58" s="20" t="s">
        <v>329</v>
      </c>
      <c r="E58" s="20" t="s">
        <v>20</v>
      </c>
      <c r="F58" s="20" t="s">
        <v>287</v>
      </c>
      <c r="G58" s="21" t="s">
        <v>330</v>
      </c>
      <c r="H58" s="20" t="s">
        <v>331</v>
      </c>
      <c r="I58" s="20"/>
      <c r="J58" s="20" t="s">
        <v>332</v>
      </c>
      <c r="K58" s="22" t="n">
        <v>5</v>
      </c>
      <c r="L58" s="23" t="n">
        <v>1</v>
      </c>
      <c r="M58" s="20" t="s">
        <v>100</v>
      </c>
      <c r="N58" s="24" t="n">
        <v>6.55867</v>
      </c>
      <c r="O58" s="24" t="n">
        <v>3.3697605</v>
      </c>
      <c r="P58" s="20" t="s">
        <v>125</v>
      </c>
      <c r="Q58" s="20" t="s">
        <v>86</v>
      </c>
      <c r="R58" s="20" t="s">
        <v>86</v>
      </c>
      <c r="S58" s="20" t="s">
        <v>87</v>
      </c>
      <c r="T58" s="26" t="s">
        <v>103</v>
      </c>
      <c r="U58" s="20" t="s">
        <v>104</v>
      </c>
      <c r="V58" s="20" t="s">
        <v>90</v>
      </c>
      <c r="W58" s="21"/>
    </row>
    <row r="59" customFormat="false" ht="23.85" hidden="false" customHeight="false" outlineLevel="0" collapsed="false">
      <c r="A59" s="20" t="n">
        <v>58</v>
      </c>
      <c r="B59" s="20" t="s">
        <v>333</v>
      </c>
      <c r="C59" s="20" t="s">
        <v>4</v>
      </c>
      <c r="D59" s="20" t="s">
        <v>334</v>
      </c>
      <c r="E59" s="20" t="s">
        <v>20</v>
      </c>
      <c r="F59" s="20" t="s">
        <v>282</v>
      </c>
      <c r="G59" s="21" t="s">
        <v>335</v>
      </c>
      <c r="H59" s="20" t="s">
        <v>336</v>
      </c>
      <c r="I59" s="20"/>
      <c r="J59" s="20"/>
      <c r="K59" s="22"/>
      <c r="L59" s="23"/>
      <c r="M59" s="20" t="s">
        <v>100</v>
      </c>
      <c r="N59" s="24"/>
      <c r="O59" s="24"/>
      <c r="P59" s="20" t="s">
        <v>101</v>
      </c>
      <c r="Q59" s="20" t="s">
        <v>86</v>
      </c>
      <c r="R59" s="20" t="s">
        <v>86</v>
      </c>
      <c r="S59" s="20" t="s">
        <v>102</v>
      </c>
      <c r="T59" s="26" t="s">
        <v>103</v>
      </c>
      <c r="U59" s="20" t="s">
        <v>104</v>
      </c>
      <c r="V59" s="20" t="s">
        <v>90</v>
      </c>
      <c r="W59" s="21"/>
    </row>
    <row r="60" customFormat="false" ht="15" hidden="false" customHeight="false" outlineLevel="0" collapsed="false">
      <c r="A60" s="20" t="n">
        <v>59</v>
      </c>
      <c r="B60" s="20" t="s">
        <v>337</v>
      </c>
      <c r="C60" s="20" t="s">
        <v>4</v>
      </c>
      <c r="D60" s="20" t="s">
        <v>338</v>
      </c>
      <c r="E60" s="20" t="s">
        <v>20</v>
      </c>
      <c r="F60" s="20" t="s">
        <v>282</v>
      </c>
      <c r="G60" s="21" t="s">
        <v>339</v>
      </c>
      <c r="H60" s="20" t="s">
        <v>340</v>
      </c>
      <c r="I60" s="20"/>
      <c r="J60" s="20"/>
      <c r="K60" s="22"/>
      <c r="L60" s="23"/>
      <c r="M60" s="20" t="s">
        <v>100</v>
      </c>
      <c r="N60" s="24"/>
      <c r="O60" s="24"/>
      <c r="P60" s="20" t="s">
        <v>101</v>
      </c>
      <c r="Q60" s="20" t="s">
        <v>86</v>
      </c>
      <c r="R60" s="20" t="s">
        <v>86</v>
      </c>
      <c r="S60" s="20" t="s">
        <v>102</v>
      </c>
      <c r="T60" s="26" t="s">
        <v>103</v>
      </c>
      <c r="U60" s="20" t="s">
        <v>104</v>
      </c>
      <c r="V60" s="20" t="s">
        <v>90</v>
      </c>
      <c r="W60" s="21"/>
    </row>
    <row r="61" customFormat="false" ht="15" hidden="false" customHeight="false" outlineLevel="0" collapsed="false">
      <c r="A61" s="20" t="n">
        <v>60</v>
      </c>
      <c r="B61" s="20" t="s">
        <v>341</v>
      </c>
      <c r="C61" s="20" t="s">
        <v>4</v>
      </c>
      <c r="D61" s="20" t="s">
        <v>342</v>
      </c>
      <c r="E61" s="20" t="s">
        <v>20</v>
      </c>
      <c r="F61" s="20" t="s">
        <v>282</v>
      </c>
      <c r="G61" s="21" t="s">
        <v>343</v>
      </c>
      <c r="H61" s="20" t="s">
        <v>344</v>
      </c>
      <c r="I61" s="20"/>
      <c r="J61" s="20"/>
      <c r="K61" s="22"/>
      <c r="L61" s="23"/>
      <c r="M61" s="20" t="s">
        <v>100</v>
      </c>
      <c r="N61" s="24"/>
      <c r="O61" s="24"/>
      <c r="P61" s="20" t="s">
        <v>101</v>
      </c>
      <c r="Q61" s="20" t="s">
        <v>86</v>
      </c>
      <c r="R61" s="20" t="s">
        <v>86</v>
      </c>
      <c r="S61" s="20" t="s">
        <v>102</v>
      </c>
      <c r="T61" s="26" t="s">
        <v>103</v>
      </c>
      <c r="U61" s="20" t="s">
        <v>104</v>
      </c>
      <c r="V61" s="20" t="s">
        <v>90</v>
      </c>
      <c r="W61" s="21"/>
    </row>
    <row r="62" customFormat="false" ht="15" hidden="false" customHeight="false" outlineLevel="0" collapsed="false">
      <c r="A62" s="20" t="n">
        <v>61</v>
      </c>
      <c r="B62" s="20" t="s">
        <v>345</v>
      </c>
      <c r="C62" s="20" t="s">
        <v>4</v>
      </c>
      <c r="D62" s="20" t="s">
        <v>346</v>
      </c>
      <c r="E62" s="20" t="s">
        <v>21</v>
      </c>
      <c r="F62" s="20" t="s">
        <v>347</v>
      </c>
      <c r="G62" s="21" t="s">
        <v>348</v>
      </c>
      <c r="H62" s="20"/>
      <c r="I62" s="20"/>
      <c r="J62" s="20"/>
      <c r="K62" s="22"/>
      <c r="L62" s="23"/>
      <c r="M62" s="20" t="s">
        <v>84</v>
      </c>
      <c r="N62" s="24" t="n">
        <v>6.56059</v>
      </c>
      <c r="O62" s="24" t="n">
        <v>3.37026</v>
      </c>
      <c r="P62" s="20" t="s">
        <v>85</v>
      </c>
      <c r="Q62" s="20" t="s">
        <v>86</v>
      </c>
      <c r="R62" s="20" t="s">
        <v>86</v>
      </c>
      <c r="S62" s="20" t="s">
        <v>87</v>
      </c>
      <c r="T62" s="25" t="s">
        <v>88</v>
      </c>
      <c r="U62" s="20" t="s">
        <v>89</v>
      </c>
      <c r="V62" s="20" t="s">
        <v>90</v>
      </c>
      <c r="W62" s="21"/>
    </row>
    <row r="63" customFormat="false" ht="15" hidden="false" customHeight="false" outlineLevel="0" collapsed="false">
      <c r="A63" s="20" t="n">
        <v>62</v>
      </c>
      <c r="B63" s="20" t="s">
        <v>349</v>
      </c>
      <c r="C63" s="20" t="s">
        <v>4</v>
      </c>
      <c r="D63" s="20" t="s">
        <v>350</v>
      </c>
      <c r="E63" s="20" t="s">
        <v>21</v>
      </c>
      <c r="F63" s="20" t="s">
        <v>351</v>
      </c>
      <c r="G63" s="21" t="s">
        <v>352</v>
      </c>
      <c r="H63" s="20" t="s">
        <v>353</v>
      </c>
      <c r="I63" s="20"/>
      <c r="J63" s="20"/>
      <c r="K63" s="22" t="n">
        <v>4.5</v>
      </c>
      <c r="L63" s="23" t="n">
        <v>2</v>
      </c>
      <c r="M63" s="20" t="s">
        <v>100</v>
      </c>
      <c r="N63" s="24" t="n">
        <v>6.56451</v>
      </c>
      <c r="O63" s="24" t="n">
        <v>3.37669</v>
      </c>
      <c r="P63" s="20" t="s">
        <v>110</v>
      </c>
      <c r="Q63" s="20" t="s">
        <v>86</v>
      </c>
      <c r="R63" s="20" t="s">
        <v>86</v>
      </c>
      <c r="S63" s="20" t="s">
        <v>87</v>
      </c>
      <c r="T63" s="26" t="s">
        <v>103</v>
      </c>
      <c r="U63" s="20" t="s">
        <v>104</v>
      </c>
      <c r="V63" s="20" t="s">
        <v>138</v>
      </c>
      <c r="W63" s="21" t="s">
        <v>299</v>
      </c>
    </row>
    <row r="64" customFormat="false" ht="15" hidden="false" customHeight="false" outlineLevel="0" collapsed="false">
      <c r="A64" s="20" t="n">
        <v>63</v>
      </c>
      <c r="B64" s="20" t="s">
        <v>354</v>
      </c>
      <c r="C64" s="20" t="s">
        <v>4</v>
      </c>
      <c r="D64" s="20" t="s">
        <v>355</v>
      </c>
      <c r="E64" s="20" t="s">
        <v>21</v>
      </c>
      <c r="F64" s="20" t="s">
        <v>356</v>
      </c>
      <c r="G64" s="21" t="s">
        <v>355</v>
      </c>
      <c r="H64" s="20"/>
      <c r="I64" s="20"/>
      <c r="J64" s="20"/>
      <c r="K64" s="22"/>
      <c r="L64" s="23"/>
      <c r="M64" s="20" t="s">
        <v>84</v>
      </c>
      <c r="N64" s="24" t="n">
        <v>6.57172</v>
      </c>
      <c r="O64" s="24" t="n">
        <v>3.36687</v>
      </c>
      <c r="P64" s="20" t="s">
        <v>85</v>
      </c>
      <c r="Q64" s="20" t="s">
        <v>86</v>
      </c>
      <c r="R64" s="20" t="s">
        <v>86</v>
      </c>
      <c r="S64" s="20" t="s">
        <v>87</v>
      </c>
      <c r="T64" s="25" t="s">
        <v>88</v>
      </c>
      <c r="U64" s="20" t="s">
        <v>89</v>
      </c>
      <c r="V64" s="20" t="s">
        <v>90</v>
      </c>
      <c r="W64" s="21"/>
    </row>
    <row r="65" customFormat="false" ht="15" hidden="false" customHeight="false" outlineLevel="0" collapsed="false">
      <c r="A65" s="20" t="n">
        <v>64</v>
      </c>
      <c r="B65" s="20" t="s">
        <v>357</v>
      </c>
      <c r="C65" s="20" t="s">
        <v>4</v>
      </c>
      <c r="D65" s="20" t="s">
        <v>358</v>
      </c>
      <c r="E65" s="20" t="s">
        <v>21</v>
      </c>
      <c r="F65" s="20" t="s">
        <v>359</v>
      </c>
      <c r="G65" s="21" t="s">
        <v>360</v>
      </c>
      <c r="H65" s="20" t="s">
        <v>361</v>
      </c>
      <c r="I65" s="20"/>
      <c r="J65" s="20"/>
      <c r="K65" s="22" t="n">
        <v>4.5</v>
      </c>
      <c r="L65" s="23" t="n">
        <v>24</v>
      </c>
      <c r="M65" s="20" t="s">
        <v>100</v>
      </c>
      <c r="N65" s="24" t="n">
        <v>6.56282</v>
      </c>
      <c r="O65" s="24" t="n">
        <v>3.37091</v>
      </c>
      <c r="P65" s="20" t="s">
        <v>110</v>
      </c>
      <c r="Q65" s="20" t="s">
        <v>86</v>
      </c>
      <c r="R65" s="20" t="s">
        <v>86</v>
      </c>
      <c r="S65" s="20" t="s">
        <v>87</v>
      </c>
      <c r="T65" s="27" t="s">
        <v>117</v>
      </c>
      <c r="U65" s="20" t="s">
        <v>118</v>
      </c>
      <c r="V65" s="20" t="s">
        <v>90</v>
      </c>
      <c r="W65" s="21"/>
    </row>
    <row r="66" customFormat="false" ht="15" hidden="false" customHeight="false" outlineLevel="0" collapsed="false">
      <c r="A66" s="20" t="n">
        <v>65</v>
      </c>
      <c r="B66" s="20" t="s">
        <v>362</v>
      </c>
      <c r="C66" s="20" t="s">
        <v>4</v>
      </c>
      <c r="D66" s="20" t="s">
        <v>363</v>
      </c>
      <c r="E66" s="20" t="s">
        <v>21</v>
      </c>
      <c r="F66" s="20" t="s">
        <v>351</v>
      </c>
      <c r="G66" s="21" t="s">
        <v>364</v>
      </c>
      <c r="H66" s="20" t="s">
        <v>365</v>
      </c>
      <c r="I66" s="20" t="s">
        <v>366</v>
      </c>
      <c r="J66" s="20" t="s">
        <v>367</v>
      </c>
      <c r="K66" s="22" t="n">
        <v>4.2</v>
      </c>
      <c r="L66" s="23" t="n">
        <v>26</v>
      </c>
      <c r="M66" s="20" t="s">
        <v>100</v>
      </c>
      <c r="N66" s="24" t="n">
        <v>6.5590956</v>
      </c>
      <c r="O66" s="24" t="n">
        <v>3.3690228</v>
      </c>
      <c r="P66" s="20" t="s">
        <v>110</v>
      </c>
      <c r="Q66" s="20" t="s">
        <v>86</v>
      </c>
      <c r="R66" s="20" t="s">
        <v>86</v>
      </c>
      <c r="S66" s="20" t="s">
        <v>87</v>
      </c>
      <c r="T66" s="27" t="s">
        <v>117</v>
      </c>
      <c r="U66" s="20" t="s">
        <v>118</v>
      </c>
      <c r="V66" s="20" t="s">
        <v>138</v>
      </c>
      <c r="W66" s="21" t="s">
        <v>299</v>
      </c>
    </row>
    <row r="67" customFormat="false" ht="15" hidden="false" customHeight="false" outlineLevel="0" collapsed="false">
      <c r="A67" s="20" t="n">
        <v>66</v>
      </c>
      <c r="B67" s="20" t="s">
        <v>368</v>
      </c>
      <c r="C67" s="20" t="s">
        <v>4</v>
      </c>
      <c r="D67" s="20" t="s">
        <v>369</v>
      </c>
      <c r="E67" s="20" t="s">
        <v>21</v>
      </c>
      <c r="F67" s="20" t="s">
        <v>356</v>
      </c>
      <c r="G67" s="21" t="s">
        <v>370</v>
      </c>
      <c r="H67" s="20" t="s">
        <v>371</v>
      </c>
      <c r="I67" s="20"/>
      <c r="J67" s="20" t="s">
        <v>372</v>
      </c>
      <c r="K67" s="22"/>
      <c r="L67" s="23"/>
      <c r="M67" s="20" t="s">
        <v>100</v>
      </c>
      <c r="N67" s="24" t="n">
        <v>6.5588958</v>
      </c>
      <c r="O67" s="24" t="n">
        <v>3.3691193</v>
      </c>
      <c r="P67" s="20" t="s">
        <v>125</v>
      </c>
      <c r="Q67" s="20" t="s">
        <v>86</v>
      </c>
      <c r="R67" s="20" t="s">
        <v>86</v>
      </c>
      <c r="S67" s="20" t="s">
        <v>87</v>
      </c>
      <c r="T67" s="26" t="s">
        <v>103</v>
      </c>
      <c r="U67" s="20" t="s">
        <v>104</v>
      </c>
      <c r="V67" s="20" t="s">
        <v>90</v>
      </c>
      <c r="W67" s="21"/>
    </row>
    <row r="68" customFormat="false" ht="15" hidden="false" customHeight="false" outlineLevel="0" collapsed="false">
      <c r="A68" s="20" t="n">
        <v>67</v>
      </c>
      <c r="B68" s="20" t="s">
        <v>373</v>
      </c>
      <c r="C68" s="20" t="s">
        <v>4</v>
      </c>
      <c r="D68" s="20" t="s">
        <v>374</v>
      </c>
      <c r="E68" s="20" t="s">
        <v>21</v>
      </c>
      <c r="F68" s="20" t="s">
        <v>359</v>
      </c>
      <c r="G68" s="21" t="s">
        <v>375</v>
      </c>
      <c r="H68" s="20" t="s">
        <v>376</v>
      </c>
      <c r="I68" s="20"/>
      <c r="J68" s="20"/>
      <c r="K68" s="22"/>
      <c r="L68" s="23"/>
      <c r="M68" s="20" t="s">
        <v>100</v>
      </c>
      <c r="N68" s="24"/>
      <c r="O68" s="24"/>
      <c r="P68" s="20" t="s">
        <v>101</v>
      </c>
      <c r="Q68" s="20" t="s">
        <v>86</v>
      </c>
      <c r="R68" s="20" t="s">
        <v>86</v>
      </c>
      <c r="S68" s="20" t="s">
        <v>102</v>
      </c>
      <c r="T68" s="26" t="s">
        <v>103</v>
      </c>
      <c r="U68" s="20" t="s">
        <v>104</v>
      </c>
      <c r="V68" s="20" t="s">
        <v>90</v>
      </c>
      <c r="W68" s="21"/>
    </row>
    <row r="69" customFormat="false" ht="23.85" hidden="false" customHeight="false" outlineLevel="0" collapsed="false">
      <c r="A69" s="20" t="n">
        <v>68</v>
      </c>
      <c r="B69" s="20" t="s">
        <v>377</v>
      </c>
      <c r="C69" s="20" t="s">
        <v>4</v>
      </c>
      <c r="D69" s="20" t="s">
        <v>378</v>
      </c>
      <c r="E69" s="20" t="s">
        <v>21</v>
      </c>
      <c r="F69" s="20" t="s">
        <v>359</v>
      </c>
      <c r="G69" s="21" t="s">
        <v>379</v>
      </c>
      <c r="H69" s="20" t="s">
        <v>380</v>
      </c>
      <c r="I69" s="20"/>
      <c r="J69" s="20"/>
      <c r="K69" s="22"/>
      <c r="L69" s="23"/>
      <c r="M69" s="20" t="s">
        <v>100</v>
      </c>
      <c r="N69" s="24"/>
      <c r="O69" s="24"/>
      <c r="P69" s="20" t="s">
        <v>101</v>
      </c>
      <c r="Q69" s="20" t="s">
        <v>86</v>
      </c>
      <c r="R69" s="20" t="s">
        <v>86</v>
      </c>
      <c r="S69" s="20" t="s">
        <v>102</v>
      </c>
      <c r="T69" s="26" t="s">
        <v>103</v>
      </c>
      <c r="U69" s="20" t="s">
        <v>104</v>
      </c>
      <c r="V69" s="20" t="s">
        <v>90</v>
      </c>
      <c r="W69" s="21"/>
    </row>
    <row r="70" customFormat="false" ht="23.85" hidden="false" customHeight="false" outlineLevel="0" collapsed="false">
      <c r="A70" s="20" t="n">
        <v>69</v>
      </c>
      <c r="B70" s="20" t="s">
        <v>381</v>
      </c>
      <c r="C70" s="20" t="s">
        <v>4</v>
      </c>
      <c r="D70" s="20" t="s">
        <v>382</v>
      </c>
      <c r="E70" s="20" t="s">
        <v>21</v>
      </c>
      <c r="F70" s="20" t="s">
        <v>347</v>
      </c>
      <c r="G70" s="21" t="s">
        <v>383</v>
      </c>
      <c r="H70" s="20" t="s">
        <v>384</v>
      </c>
      <c r="I70" s="20"/>
      <c r="J70" s="20" t="s">
        <v>385</v>
      </c>
      <c r="K70" s="22"/>
      <c r="L70" s="23"/>
      <c r="M70" s="20" t="s">
        <v>100</v>
      </c>
      <c r="N70" s="24" t="n">
        <v>6.5591754</v>
      </c>
      <c r="O70" s="24" t="n">
        <v>3.3693708</v>
      </c>
      <c r="P70" s="20" t="s">
        <v>125</v>
      </c>
      <c r="Q70" s="20" t="s">
        <v>86</v>
      </c>
      <c r="R70" s="20" t="s">
        <v>86</v>
      </c>
      <c r="S70" s="20" t="s">
        <v>87</v>
      </c>
      <c r="T70" s="26" t="s">
        <v>103</v>
      </c>
      <c r="U70" s="20" t="s">
        <v>104</v>
      </c>
      <c r="V70" s="20" t="s">
        <v>90</v>
      </c>
      <c r="W70" s="21"/>
    </row>
    <row r="71" customFormat="false" ht="23.85" hidden="false" customHeight="false" outlineLevel="0" collapsed="false">
      <c r="A71" s="20" t="n">
        <v>70</v>
      </c>
      <c r="B71" s="20" t="s">
        <v>386</v>
      </c>
      <c r="C71" s="20" t="s">
        <v>4</v>
      </c>
      <c r="D71" s="20" t="s">
        <v>387</v>
      </c>
      <c r="E71" s="20" t="s">
        <v>21</v>
      </c>
      <c r="F71" s="20" t="s">
        <v>359</v>
      </c>
      <c r="G71" s="21" t="s">
        <v>388</v>
      </c>
      <c r="H71" s="20" t="s">
        <v>389</v>
      </c>
      <c r="I71" s="20"/>
      <c r="J71" s="20"/>
      <c r="K71" s="22"/>
      <c r="L71" s="23"/>
      <c r="M71" s="20" t="s">
        <v>100</v>
      </c>
      <c r="N71" s="24"/>
      <c r="O71" s="24"/>
      <c r="P71" s="20" t="s">
        <v>101</v>
      </c>
      <c r="Q71" s="20" t="s">
        <v>86</v>
      </c>
      <c r="R71" s="20" t="s">
        <v>86</v>
      </c>
      <c r="S71" s="20" t="s">
        <v>102</v>
      </c>
      <c r="T71" s="26" t="s">
        <v>103</v>
      </c>
      <c r="U71" s="20" t="s">
        <v>104</v>
      </c>
      <c r="V71" s="20" t="s">
        <v>90</v>
      </c>
      <c r="W71" s="21"/>
    </row>
    <row r="72" customFormat="false" ht="15" hidden="false" customHeight="false" outlineLevel="0" collapsed="false">
      <c r="A72" s="20" t="n">
        <v>71</v>
      </c>
      <c r="B72" s="20" t="s">
        <v>390</v>
      </c>
      <c r="C72" s="20" t="s">
        <v>4</v>
      </c>
      <c r="D72" s="20" t="s">
        <v>391</v>
      </c>
      <c r="E72" s="20" t="s">
        <v>21</v>
      </c>
      <c r="F72" s="20" t="s">
        <v>347</v>
      </c>
      <c r="G72" s="21" t="s">
        <v>392</v>
      </c>
      <c r="H72" s="20" t="s">
        <v>393</v>
      </c>
      <c r="I72" s="20"/>
      <c r="J72" s="20" t="s">
        <v>394</v>
      </c>
      <c r="K72" s="22" t="n">
        <v>5</v>
      </c>
      <c r="L72" s="23" t="n">
        <v>1</v>
      </c>
      <c r="M72" s="20" t="s">
        <v>100</v>
      </c>
      <c r="N72" s="24" t="n">
        <v>6.557684</v>
      </c>
      <c r="O72" s="24" t="n">
        <v>3.367361</v>
      </c>
      <c r="P72" s="20" t="s">
        <v>125</v>
      </c>
      <c r="Q72" s="20" t="s">
        <v>86</v>
      </c>
      <c r="R72" s="20" t="s">
        <v>86</v>
      </c>
      <c r="S72" s="20" t="s">
        <v>87</v>
      </c>
      <c r="T72" s="26" t="s">
        <v>103</v>
      </c>
      <c r="U72" s="20" t="s">
        <v>104</v>
      </c>
      <c r="V72" s="20" t="s">
        <v>90</v>
      </c>
      <c r="W72" s="21"/>
    </row>
    <row r="73" customFormat="false" ht="15" hidden="false" customHeight="false" outlineLevel="0" collapsed="false">
      <c r="A73" s="20" t="n">
        <v>72</v>
      </c>
      <c r="B73" s="20" t="s">
        <v>395</v>
      </c>
      <c r="C73" s="20" t="s">
        <v>4</v>
      </c>
      <c r="D73" s="20" t="s">
        <v>396</v>
      </c>
      <c r="E73" s="20" t="s">
        <v>21</v>
      </c>
      <c r="F73" s="20" t="s">
        <v>359</v>
      </c>
      <c r="G73" s="21" t="s">
        <v>397</v>
      </c>
      <c r="H73" s="20" t="s">
        <v>398</v>
      </c>
      <c r="I73" s="20"/>
      <c r="J73" s="20"/>
      <c r="K73" s="22"/>
      <c r="L73" s="23"/>
      <c r="M73" s="20" t="s">
        <v>100</v>
      </c>
      <c r="N73" s="24"/>
      <c r="O73" s="24"/>
      <c r="P73" s="20" t="s">
        <v>101</v>
      </c>
      <c r="Q73" s="20" t="s">
        <v>86</v>
      </c>
      <c r="R73" s="20" t="s">
        <v>86</v>
      </c>
      <c r="S73" s="20" t="s">
        <v>102</v>
      </c>
      <c r="T73" s="26" t="s">
        <v>103</v>
      </c>
      <c r="U73" s="20" t="s">
        <v>104</v>
      </c>
      <c r="V73" s="20" t="s">
        <v>90</v>
      </c>
      <c r="W73" s="21"/>
    </row>
    <row r="74" customFormat="false" ht="23.85" hidden="false" customHeight="false" outlineLevel="0" collapsed="false">
      <c r="A74" s="20" t="n">
        <v>73</v>
      </c>
      <c r="B74" s="20" t="s">
        <v>399</v>
      </c>
      <c r="C74" s="20" t="s">
        <v>4</v>
      </c>
      <c r="D74" s="20" t="s">
        <v>400</v>
      </c>
      <c r="E74" s="20" t="s">
        <v>21</v>
      </c>
      <c r="F74" s="20" t="s">
        <v>347</v>
      </c>
      <c r="G74" s="21" t="s">
        <v>401</v>
      </c>
      <c r="H74" s="20"/>
      <c r="I74" s="20"/>
      <c r="J74" s="20" t="s">
        <v>402</v>
      </c>
      <c r="K74" s="22" t="n">
        <v>5</v>
      </c>
      <c r="L74" s="23" t="n">
        <v>1</v>
      </c>
      <c r="M74" s="20" t="s">
        <v>84</v>
      </c>
      <c r="N74" s="24" t="n">
        <v>6.5598407</v>
      </c>
      <c r="O74" s="24" t="n">
        <v>3.3697345</v>
      </c>
      <c r="P74" s="20" t="s">
        <v>125</v>
      </c>
      <c r="Q74" s="20" t="s">
        <v>86</v>
      </c>
      <c r="R74" s="20" t="s">
        <v>86</v>
      </c>
      <c r="S74" s="20" t="s">
        <v>87</v>
      </c>
      <c r="T74" s="25" t="s">
        <v>88</v>
      </c>
      <c r="U74" s="20" t="s">
        <v>89</v>
      </c>
      <c r="V74" s="20" t="s">
        <v>90</v>
      </c>
      <c r="W74" s="21"/>
    </row>
    <row r="75" customFormat="false" ht="15" hidden="false" customHeight="false" outlineLevel="0" collapsed="false">
      <c r="A75" s="20" t="n">
        <v>74</v>
      </c>
      <c r="B75" s="20" t="s">
        <v>403</v>
      </c>
      <c r="C75" s="20" t="s">
        <v>4</v>
      </c>
      <c r="D75" s="20" t="s">
        <v>404</v>
      </c>
      <c r="E75" s="20" t="s">
        <v>21</v>
      </c>
      <c r="F75" s="20" t="s">
        <v>405</v>
      </c>
      <c r="G75" s="21" t="s">
        <v>406</v>
      </c>
      <c r="H75" s="20" t="s">
        <v>407</v>
      </c>
      <c r="I75" s="20" t="s">
        <v>408</v>
      </c>
      <c r="J75" s="20"/>
      <c r="K75" s="22"/>
      <c r="L75" s="23"/>
      <c r="M75" s="20" t="s">
        <v>100</v>
      </c>
      <c r="N75" s="24"/>
      <c r="O75" s="24"/>
      <c r="P75" s="20" t="s">
        <v>101</v>
      </c>
      <c r="Q75" s="20" t="s">
        <v>86</v>
      </c>
      <c r="R75" s="20" t="s">
        <v>86</v>
      </c>
      <c r="S75" s="20" t="s">
        <v>102</v>
      </c>
      <c r="T75" s="27" t="s">
        <v>117</v>
      </c>
      <c r="U75" s="20" t="s">
        <v>118</v>
      </c>
      <c r="V75" s="20" t="s">
        <v>90</v>
      </c>
      <c r="W75" s="21"/>
    </row>
    <row r="76" customFormat="false" ht="23.85" hidden="false" customHeight="false" outlineLevel="0" collapsed="false">
      <c r="A76" s="20" t="n">
        <v>75</v>
      </c>
      <c r="B76" s="20" t="s">
        <v>409</v>
      </c>
      <c r="C76" s="20" t="s">
        <v>4</v>
      </c>
      <c r="D76" s="20" t="s">
        <v>410</v>
      </c>
      <c r="E76" s="20" t="s">
        <v>21</v>
      </c>
      <c r="F76" s="20" t="s">
        <v>411</v>
      </c>
      <c r="G76" s="21" t="s">
        <v>412</v>
      </c>
      <c r="H76" s="20" t="s">
        <v>413</v>
      </c>
      <c r="I76" s="20"/>
      <c r="J76" s="20" t="s">
        <v>414</v>
      </c>
      <c r="K76" s="22"/>
      <c r="L76" s="23"/>
      <c r="M76" s="20" t="s">
        <v>100</v>
      </c>
      <c r="N76" s="24" t="n">
        <v>6.5603042</v>
      </c>
      <c r="O76" s="24" t="n">
        <v>3.3700472</v>
      </c>
      <c r="P76" s="20" t="s">
        <v>125</v>
      </c>
      <c r="Q76" s="20" t="s">
        <v>86</v>
      </c>
      <c r="R76" s="20" t="s">
        <v>86</v>
      </c>
      <c r="S76" s="20" t="s">
        <v>87</v>
      </c>
      <c r="T76" s="26" t="s">
        <v>103</v>
      </c>
      <c r="U76" s="20" t="s">
        <v>104</v>
      </c>
      <c r="V76" s="20" t="s">
        <v>90</v>
      </c>
      <c r="W76" s="21"/>
    </row>
    <row r="77" customFormat="false" ht="15" hidden="false" customHeight="false" outlineLevel="0" collapsed="false">
      <c r="A77" s="20" t="n">
        <v>76</v>
      </c>
      <c r="B77" s="20" t="s">
        <v>415</v>
      </c>
      <c r="C77" s="20" t="s">
        <v>4</v>
      </c>
      <c r="D77" s="20" t="s">
        <v>416</v>
      </c>
      <c r="E77" s="20" t="s">
        <v>21</v>
      </c>
      <c r="F77" s="20" t="s">
        <v>351</v>
      </c>
      <c r="G77" s="21" t="s">
        <v>417</v>
      </c>
      <c r="H77" s="20" t="s">
        <v>418</v>
      </c>
      <c r="I77" s="20"/>
      <c r="J77" s="20"/>
      <c r="K77" s="22" t="n">
        <v>5</v>
      </c>
      <c r="L77" s="23" t="n">
        <v>1</v>
      </c>
      <c r="M77" s="20" t="s">
        <v>100</v>
      </c>
      <c r="N77" s="24" t="n">
        <v>6.56558</v>
      </c>
      <c r="O77" s="24" t="n">
        <v>3.37563</v>
      </c>
      <c r="P77" s="20" t="s">
        <v>110</v>
      </c>
      <c r="Q77" s="20" t="s">
        <v>86</v>
      </c>
      <c r="R77" s="20" t="s">
        <v>86</v>
      </c>
      <c r="S77" s="20" t="s">
        <v>87</v>
      </c>
      <c r="T77" s="26" t="s">
        <v>103</v>
      </c>
      <c r="U77" s="20" t="s">
        <v>104</v>
      </c>
      <c r="V77" s="20" t="s">
        <v>138</v>
      </c>
      <c r="W77" s="21" t="s">
        <v>299</v>
      </c>
    </row>
    <row r="78" customFormat="false" ht="15" hidden="false" customHeight="false" outlineLevel="0" collapsed="false">
      <c r="A78" s="20" t="n">
        <v>77</v>
      </c>
      <c r="B78" s="20" t="s">
        <v>419</v>
      </c>
      <c r="C78" s="20" t="s">
        <v>4</v>
      </c>
      <c r="D78" s="20" t="s">
        <v>346</v>
      </c>
      <c r="E78" s="20" t="s">
        <v>21</v>
      </c>
      <c r="F78" s="20" t="s">
        <v>356</v>
      </c>
      <c r="G78" s="21" t="s">
        <v>420</v>
      </c>
      <c r="H78" s="20" t="s">
        <v>421</v>
      </c>
      <c r="I78" s="20"/>
      <c r="J78" s="20" t="s">
        <v>422</v>
      </c>
      <c r="K78" s="22"/>
      <c r="L78" s="23"/>
      <c r="M78" s="20" t="s">
        <v>100</v>
      </c>
      <c r="N78" s="24" t="n">
        <v>6.5598952</v>
      </c>
      <c r="O78" s="24" t="n">
        <v>3.3700474</v>
      </c>
      <c r="P78" s="20" t="s">
        <v>125</v>
      </c>
      <c r="Q78" s="20" t="s">
        <v>86</v>
      </c>
      <c r="R78" s="20" t="s">
        <v>86</v>
      </c>
      <c r="S78" s="20" t="s">
        <v>87</v>
      </c>
      <c r="T78" s="26" t="s">
        <v>103</v>
      </c>
      <c r="U78" s="20" t="s">
        <v>104</v>
      </c>
      <c r="V78" s="20" t="s">
        <v>90</v>
      </c>
      <c r="W78" s="21"/>
    </row>
    <row r="79" customFormat="false" ht="23.85" hidden="false" customHeight="false" outlineLevel="0" collapsed="false">
      <c r="A79" s="20" t="n">
        <v>78</v>
      </c>
      <c r="B79" s="20" t="s">
        <v>423</v>
      </c>
      <c r="C79" s="20" t="s">
        <v>4</v>
      </c>
      <c r="D79" s="20" t="s">
        <v>424</v>
      </c>
      <c r="E79" s="20" t="s">
        <v>21</v>
      </c>
      <c r="F79" s="20" t="s">
        <v>347</v>
      </c>
      <c r="G79" s="21" t="s">
        <v>425</v>
      </c>
      <c r="H79" s="20"/>
      <c r="I79" s="20"/>
      <c r="J79" s="20" t="s">
        <v>426</v>
      </c>
      <c r="K79" s="22"/>
      <c r="L79" s="23"/>
      <c r="M79" s="20" t="s">
        <v>84</v>
      </c>
      <c r="N79" s="24" t="n">
        <v>6.5598952</v>
      </c>
      <c r="O79" s="24" t="n">
        <v>3.3700474</v>
      </c>
      <c r="P79" s="20" t="s">
        <v>125</v>
      </c>
      <c r="Q79" s="20" t="s">
        <v>86</v>
      </c>
      <c r="R79" s="20" t="s">
        <v>86</v>
      </c>
      <c r="S79" s="20" t="s">
        <v>87</v>
      </c>
      <c r="T79" s="25" t="s">
        <v>88</v>
      </c>
      <c r="U79" s="20" t="s">
        <v>89</v>
      </c>
      <c r="V79" s="20" t="s">
        <v>90</v>
      </c>
      <c r="W79" s="21"/>
    </row>
    <row r="80" customFormat="false" ht="15" hidden="false" customHeight="false" outlineLevel="0" collapsed="false">
      <c r="A80" s="20" t="n">
        <v>79</v>
      </c>
      <c r="B80" s="20" t="s">
        <v>427</v>
      </c>
      <c r="C80" s="20" t="s">
        <v>4</v>
      </c>
      <c r="D80" s="20" t="s">
        <v>428</v>
      </c>
      <c r="E80" s="20" t="s">
        <v>21</v>
      </c>
      <c r="F80" s="20" t="s">
        <v>359</v>
      </c>
      <c r="G80" s="21" t="s">
        <v>429</v>
      </c>
      <c r="H80" s="20" t="s">
        <v>430</v>
      </c>
      <c r="I80" s="20"/>
      <c r="J80" s="20"/>
      <c r="K80" s="22"/>
      <c r="L80" s="23"/>
      <c r="M80" s="20" t="s">
        <v>100</v>
      </c>
      <c r="N80" s="24"/>
      <c r="O80" s="24"/>
      <c r="P80" s="20" t="s">
        <v>101</v>
      </c>
      <c r="Q80" s="20" t="s">
        <v>86</v>
      </c>
      <c r="R80" s="20" t="s">
        <v>86</v>
      </c>
      <c r="S80" s="20" t="s">
        <v>102</v>
      </c>
      <c r="T80" s="26" t="s">
        <v>103</v>
      </c>
      <c r="U80" s="20" t="s">
        <v>104</v>
      </c>
      <c r="V80" s="20" t="s">
        <v>90</v>
      </c>
      <c r="W80" s="21"/>
    </row>
    <row r="81" customFormat="false" ht="15" hidden="false" customHeight="false" outlineLevel="0" collapsed="false">
      <c r="A81" s="20" t="n">
        <v>80</v>
      </c>
      <c r="B81" s="20" t="s">
        <v>431</v>
      </c>
      <c r="C81" s="20" t="s">
        <v>4</v>
      </c>
      <c r="D81" s="20" t="s">
        <v>432</v>
      </c>
      <c r="E81" s="20" t="s">
        <v>21</v>
      </c>
      <c r="F81" s="20" t="s">
        <v>433</v>
      </c>
      <c r="G81" s="21" t="s">
        <v>432</v>
      </c>
      <c r="H81" s="20"/>
      <c r="I81" s="20"/>
      <c r="J81" s="20"/>
      <c r="K81" s="22" t="n">
        <v>5</v>
      </c>
      <c r="L81" s="23" t="n">
        <v>6</v>
      </c>
      <c r="M81" s="20" t="s">
        <v>84</v>
      </c>
      <c r="N81" s="24" t="n">
        <v>6.56436</v>
      </c>
      <c r="O81" s="24" t="n">
        <v>3.3704</v>
      </c>
      <c r="P81" s="20" t="s">
        <v>85</v>
      </c>
      <c r="Q81" s="20" t="s">
        <v>86</v>
      </c>
      <c r="R81" s="20" t="s">
        <v>86</v>
      </c>
      <c r="S81" s="20" t="s">
        <v>87</v>
      </c>
      <c r="T81" s="25" t="s">
        <v>88</v>
      </c>
      <c r="U81" s="20" t="s">
        <v>89</v>
      </c>
      <c r="V81" s="20" t="s">
        <v>90</v>
      </c>
      <c r="W81" s="21"/>
    </row>
    <row r="82" customFormat="false" ht="15" hidden="false" customHeight="false" outlineLevel="0" collapsed="false">
      <c r="A82" s="20" t="n">
        <v>81</v>
      </c>
      <c r="B82" s="20" t="s">
        <v>434</v>
      </c>
      <c r="C82" s="20" t="s">
        <v>4</v>
      </c>
      <c r="D82" s="20" t="s">
        <v>435</v>
      </c>
      <c r="E82" s="20" t="s">
        <v>21</v>
      </c>
      <c r="F82" s="20" t="s">
        <v>351</v>
      </c>
      <c r="G82" s="21" t="s">
        <v>436</v>
      </c>
      <c r="H82" s="20" t="s">
        <v>437</v>
      </c>
      <c r="I82" s="20"/>
      <c r="J82" s="20"/>
      <c r="K82" s="22" t="n">
        <v>4.6</v>
      </c>
      <c r="L82" s="23" t="n">
        <v>22</v>
      </c>
      <c r="M82" s="20" t="s">
        <v>100</v>
      </c>
      <c r="N82" s="24" t="n">
        <v>6.56889</v>
      </c>
      <c r="O82" s="24" t="n">
        <v>3.37191</v>
      </c>
      <c r="P82" s="20" t="s">
        <v>110</v>
      </c>
      <c r="Q82" s="20" t="s">
        <v>86</v>
      </c>
      <c r="R82" s="20" t="s">
        <v>86</v>
      </c>
      <c r="S82" s="20" t="s">
        <v>87</v>
      </c>
      <c r="T82" s="27" t="s">
        <v>117</v>
      </c>
      <c r="U82" s="20" t="s">
        <v>118</v>
      </c>
      <c r="V82" s="20" t="s">
        <v>138</v>
      </c>
      <c r="W82" s="21" t="s">
        <v>299</v>
      </c>
    </row>
    <row r="83" customFormat="false" ht="23.85" hidden="false" customHeight="false" outlineLevel="0" collapsed="false">
      <c r="A83" s="20" t="n">
        <v>82</v>
      </c>
      <c r="B83" s="20" t="s">
        <v>438</v>
      </c>
      <c r="C83" s="20" t="s">
        <v>4</v>
      </c>
      <c r="D83" s="20" t="s">
        <v>346</v>
      </c>
      <c r="E83" s="20" t="s">
        <v>21</v>
      </c>
      <c r="F83" s="20" t="s">
        <v>356</v>
      </c>
      <c r="G83" s="21" t="s">
        <v>439</v>
      </c>
      <c r="H83" s="20" t="s">
        <v>440</v>
      </c>
      <c r="I83" s="20"/>
      <c r="J83" s="20" t="s">
        <v>441</v>
      </c>
      <c r="K83" s="22" t="n">
        <v>5</v>
      </c>
      <c r="L83" s="23" t="n">
        <v>1</v>
      </c>
      <c r="M83" s="20" t="s">
        <v>100</v>
      </c>
      <c r="N83" s="24" t="n">
        <v>6.5591189</v>
      </c>
      <c r="O83" s="24" t="n">
        <v>3.3703777</v>
      </c>
      <c r="P83" s="20" t="s">
        <v>125</v>
      </c>
      <c r="Q83" s="20" t="s">
        <v>86</v>
      </c>
      <c r="R83" s="20" t="s">
        <v>86</v>
      </c>
      <c r="S83" s="20" t="s">
        <v>87</v>
      </c>
      <c r="T83" s="26" t="s">
        <v>103</v>
      </c>
      <c r="U83" s="20" t="s">
        <v>104</v>
      </c>
      <c r="V83" s="20" t="s">
        <v>90</v>
      </c>
      <c r="W83" s="21"/>
    </row>
    <row r="84" customFormat="false" ht="15" hidden="false" customHeight="false" outlineLevel="0" collapsed="false">
      <c r="A84" s="20" t="n">
        <v>83</v>
      </c>
      <c r="B84" s="20" t="s">
        <v>442</v>
      </c>
      <c r="C84" s="20" t="s">
        <v>4</v>
      </c>
      <c r="D84" s="20" t="s">
        <v>346</v>
      </c>
      <c r="E84" s="20" t="s">
        <v>21</v>
      </c>
      <c r="F84" s="20" t="s">
        <v>356</v>
      </c>
      <c r="G84" s="21" t="s">
        <v>443</v>
      </c>
      <c r="H84" s="20"/>
      <c r="I84" s="20"/>
      <c r="J84" s="20"/>
      <c r="K84" s="22"/>
      <c r="L84" s="23"/>
      <c r="M84" s="20" t="s">
        <v>84</v>
      </c>
      <c r="N84" s="24" t="n">
        <v>6.55977</v>
      </c>
      <c r="O84" s="24" t="n">
        <v>3.37034</v>
      </c>
      <c r="P84" s="20" t="s">
        <v>85</v>
      </c>
      <c r="Q84" s="20" t="s">
        <v>86</v>
      </c>
      <c r="R84" s="20" t="s">
        <v>86</v>
      </c>
      <c r="S84" s="20" t="s">
        <v>87</v>
      </c>
      <c r="T84" s="25" t="s">
        <v>88</v>
      </c>
      <c r="U84" s="20" t="s">
        <v>89</v>
      </c>
      <c r="V84" s="20" t="s">
        <v>90</v>
      </c>
      <c r="W84" s="21"/>
    </row>
    <row r="85" customFormat="false" ht="15" hidden="false" customHeight="false" outlineLevel="0" collapsed="false">
      <c r="A85" s="20" t="n">
        <v>84</v>
      </c>
      <c r="B85" s="20" t="s">
        <v>444</v>
      </c>
      <c r="C85" s="20" t="s">
        <v>4</v>
      </c>
      <c r="D85" s="20" t="s">
        <v>445</v>
      </c>
      <c r="E85" s="20" t="s">
        <v>21</v>
      </c>
      <c r="F85" s="20" t="s">
        <v>446</v>
      </c>
      <c r="G85" s="21" t="s">
        <v>445</v>
      </c>
      <c r="H85" s="20"/>
      <c r="I85" s="20"/>
      <c r="J85" s="20"/>
      <c r="K85" s="22" t="n">
        <v>5</v>
      </c>
      <c r="L85" s="23" t="n">
        <v>2</v>
      </c>
      <c r="M85" s="20" t="s">
        <v>84</v>
      </c>
      <c r="N85" s="24" t="n">
        <v>6.56279</v>
      </c>
      <c r="O85" s="24" t="n">
        <v>3.371</v>
      </c>
      <c r="P85" s="20" t="s">
        <v>85</v>
      </c>
      <c r="Q85" s="20" t="s">
        <v>86</v>
      </c>
      <c r="R85" s="20" t="s">
        <v>86</v>
      </c>
      <c r="S85" s="20" t="s">
        <v>87</v>
      </c>
      <c r="T85" s="25" t="s">
        <v>88</v>
      </c>
      <c r="U85" s="20" t="s">
        <v>89</v>
      </c>
      <c r="V85" s="20" t="s">
        <v>90</v>
      </c>
      <c r="W85" s="21"/>
    </row>
    <row r="86" customFormat="false" ht="23.85" hidden="false" customHeight="false" outlineLevel="0" collapsed="false">
      <c r="A86" s="20" t="n">
        <v>85</v>
      </c>
      <c r="B86" s="20" t="s">
        <v>447</v>
      </c>
      <c r="C86" s="20" t="s">
        <v>4</v>
      </c>
      <c r="D86" s="20" t="s">
        <v>448</v>
      </c>
      <c r="E86" s="20" t="s">
        <v>21</v>
      </c>
      <c r="F86" s="20" t="s">
        <v>356</v>
      </c>
      <c r="G86" s="21" t="s">
        <v>449</v>
      </c>
      <c r="H86" s="20" t="s">
        <v>450</v>
      </c>
      <c r="I86" s="20"/>
      <c r="J86" s="20" t="s">
        <v>451</v>
      </c>
      <c r="K86" s="22"/>
      <c r="L86" s="23"/>
      <c r="M86" s="20" t="s">
        <v>100</v>
      </c>
      <c r="N86" s="24" t="n">
        <v>6.5603042</v>
      </c>
      <c r="O86" s="24" t="n">
        <v>3.3700472</v>
      </c>
      <c r="P86" s="20" t="s">
        <v>125</v>
      </c>
      <c r="Q86" s="20" t="s">
        <v>86</v>
      </c>
      <c r="R86" s="20" t="s">
        <v>86</v>
      </c>
      <c r="S86" s="20" t="s">
        <v>87</v>
      </c>
      <c r="T86" s="26" t="s">
        <v>103</v>
      </c>
      <c r="U86" s="20" t="s">
        <v>104</v>
      </c>
      <c r="V86" s="20" t="s">
        <v>90</v>
      </c>
      <c r="W86" s="21"/>
    </row>
    <row r="87" customFormat="false" ht="15" hidden="false" customHeight="false" outlineLevel="0" collapsed="false">
      <c r="A87" s="20" t="n">
        <v>86</v>
      </c>
      <c r="B87" s="20" t="s">
        <v>452</v>
      </c>
      <c r="C87" s="20" t="s">
        <v>4</v>
      </c>
      <c r="D87" s="20" t="s">
        <v>453</v>
      </c>
      <c r="E87" s="20" t="s">
        <v>21</v>
      </c>
      <c r="F87" s="20" t="s">
        <v>347</v>
      </c>
      <c r="G87" s="21" t="s">
        <v>453</v>
      </c>
      <c r="H87" s="20"/>
      <c r="I87" s="20"/>
      <c r="J87" s="20"/>
      <c r="K87" s="22" t="n">
        <v>5</v>
      </c>
      <c r="L87" s="23" t="n">
        <v>1</v>
      </c>
      <c r="M87" s="20" t="s">
        <v>84</v>
      </c>
      <c r="N87" s="24" t="n">
        <v>6.56249</v>
      </c>
      <c r="O87" s="24" t="n">
        <v>3.37255</v>
      </c>
      <c r="P87" s="20" t="s">
        <v>85</v>
      </c>
      <c r="Q87" s="20" t="s">
        <v>86</v>
      </c>
      <c r="R87" s="20" t="s">
        <v>86</v>
      </c>
      <c r="S87" s="20" t="s">
        <v>87</v>
      </c>
      <c r="T87" s="25" t="s">
        <v>88</v>
      </c>
      <c r="U87" s="20" t="s">
        <v>89</v>
      </c>
      <c r="V87" s="20" t="s">
        <v>90</v>
      </c>
      <c r="W87" s="21"/>
    </row>
    <row r="88" customFormat="false" ht="23.85" hidden="false" customHeight="false" outlineLevel="0" collapsed="false">
      <c r="A88" s="20" t="n">
        <v>87</v>
      </c>
      <c r="B88" s="20" t="s">
        <v>454</v>
      </c>
      <c r="C88" s="20" t="s">
        <v>4</v>
      </c>
      <c r="D88" s="20" t="s">
        <v>455</v>
      </c>
      <c r="E88" s="20" t="s">
        <v>21</v>
      </c>
      <c r="F88" s="20" t="s">
        <v>347</v>
      </c>
      <c r="G88" s="21" t="s">
        <v>456</v>
      </c>
      <c r="H88" s="20"/>
      <c r="I88" s="20"/>
      <c r="J88" s="20" t="s">
        <v>457</v>
      </c>
      <c r="K88" s="22"/>
      <c r="L88" s="23"/>
      <c r="M88" s="20" t="s">
        <v>84</v>
      </c>
      <c r="N88" s="24" t="n">
        <v>6.5593394</v>
      </c>
      <c r="O88" s="24" t="n">
        <v>3.370309</v>
      </c>
      <c r="P88" s="20" t="s">
        <v>125</v>
      </c>
      <c r="Q88" s="20" t="s">
        <v>86</v>
      </c>
      <c r="R88" s="20" t="s">
        <v>86</v>
      </c>
      <c r="S88" s="20" t="s">
        <v>87</v>
      </c>
      <c r="T88" s="25" t="s">
        <v>88</v>
      </c>
      <c r="U88" s="20" t="s">
        <v>89</v>
      </c>
      <c r="V88" s="20" t="s">
        <v>90</v>
      </c>
      <c r="W88" s="21"/>
    </row>
    <row r="89" customFormat="false" ht="23.85" hidden="false" customHeight="false" outlineLevel="0" collapsed="false">
      <c r="A89" s="20" t="n">
        <v>88</v>
      </c>
      <c r="B89" s="20" t="s">
        <v>458</v>
      </c>
      <c r="C89" s="20" t="s">
        <v>4</v>
      </c>
      <c r="D89" s="20" t="s">
        <v>459</v>
      </c>
      <c r="E89" s="20" t="s">
        <v>21</v>
      </c>
      <c r="F89" s="20" t="s">
        <v>347</v>
      </c>
      <c r="G89" s="21" t="s">
        <v>460</v>
      </c>
      <c r="H89" s="20" t="s">
        <v>461</v>
      </c>
      <c r="I89" s="20"/>
      <c r="J89" s="20" t="s">
        <v>462</v>
      </c>
      <c r="K89" s="22"/>
      <c r="L89" s="23"/>
      <c r="M89" s="20" t="s">
        <v>100</v>
      </c>
      <c r="N89" s="24" t="n">
        <v>6.560831</v>
      </c>
      <c r="O89" s="24" t="n">
        <v>3.3693642</v>
      </c>
      <c r="P89" s="20" t="s">
        <v>125</v>
      </c>
      <c r="Q89" s="20" t="s">
        <v>86</v>
      </c>
      <c r="R89" s="20" t="s">
        <v>86</v>
      </c>
      <c r="S89" s="20" t="s">
        <v>87</v>
      </c>
      <c r="T89" s="26" t="s">
        <v>103</v>
      </c>
      <c r="U89" s="20" t="s">
        <v>104</v>
      </c>
      <c r="V89" s="20" t="s">
        <v>90</v>
      </c>
      <c r="W89" s="21"/>
    </row>
    <row r="90" customFormat="false" ht="15" hidden="false" customHeight="false" outlineLevel="0" collapsed="false">
      <c r="A90" s="20" t="n">
        <v>89</v>
      </c>
      <c r="B90" s="20" t="s">
        <v>463</v>
      </c>
      <c r="C90" s="20" t="s">
        <v>4</v>
      </c>
      <c r="D90" s="20" t="s">
        <v>464</v>
      </c>
      <c r="E90" s="20" t="s">
        <v>21</v>
      </c>
      <c r="F90" s="20" t="s">
        <v>347</v>
      </c>
      <c r="G90" s="21" t="s">
        <v>464</v>
      </c>
      <c r="H90" s="20"/>
      <c r="I90" s="20"/>
      <c r="J90" s="20"/>
      <c r="K90" s="22" t="n">
        <v>5</v>
      </c>
      <c r="L90" s="23" t="n">
        <v>1</v>
      </c>
      <c r="M90" s="20" t="s">
        <v>84</v>
      </c>
      <c r="N90" s="24" t="n">
        <v>6.56213</v>
      </c>
      <c r="O90" s="24" t="n">
        <v>3.3677</v>
      </c>
      <c r="P90" s="20" t="s">
        <v>85</v>
      </c>
      <c r="Q90" s="20" t="s">
        <v>86</v>
      </c>
      <c r="R90" s="20" t="s">
        <v>86</v>
      </c>
      <c r="S90" s="20" t="s">
        <v>87</v>
      </c>
      <c r="T90" s="25" t="s">
        <v>88</v>
      </c>
      <c r="U90" s="20" t="s">
        <v>89</v>
      </c>
      <c r="V90" s="20" t="s">
        <v>90</v>
      </c>
      <c r="W90" s="21"/>
    </row>
    <row r="91" customFormat="false" ht="15" hidden="false" customHeight="false" outlineLevel="0" collapsed="false">
      <c r="A91" s="20" t="n">
        <v>90</v>
      </c>
      <c r="B91" s="20" t="s">
        <v>465</v>
      </c>
      <c r="C91" s="20" t="s">
        <v>4</v>
      </c>
      <c r="D91" s="20" t="s">
        <v>466</v>
      </c>
      <c r="E91" s="20" t="s">
        <v>21</v>
      </c>
      <c r="F91" s="20" t="s">
        <v>446</v>
      </c>
      <c r="G91" s="21" t="s">
        <v>467</v>
      </c>
      <c r="H91" s="20" t="s">
        <v>468</v>
      </c>
      <c r="I91" s="20" t="s">
        <v>469</v>
      </c>
      <c r="J91" s="20" t="s">
        <v>470</v>
      </c>
      <c r="K91" s="22" t="n">
        <v>5</v>
      </c>
      <c r="L91" s="23" t="n">
        <v>2</v>
      </c>
      <c r="M91" s="20" t="s">
        <v>100</v>
      </c>
      <c r="N91" s="24" t="n">
        <v>6.5578875</v>
      </c>
      <c r="O91" s="24" t="n">
        <v>3.3697909</v>
      </c>
      <c r="P91" s="20" t="s">
        <v>125</v>
      </c>
      <c r="Q91" s="20" t="s">
        <v>86</v>
      </c>
      <c r="R91" s="20" t="s">
        <v>86</v>
      </c>
      <c r="S91" s="20" t="s">
        <v>87</v>
      </c>
      <c r="T91" s="27" t="s">
        <v>117</v>
      </c>
      <c r="U91" s="20" t="s">
        <v>118</v>
      </c>
      <c r="V91" s="20" t="s">
        <v>90</v>
      </c>
      <c r="W91" s="21"/>
    </row>
    <row r="92" customFormat="false" ht="15" hidden="false" customHeight="false" outlineLevel="0" collapsed="false">
      <c r="A92" s="20" t="n">
        <v>91</v>
      </c>
      <c r="B92" s="20" t="s">
        <v>471</v>
      </c>
      <c r="C92" s="20" t="s">
        <v>4</v>
      </c>
      <c r="D92" s="20" t="s">
        <v>472</v>
      </c>
      <c r="E92" s="20" t="s">
        <v>21</v>
      </c>
      <c r="F92" s="20" t="s">
        <v>405</v>
      </c>
      <c r="G92" s="21" t="s">
        <v>473</v>
      </c>
      <c r="H92" s="20" t="s">
        <v>474</v>
      </c>
      <c r="I92" s="20" t="s">
        <v>475</v>
      </c>
      <c r="J92" s="20"/>
      <c r="K92" s="22"/>
      <c r="L92" s="23"/>
      <c r="M92" s="20" t="s">
        <v>100</v>
      </c>
      <c r="N92" s="24"/>
      <c r="O92" s="24"/>
      <c r="P92" s="20" t="s">
        <v>101</v>
      </c>
      <c r="Q92" s="20" t="s">
        <v>86</v>
      </c>
      <c r="R92" s="20" t="s">
        <v>86</v>
      </c>
      <c r="S92" s="20" t="s">
        <v>102</v>
      </c>
      <c r="T92" s="27" t="s">
        <v>117</v>
      </c>
      <c r="U92" s="20" t="s">
        <v>118</v>
      </c>
      <c r="V92" s="20" t="s">
        <v>90</v>
      </c>
      <c r="W92" s="21"/>
    </row>
    <row r="93" customFormat="false" ht="15" hidden="false" customHeight="false" outlineLevel="0" collapsed="false">
      <c r="A93" s="20" t="n">
        <v>92</v>
      </c>
      <c r="B93" s="20" t="s">
        <v>476</v>
      </c>
      <c r="C93" s="20" t="s">
        <v>4</v>
      </c>
      <c r="D93" s="20" t="s">
        <v>477</v>
      </c>
      <c r="E93" s="20" t="s">
        <v>21</v>
      </c>
      <c r="F93" s="20" t="s">
        <v>347</v>
      </c>
      <c r="G93" s="21" t="s">
        <v>478</v>
      </c>
      <c r="H93" s="20"/>
      <c r="I93" s="20"/>
      <c r="J93" s="20"/>
      <c r="K93" s="22" t="n">
        <v>5</v>
      </c>
      <c r="L93" s="23" t="n">
        <v>1</v>
      </c>
      <c r="M93" s="20" t="s">
        <v>84</v>
      </c>
      <c r="N93" s="24" t="n">
        <v>6.5718</v>
      </c>
      <c r="O93" s="24" t="n">
        <v>3.36641</v>
      </c>
      <c r="P93" s="20" t="s">
        <v>85</v>
      </c>
      <c r="Q93" s="20" t="s">
        <v>86</v>
      </c>
      <c r="R93" s="20" t="s">
        <v>86</v>
      </c>
      <c r="S93" s="20" t="s">
        <v>87</v>
      </c>
      <c r="T93" s="25" t="s">
        <v>88</v>
      </c>
      <c r="U93" s="20" t="s">
        <v>89</v>
      </c>
      <c r="V93" s="20" t="s">
        <v>90</v>
      </c>
      <c r="W93" s="21"/>
    </row>
    <row r="94" customFormat="false" ht="15" hidden="false" customHeight="false" outlineLevel="0" collapsed="false">
      <c r="A94" s="20" t="n">
        <v>93</v>
      </c>
      <c r="B94" s="20" t="s">
        <v>479</v>
      </c>
      <c r="C94" s="20" t="s">
        <v>4</v>
      </c>
      <c r="D94" s="20" t="s">
        <v>480</v>
      </c>
      <c r="E94" s="20" t="s">
        <v>21</v>
      </c>
      <c r="F94" s="20" t="s">
        <v>351</v>
      </c>
      <c r="G94" s="21" t="s">
        <v>481</v>
      </c>
      <c r="H94" s="20" t="s">
        <v>482</v>
      </c>
      <c r="I94" s="20" t="s">
        <v>483</v>
      </c>
      <c r="J94" s="20" t="s">
        <v>484</v>
      </c>
      <c r="K94" s="22" t="n">
        <v>5</v>
      </c>
      <c r="L94" s="23" t="n">
        <v>18</v>
      </c>
      <c r="M94" s="20" t="s">
        <v>100</v>
      </c>
      <c r="N94" s="24" t="n">
        <v>6.5599801</v>
      </c>
      <c r="O94" s="24" t="n">
        <v>3.3689518</v>
      </c>
      <c r="P94" s="20" t="s">
        <v>110</v>
      </c>
      <c r="Q94" s="20" t="s">
        <v>86</v>
      </c>
      <c r="R94" s="20" t="s">
        <v>86</v>
      </c>
      <c r="S94" s="20" t="s">
        <v>87</v>
      </c>
      <c r="T94" s="27" t="s">
        <v>117</v>
      </c>
      <c r="U94" s="20" t="s">
        <v>118</v>
      </c>
      <c r="V94" s="20" t="s">
        <v>90</v>
      </c>
      <c r="W94" s="21"/>
    </row>
    <row r="95" customFormat="false" ht="23.85" hidden="false" customHeight="false" outlineLevel="0" collapsed="false">
      <c r="A95" s="20" t="n">
        <v>94</v>
      </c>
      <c r="B95" s="20" t="s">
        <v>485</v>
      </c>
      <c r="C95" s="20" t="s">
        <v>4</v>
      </c>
      <c r="D95" s="20" t="s">
        <v>400</v>
      </c>
      <c r="E95" s="20" t="s">
        <v>21</v>
      </c>
      <c r="F95" s="20" t="s">
        <v>486</v>
      </c>
      <c r="G95" s="21" t="s">
        <v>401</v>
      </c>
      <c r="H95" s="20" t="s">
        <v>487</v>
      </c>
      <c r="I95" s="20"/>
      <c r="J95" s="20" t="s">
        <v>488</v>
      </c>
      <c r="K95" s="22" t="n">
        <v>4</v>
      </c>
      <c r="L95" s="23" t="n">
        <v>1</v>
      </c>
      <c r="M95" s="20" t="s">
        <v>100</v>
      </c>
      <c r="N95" s="24" t="n">
        <v>6.5599354</v>
      </c>
      <c r="O95" s="24" t="n">
        <v>3.369588</v>
      </c>
      <c r="P95" s="20" t="s">
        <v>125</v>
      </c>
      <c r="Q95" s="20" t="s">
        <v>86</v>
      </c>
      <c r="R95" s="20" t="s">
        <v>86</v>
      </c>
      <c r="S95" s="20" t="s">
        <v>87</v>
      </c>
      <c r="T95" s="26" t="s">
        <v>103</v>
      </c>
      <c r="U95" s="20" t="s">
        <v>104</v>
      </c>
      <c r="V95" s="20" t="s">
        <v>90</v>
      </c>
      <c r="W95" s="21"/>
    </row>
    <row r="96" customFormat="false" ht="23.85" hidden="false" customHeight="false" outlineLevel="0" collapsed="false">
      <c r="A96" s="20" t="n">
        <v>95</v>
      </c>
      <c r="B96" s="20" t="s">
        <v>489</v>
      </c>
      <c r="C96" s="20" t="s">
        <v>4</v>
      </c>
      <c r="D96" s="20" t="s">
        <v>490</v>
      </c>
      <c r="E96" s="20" t="s">
        <v>21</v>
      </c>
      <c r="F96" s="20" t="s">
        <v>347</v>
      </c>
      <c r="G96" s="21" t="s">
        <v>491</v>
      </c>
      <c r="H96" s="20" t="s">
        <v>492</v>
      </c>
      <c r="I96" s="20"/>
      <c r="J96" s="20" t="s">
        <v>493</v>
      </c>
      <c r="K96" s="22"/>
      <c r="L96" s="23"/>
      <c r="M96" s="20" t="s">
        <v>100</v>
      </c>
      <c r="N96" s="24" t="n">
        <v>6.5595916</v>
      </c>
      <c r="O96" s="24" t="n">
        <v>3.3692552</v>
      </c>
      <c r="P96" s="20" t="s">
        <v>125</v>
      </c>
      <c r="Q96" s="20" t="s">
        <v>86</v>
      </c>
      <c r="R96" s="20" t="s">
        <v>86</v>
      </c>
      <c r="S96" s="20" t="s">
        <v>87</v>
      </c>
      <c r="T96" s="26" t="s">
        <v>103</v>
      </c>
      <c r="U96" s="20" t="s">
        <v>104</v>
      </c>
      <c r="V96" s="20" t="s">
        <v>90</v>
      </c>
      <c r="W96" s="21"/>
    </row>
    <row r="97" customFormat="false" ht="23.85" hidden="false" customHeight="false" outlineLevel="0" collapsed="false">
      <c r="A97" s="20" t="n">
        <v>96</v>
      </c>
      <c r="B97" s="20" t="s">
        <v>494</v>
      </c>
      <c r="C97" s="20" t="s">
        <v>4</v>
      </c>
      <c r="D97" s="20" t="s">
        <v>495</v>
      </c>
      <c r="E97" s="20" t="s">
        <v>21</v>
      </c>
      <c r="F97" s="20" t="s">
        <v>347</v>
      </c>
      <c r="G97" s="21" t="s">
        <v>496</v>
      </c>
      <c r="H97" s="20" t="s">
        <v>497</v>
      </c>
      <c r="I97" s="20"/>
      <c r="J97" s="20" t="s">
        <v>498</v>
      </c>
      <c r="K97" s="22"/>
      <c r="L97" s="23"/>
      <c r="M97" s="20" t="s">
        <v>100</v>
      </c>
      <c r="N97" s="24" t="n">
        <v>6.5607566</v>
      </c>
      <c r="O97" s="24" t="n">
        <v>3.3696575</v>
      </c>
      <c r="P97" s="20" t="s">
        <v>125</v>
      </c>
      <c r="Q97" s="20" t="s">
        <v>86</v>
      </c>
      <c r="R97" s="20" t="s">
        <v>86</v>
      </c>
      <c r="S97" s="20" t="s">
        <v>87</v>
      </c>
      <c r="T97" s="26" t="s">
        <v>103</v>
      </c>
      <c r="U97" s="20" t="s">
        <v>104</v>
      </c>
      <c r="V97" s="20" t="s">
        <v>90</v>
      </c>
      <c r="W97" s="21"/>
    </row>
    <row r="98" customFormat="false" ht="15" hidden="false" customHeight="false" outlineLevel="0" collapsed="false">
      <c r="A98" s="20" t="n">
        <v>97</v>
      </c>
      <c r="B98" s="20" t="s">
        <v>499</v>
      </c>
      <c r="C98" s="20" t="s">
        <v>4</v>
      </c>
      <c r="D98" s="20" t="s">
        <v>500</v>
      </c>
      <c r="E98" s="20" t="s">
        <v>21</v>
      </c>
      <c r="F98" s="20" t="s">
        <v>359</v>
      </c>
      <c r="G98" s="21" t="s">
        <v>501</v>
      </c>
      <c r="H98" s="20" t="s">
        <v>502</v>
      </c>
      <c r="I98" s="20"/>
      <c r="J98" s="20"/>
      <c r="K98" s="22"/>
      <c r="L98" s="23"/>
      <c r="M98" s="20" t="s">
        <v>100</v>
      </c>
      <c r="N98" s="24"/>
      <c r="O98" s="24"/>
      <c r="P98" s="20" t="s">
        <v>101</v>
      </c>
      <c r="Q98" s="20" t="s">
        <v>86</v>
      </c>
      <c r="R98" s="20" t="s">
        <v>86</v>
      </c>
      <c r="S98" s="20" t="s">
        <v>102</v>
      </c>
      <c r="T98" s="26" t="s">
        <v>103</v>
      </c>
      <c r="U98" s="20" t="s">
        <v>104</v>
      </c>
      <c r="V98" s="20" t="s">
        <v>90</v>
      </c>
      <c r="W98" s="21"/>
    </row>
    <row r="99" customFormat="false" ht="23.85" hidden="false" customHeight="false" outlineLevel="0" collapsed="false">
      <c r="A99" s="20" t="n">
        <v>98</v>
      </c>
      <c r="B99" s="20" t="s">
        <v>503</v>
      </c>
      <c r="C99" s="20" t="s">
        <v>4</v>
      </c>
      <c r="D99" s="20" t="s">
        <v>504</v>
      </c>
      <c r="E99" s="20" t="s">
        <v>21</v>
      </c>
      <c r="F99" s="20" t="s">
        <v>433</v>
      </c>
      <c r="G99" s="21" t="s">
        <v>505</v>
      </c>
      <c r="H99" s="20" t="s">
        <v>506</v>
      </c>
      <c r="I99" s="20"/>
      <c r="J99" s="20" t="s">
        <v>507</v>
      </c>
      <c r="K99" s="22"/>
      <c r="L99" s="23"/>
      <c r="M99" s="20" t="s">
        <v>100</v>
      </c>
      <c r="N99" s="24" t="n">
        <v>6.5595506</v>
      </c>
      <c r="O99" s="24" t="n">
        <v>3.3695672</v>
      </c>
      <c r="P99" s="20" t="s">
        <v>125</v>
      </c>
      <c r="Q99" s="20" t="s">
        <v>86</v>
      </c>
      <c r="R99" s="20" t="s">
        <v>86</v>
      </c>
      <c r="S99" s="20" t="s">
        <v>87</v>
      </c>
      <c r="T99" s="26" t="s">
        <v>103</v>
      </c>
      <c r="U99" s="20" t="s">
        <v>104</v>
      </c>
      <c r="V99" s="20" t="s">
        <v>90</v>
      </c>
      <c r="W99" s="21"/>
    </row>
    <row r="100" customFormat="false" ht="15" hidden="false" customHeight="false" outlineLevel="0" collapsed="false">
      <c r="A100" s="20" t="n">
        <v>99</v>
      </c>
      <c r="B100" s="20" t="s">
        <v>508</v>
      </c>
      <c r="C100" s="20" t="s">
        <v>4</v>
      </c>
      <c r="D100" s="20" t="s">
        <v>509</v>
      </c>
      <c r="E100" s="20" t="s">
        <v>21</v>
      </c>
      <c r="F100" s="20" t="s">
        <v>347</v>
      </c>
      <c r="G100" s="21" t="s">
        <v>509</v>
      </c>
      <c r="H100" s="20"/>
      <c r="I100" s="20"/>
      <c r="J100" s="20"/>
      <c r="K100" s="22" t="n">
        <v>5</v>
      </c>
      <c r="L100" s="23" t="n">
        <v>2</v>
      </c>
      <c r="M100" s="20" t="s">
        <v>84</v>
      </c>
      <c r="N100" s="24" t="n">
        <v>6.56085</v>
      </c>
      <c r="O100" s="24" t="n">
        <v>3.37168</v>
      </c>
      <c r="P100" s="20" t="s">
        <v>85</v>
      </c>
      <c r="Q100" s="20" t="s">
        <v>86</v>
      </c>
      <c r="R100" s="20" t="s">
        <v>86</v>
      </c>
      <c r="S100" s="20" t="s">
        <v>87</v>
      </c>
      <c r="T100" s="25" t="s">
        <v>88</v>
      </c>
      <c r="U100" s="20" t="s">
        <v>89</v>
      </c>
      <c r="V100" s="20" t="s">
        <v>90</v>
      </c>
      <c r="W100" s="21"/>
    </row>
    <row r="101" customFormat="false" ht="15" hidden="false" customHeight="false" outlineLevel="0" collapsed="false">
      <c r="A101" s="20" t="n">
        <v>100</v>
      </c>
      <c r="B101" s="20" t="s">
        <v>510</v>
      </c>
      <c r="C101" s="20" t="s">
        <v>4</v>
      </c>
      <c r="D101" s="20" t="s">
        <v>511</v>
      </c>
      <c r="E101" s="20" t="s">
        <v>21</v>
      </c>
      <c r="F101" s="20" t="s">
        <v>347</v>
      </c>
      <c r="G101" s="21" t="s">
        <v>512</v>
      </c>
      <c r="H101" s="20"/>
      <c r="I101" s="20"/>
      <c r="J101" s="20"/>
      <c r="K101" s="22" t="n">
        <v>4.7</v>
      </c>
      <c r="L101" s="23" t="n">
        <v>3</v>
      </c>
      <c r="M101" s="20" t="s">
        <v>84</v>
      </c>
      <c r="N101" s="24" t="n">
        <v>6.56165</v>
      </c>
      <c r="O101" s="24" t="n">
        <v>3.36877</v>
      </c>
      <c r="P101" s="20" t="s">
        <v>85</v>
      </c>
      <c r="Q101" s="20" t="s">
        <v>86</v>
      </c>
      <c r="R101" s="20" t="s">
        <v>86</v>
      </c>
      <c r="S101" s="20" t="s">
        <v>87</v>
      </c>
      <c r="T101" s="25" t="s">
        <v>88</v>
      </c>
      <c r="U101" s="20" t="s">
        <v>89</v>
      </c>
      <c r="V101" s="20" t="s">
        <v>90</v>
      </c>
      <c r="W101" s="21"/>
    </row>
    <row r="102" customFormat="false" ht="15" hidden="false" customHeight="false" outlineLevel="0" collapsed="false">
      <c r="A102" s="20" t="n">
        <v>101</v>
      </c>
      <c r="B102" s="20" t="s">
        <v>513</v>
      </c>
      <c r="C102" s="20" t="s">
        <v>4</v>
      </c>
      <c r="D102" s="20" t="s">
        <v>514</v>
      </c>
      <c r="E102" s="20" t="s">
        <v>21</v>
      </c>
      <c r="F102" s="20" t="s">
        <v>351</v>
      </c>
      <c r="G102" s="21" t="s">
        <v>515</v>
      </c>
      <c r="H102" s="20" t="s">
        <v>516</v>
      </c>
      <c r="I102" s="20" t="s">
        <v>517</v>
      </c>
      <c r="J102" s="20" t="s">
        <v>518</v>
      </c>
      <c r="K102" s="22" t="n">
        <v>5</v>
      </c>
      <c r="L102" s="23" t="n">
        <v>3</v>
      </c>
      <c r="M102" s="20" t="s">
        <v>100</v>
      </c>
      <c r="N102" s="24" t="n">
        <v>6.56089</v>
      </c>
      <c r="O102" s="24" t="n">
        <v>3.3695609</v>
      </c>
      <c r="P102" s="20" t="s">
        <v>110</v>
      </c>
      <c r="Q102" s="20" t="s">
        <v>86</v>
      </c>
      <c r="R102" s="20" t="s">
        <v>86</v>
      </c>
      <c r="S102" s="20" t="s">
        <v>87</v>
      </c>
      <c r="T102" s="27" t="s">
        <v>117</v>
      </c>
      <c r="U102" s="20" t="s">
        <v>118</v>
      </c>
      <c r="V102" s="20" t="s">
        <v>90</v>
      </c>
      <c r="W102" s="21"/>
    </row>
    <row r="103" customFormat="false" ht="23.85" hidden="false" customHeight="false" outlineLevel="0" collapsed="false">
      <c r="A103" s="20" t="n">
        <v>102</v>
      </c>
      <c r="B103" s="20" t="s">
        <v>519</v>
      </c>
      <c r="C103" s="20" t="s">
        <v>4</v>
      </c>
      <c r="D103" s="20" t="s">
        <v>520</v>
      </c>
      <c r="E103" s="20" t="s">
        <v>21</v>
      </c>
      <c r="F103" s="20" t="s">
        <v>411</v>
      </c>
      <c r="G103" s="21" t="s">
        <v>521</v>
      </c>
      <c r="H103" s="20" t="s">
        <v>522</v>
      </c>
      <c r="I103" s="20"/>
      <c r="J103" s="20" t="s">
        <v>523</v>
      </c>
      <c r="K103" s="22" t="n">
        <v>3.8</v>
      </c>
      <c r="L103" s="23" t="n">
        <v>37</v>
      </c>
      <c r="M103" s="20" t="s">
        <v>100</v>
      </c>
      <c r="N103" s="24" t="n">
        <v>6.560347</v>
      </c>
      <c r="O103" s="24" t="n">
        <v>3.3696146</v>
      </c>
      <c r="P103" s="20" t="s">
        <v>125</v>
      </c>
      <c r="Q103" s="20" t="s">
        <v>86</v>
      </c>
      <c r="R103" s="20" t="s">
        <v>86</v>
      </c>
      <c r="S103" s="20" t="s">
        <v>87</v>
      </c>
      <c r="T103" s="27" t="s">
        <v>117</v>
      </c>
      <c r="U103" s="20" t="s">
        <v>118</v>
      </c>
      <c r="V103" s="20" t="s">
        <v>90</v>
      </c>
      <c r="W103" s="21"/>
    </row>
    <row r="104" customFormat="false" ht="23.85" hidden="false" customHeight="false" outlineLevel="0" collapsed="false">
      <c r="A104" s="20" t="n">
        <v>103</v>
      </c>
      <c r="B104" s="20" t="s">
        <v>524</v>
      </c>
      <c r="C104" s="20" t="s">
        <v>4</v>
      </c>
      <c r="D104" s="20" t="s">
        <v>525</v>
      </c>
      <c r="E104" s="20" t="s">
        <v>21</v>
      </c>
      <c r="F104" s="20" t="s">
        <v>347</v>
      </c>
      <c r="G104" s="21" t="s">
        <v>526</v>
      </c>
      <c r="H104" s="20"/>
      <c r="I104" s="20" t="s">
        <v>527</v>
      </c>
      <c r="J104" s="20" t="s">
        <v>528</v>
      </c>
      <c r="K104" s="22" t="n">
        <v>5</v>
      </c>
      <c r="L104" s="23" t="n">
        <v>3</v>
      </c>
      <c r="M104" s="20" t="s">
        <v>84</v>
      </c>
      <c r="N104" s="24" t="n">
        <v>6.5605016</v>
      </c>
      <c r="O104" s="24" t="n">
        <v>3.3691234</v>
      </c>
      <c r="P104" s="20" t="s">
        <v>125</v>
      </c>
      <c r="Q104" s="20" t="s">
        <v>86</v>
      </c>
      <c r="R104" s="20" t="s">
        <v>86</v>
      </c>
      <c r="S104" s="20" t="s">
        <v>87</v>
      </c>
      <c r="T104" s="25" t="s">
        <v>88</v>
      </c>
      <c r="U104" s="20" t="s">
        <v>89</v>
      </c>
      <c r="V104" s="20" t="s">
        <v>90</v>
      </c>
      <c r="W104" s="21"/>
    </row>
    <row r="105" customFormat="false" ht="23.85" hidden="false" customHeight="false" outlineLevel="0" collapsed="false">
      <c r="A105" s="20" t="n">
        <v>104</v>
      </c>
      <c r="B105" s="20" t="s">
        <v>529</v>
      </c>
      <c r="C105" s="20" t="s">
        <v>4</v>
      </c>
      <c r="D105" s="20" t="s">
        <v>530</v>
      </c>
      <c r="E105" s="20" t="s">
        <v>22</v>
      </c>
      <c r="F105" s="20" t="s">
        <v>531</v>
      </c>
      <c r="G105" s="21" t="s">
        <v>532</v>
      </c>
      <c r="H105" s="20" t="s">
        <v>533</v>
      </c>
      <c r="I105" s="20"/>
      <c r="J105" s="20"/>
      <c r="K105" s="22"/>
      <c r="L105" s="23"/>
      <c r="M105" s="20" t="s">
        <v>100</v>
      </c>
      <c r="N105" s="24"/>
      <c r="O105" s="24"/>
      <c r="P105" s="20" t="s">
        <v>101</v>
      </c>
      <c r="Q105" s="20" t="s">
        <v>86</v>
      </c>
      <c r="R105" s="20" t="s">
        <v>86</v>
      </c>
      <c r="S105" s="20" t="s">
        <v>102</v>
      </c>
      <c r="T105" s="26" t="s">
        <v>103</v>
      </c>
      <c r="U105" s="20" t="s">
        <v>104</v>
      </c>
      <c r="V105" s="20" t="s">
        <v>90</v>
      </c>
      <c r="W105" s="21"/>
    </row>
    <row r="106" customFormat="false" ht="15" hidden="false" customHeight="false" outlineLevel="0" collapsed="false">
      <c r="A106" s="20" t="n">
        <v>105</v>
      </c>
      <c r="B106" s="20" t="s">
        <v>534</v>
      </c>
      <c r="C106" s="20" t="s">
        <v>4</v>
      </c>
      <c r="D106" s="20" t="s">
        <v>535</v>
      </c>
      <c r="E106" s="20" t="s">
        <v>22</v>
      </c>
      <c r="F106" s="20" t="s">
        <v>536</v>
      </c>
      <c r="G106" s="21" t="s">
        <v>537</v>
      </c>
      <c r="H106" s="20"/>
      <c r="I106" s="20"/>
      <c r="J106" s="20"/>
      <c r="K106" s="22"/>
      <c r="L106" s="23"/>
      <c r="M106" s="20" t="s">
        <v>84</v>
      </c>
      <c r="N106" s="24"/>
      <c r="O106" s="24"/>
      <c r="P106" s="20" t="s">
        <v>101</v>
      </c>
      <c r="Q106" s="20" t="s">
        <v>86</v>
      </c>
      <c r="R106" s="20" t="s">
        <v>86</v>
      </c>
      <c r="S106" s="20" t="s">
        <v>102</v>
      </c>
      <c r="T106" s="25" t="s">
        <v>88</v>
      </c>
      <c r="U106" s="20" t="s">
        <v>89</v>
      </c>
      <c r="V106" s="20" t="s">
        <v>138</v>
      </c>
      <c r="W106" s="21" t="s">
        <v>538</v>
      </c>
    </row>
    <row r="107" customFormat="false" ht="15" hidden="false" customHeight="false" outlineLevel="0" collapsed="false">
      <c r="A107" s="20" t="n">
        <v>106</v>
      </c>
      <c r="B107" s="20" t="s">
        <v>539</v>
      </c>
      <c r="C107" s="20" t="s">
        <v>4</v>
      </c>
      <c r="D107" s="20" t="s">
        <v>346</v>
      </c>
      <c r="E107" s="20" t="s">
        <v>22</v>
      </c>
      <c r="F107" s="20" t="s">
        <v>540</v>
      </c>
      <c r="G107" s="21" t="s">
        <v>443</v>
      </c>
      <c r="H107" s="20"/>
      <c r="I107" s="20"/>
      <c r="J107" s="20"/>
      <c r="K107" s="22"/>
      <c r="L107" s="23"/>
      <c r="M107" s="20" t="s">
        <v>84</v>
      </c>
      <c r="N107" s="24" t="n">
        <v>6.56015</v>
      </c>
      <c r="O107" s="24" t="n">
        <v>3.37027</v>
      </c>
      <c r="P107" s="20" t="s">
        <v>85</v>
      </c>
      <c r="Q107" s="20" t="s">
        <v>86</v>
      </c>
      <c r="R107" s="20" t="s">
        <v>86</v>
      </c>
      <c r="S107" s="20" t="s">
        <v>87</v>
      </c>
      <c r="T107" s="25" t="s">
        <v>88</v>
      </c>
      <c r="U107" s="20" t="s">
        <v>89</v>
      </c>
      <c r="V107" s="20" t="s">
        <v>90</v>
      </c>
      <c r="W107" s="21"/>
    </row>
    <row r="108" customFormat="false" ht="23.85" hidden="false" customHeight="false" outlineLevel="0" collapsed="false">
      <c r="A108" s="20" t="n">
        <v>107</v>
      </c>
      <c r="B108" s="20" t="s">
        <v>541</v>
      </c>
      <c r="C108" s="20" t="s">
        <v>4</v>
      </c>
      <c r="D108" s="20" t="s">
        <v>542</v>
      </c>
      <c r="E108" s="20" t="s">
        <v>22</v>
      </c>
      <c r="F108" s="20" t="s">
        <v>356</v>
      </c>
      <c r="G108" s="21" t="s">
        <v>543</v>
      </c>
      <c r="H108" s="20" t="s">
        <v>544</v>
      </c>
      <c r="I108" s="20"/>
      <c r="J108" s="20" t="s">
        <v>545</v>
      </c>
      <c r="K108" s="22"/>
      <c r="L108" s="23"/>
      <c r="M108" s="20" t="s">
        <v>100</v>
      </c>
      <c r="N108" s="24" t="n">
        <v>6.5598553</v>
      </c>
      <c r="O108" s="24" t="n">
        <v>3.3700665</v>
      </c>
      <c r="P108" s="20" t="s">
        <v>125</v>
      </c>
      <c r="Q108" s="20" t="s">
        <v>86</v>
      </c>
      <c r="R108" s="20" t="s">
        <v>86</v>
      </c>
      <c r="S108" s="20" t="s">
        <v>87</v>
      </c>
      <c r="T108" s="26" t="s">
        <v>103</v>
      </c>
      <c r="U108" s="20" t="s">
        <v>104</v>
      </c>
      <c r="V108" s="20" t="s">
        <v>90</v>
      </c>
      <c r="W108" s="21"/>
    </row>
    <row r="109" customFormat="false" ht="15" hidden="false" customHeight="false" outlineLevel="0" collapsed="false">
      <c r="A109" s="20" t="n">
        <v>108</v>
      </c>
      <c r="B109" s="20" t="s">
        <v>546</v>
      </c>
      <c r="C109" s="20" t="s">
        <v>4</v>
      </c>
      <c r="D109" s="20" t="s">
        <v>547</v>
      </c>
      <c r="E109" s="20" t="s">
        <v>22</v>
      </c>
      <c r="F109" s="20" t="s">
        <v>347</v>
      </c>
      <c r="G109" s="21" t="s">
        <v>548</v>
      </c>
      <c r="H109" s="20"/>
      <c r="I109" s="20"/>
      <c r="J109" s="20"/>
      <c r="K109" s="22"/>
      <c r="L109" s="23"/>
      <c r="M109" s="20" t="s">
        <v>84</v>
      </c>
      <c r="N109" s="24" t="n">
        <v>6.56118</v>
      </c>
      <c r="O109" s="24" t="n">
        <v>3.37026</v>
      </c>
      <c r="P109" s="20" t="s">
        <v>85</v>
      </c>
      <c r="Q109" s="20" t="s">
        <v>86</v>
      </c>
      <c r="R109" s="20" t="s">
        <v>86</v>
      </c>
      <c r="S109" s="20" t="s">
        <v>87</v>
      </c>
      <c r="T109" s="25" t="s">
        <v>88</v>
      </c>
      <c r="U109" s="20" t="s">
        <v>89</v>
      </c>
      <c r="V109" s="20" t="s">
        <v>90</v>
      </c>
      <c r="W109" s="21"/>
    </row>
    <row r="110" customFormat="false" ht="15" hidden="false" customHeight="false" outlineLevel="0" collapsed="false">
      <c r="A110" s="20" t="n">
        <v>109</v>
      </c>
      <c r="B110" s="20" t="s">
        <v>549</v>
      </c>
      <c r="C110" s="20" t="s">
        <v>4</v>
      </c>
      <c r="D110" s="20" t="s">
        <v>550</v>
      </c>
      <c r="E110" s="20" t="s">
        <v>22</v>
      </c>
      <c r="F110" s="20" t="s">
        <v>531</v>
      </c>
      <c r="G110" s="21" t="s">
        <v>551</v>
      </c>
      <c r="H110" s="20" t="s">
        <v>552</v>
      </c>
      <c r="I110" s="20"/>
      <c r="J110" s="20"/>
      <c r="K110" s="22" t="n">
        <v>4.3</v>
      </c>
      <c r="L110" s="23" t="n">
        <v>172</v>
      </c>
      <c r="M110" s="20" t="s">
        <v>100</v>
      </c>
      <c r="N110" s="24" t="n">
        <v>6.5614</v>
      </c>
      <c r="O110" s="24" t="n">
        <v>3.3695</v>
      </c>
      <c r="P110" s="20" t="s">
        <v>110</v>
      </c>
      <c r="Q110" s="20" t="s">
        <v>86</v>
      </c>
      <c r="R110" s="20" t="s">
        <v>86</v>
      </c>
      <c r="S110" s="20" t="s">
        <v>87</v>
      </c>
      <c r="T110" s="27" t="s">
        <v>117</v>
      </c>
      <c r="U110" s="20" t="s">
        <v>118</v>
      </c>
      <c r="V110" s="20" t="s">
        <v>90</v>
      </c>
      <c r="W110" s="21"/>
    </row>
    <row r="111" customFormat="false" ht="15" hidden="false" customHeight="false" outlineLevel="0" collapsed="false">
      <c r="A111" s="20" t="n">
        <v>110</v>
      </c>
      <c r="B111" s="20" t="s">
        <v>553</v>
      </c>
      <c r="C111" s="20" t="s">
        <v>4</v>
      </c>
      <c r="D111" s="20" t="s">
        <v>554</v>
      </c>
      <c r="E111" s="20" t="s">
        <v>22</v>
      </c>
      <c r="F111" s="20" t="s">
        <v>531</v>
      </c>
      <c r="G111" s="21" t="s">
        <v>555</v>
      </c>
      <c r="H111" s="20" t="s">
        <v>556</v>
      </c>
      <c r="I111" s="20"/>
      <c r="J111" s="20"/>
      <c r="K111" s="22"/>
      <c r="L111" s="23"/>
      <c r="M111" s="20" t="s">
        <v>100</v>
      </c>
      <c r="N111" s="24"/>
      <c r="O111" s="24"/>
      <c r="P111" s="20" t="s">
        <v>101</v>
      </c>
      <c r="Q111" s="20" t="s">
        <v>86</v>
      </c>
      <c r="R111" s="20" t="s">
        <v>86</v>
      </c>
      <c r="S111" s="20" t="s">
        <v>102</v>
      </c>
      <c r="T111" s="26" t="s">
        <v>103</v>
      </c>
      <c r="U111" s="20" t="s">
        <v>104</v>
      </c>
      <c r="V111" s="20" t="s">
        <v>90</v>
      </c>
      <c r="W111" s="21"/>
    </row>
    <row r="112" customFormat="false" ht="15" hidden="false" customHeight="false" outlineLevel="0" collapsed="false">
      <c r="A112" s="20" t="n">
        <v>111</v>
      </c>
      <c r="B112" s="20" t="s">
        <v>557</v>
      </c>
      <c r="C112" s="20" t="s">
        <v>4</v>
      </c>
      <c r="D112" s="20" t="s">
        <v>558</v>
      </c>
      <c r="E112" s="20" t="s">
        <v>22</v>
      </c>
      <c r="F112" s="20" t="s">
        <v>531</v>
      </c>
      <c r="G112" s="21" t="s">
        <v>559</v>
      </c>
      <c r="H112" s="20" t="s">
        <v>560</v>
      </c>
      <c r="I112" s="20"/>
      <c r="J112" s="20"/>
      <c r="K112" s="22"/>
      <c r="L112" s="23"/>
      <c r="M112" s="20" t="s">
        <v>100</v>
      </c>
      <c r="N112" s="24"/>
      <c r="O112" s="24"/>
      <c r="P112" s="20" t="s">
        <v>101</v>
      </c>
      <c r="Q112" s="20" t="s">
        <v>86</v>
      </c>
      <c r="R112" s="20" t="s">
        <v>86</v>
      </c>
      <c r="S112" s="20" t="s">
        <v>102</v>
      </c>
      <c r="T112" s="26" t="s">
        <v>103</v>
      </c>
      <c r="U112" s="20" t="s">
        <v>104</v>
      </c>
      <c r="V112" s="20" t="s">
        <v>90</v>
      </c>
      <c r="W112" s="21"/>
    </row>
    <row r="113" customFormat="false" ht="15" hidden="false" customHeight="false" outlineLevel="0" collapsed="false">
      <c r="A113" s="20" t="n">
        <v>112</v>
      </c>
      <c r="B113" s="20" t="s">
        <v>561</v>
      </c>
      <c r="C113" s="20" t="s">
        <v>4</v>
      </c>
      <c r="D113" s="20" t="s">
        <v>562</v>
      </c>
      <c r="E113" s="20" t="s">
        <v>23</v>
      </c>
      <c r="F113" s="20" t="s">
        <v>563</v>
      </c>
      <c r="G113" s="21" t="s">
        <v>564</v>
      </c>
      <c r="H113" s="20" t="s">
        <v>565</v>
      </c>
      <c r="I113" s="20"/>
      <c r="J113" s="20" t="s">
        <v>566</v>
      </c>
      <c r="K113" s="22"/>
      <c r="L113" s="23"/>
      <c r="M113" s="20" t="s">
        <v>100</v>
      </c>
      <c r="N113" s="24" t="n">
        <v>6.5602429</v>
      </c>
      <c r="O113" s="24" t="n">
        <v>3.368995</v>
      </c>
      <c r="P113" s="20" t="s">
        <v>125</v>
      </c>
      <c r="Q113" s="20" t="s">
        <v>86</v>
      </c>
      <c r="R113" s="20" t="s">
        <v>86</v>
      </c>
      <c r="S113" s="20" t="s">
        <v>87</v>
      </c>
      <c r="T113" s="26" t="s">
        <v>103</v>
      </c>
      <c r="U113" s="20" t="s">
        <v>104</v>
      </c>
      <c r="V113" s="20" t="s">
        <v>90</v>
      </c>
      <c r="W113" s="21"/>
    </row>
    <row r="114" customFormat="false" ht="15" hidden="false" customHeight="false" outlineLevel="0" collapsed="false">
      <c r="A114" s="20" t="n">
        <v>113</v>
      </c>
      <c r="B114" s="20" t="s">
        <v>567</v>
      </c>
      <c r="C114" s="20" t="s">
        <v>4</v>
      </c>
      <c r="D114" s="20" t="s">
        <v>568</v>
      </c>
      <c r="E114" s="20" t="s">
        <v>23</v>
      </c>
      <c r="F114" s="20" t="s">
        <v>569</v>
      </c>
      <c r="G114" s="21" t="s">
        <v>570</v>
      </c>
      <c r="H114" s="20" t="s">
        <v>571</v>
      </c>
      <c r="I114" s="20"/>
      <c r="J114" s="20"/>
      <c r="K114" s="22"/>
      <c r="L114" s="23"/>
      <c r="M114" s="20" t="s">
        <v>100</v>
      </c>
      <c r="N114" s="24"/>
      <c r="O114" s="24"/>
      <c r="P114" s="20" t="s">
        <v>101</v>
      </c>
      <c r="Q114" s="20" t="s">
        <v>86</v>
      </c>
      <c r="R114" s="20" t="s">
        <v>86</v>
      </c>
      <c r="S114" s="20" t="s">
        <v>102</v>
      </c>
      <c r="T114" s="26" t="s">
        <v>103</v>
      </c>
      <c r="U114" s="20" t="s">
        <v>104</v>
      </c>
      <c r="V114" s="20" t="s">
        <v>90</v>
      </c>
      <c r="W114" s="21"/>
    </row>
    <row r="115" customFormat="false" ht="23.85" hidden="false" customHeight="false" outlineLevel="0" collapsed="false">
      <c r="A115" s="20" t="n">
        <v>114</v>
      </c>
      <c r="B115" s="20" t="s">
        <v>572</v>
      </c>
      <c r="C115" s="20" t="s">
        <v>4</v>
      </c>
      <c r="D115" s="20" t="s">
        <v>573</v>
      </c>
      <c r="E115" s="20" t="s">
        <v>23</v>
      </c>
      <c r="F115" s="20" t="s">
        <v>569</v>
      </c>
      <c r="G115" s="21" t="s">
        <v>574</v>
      </c>
      <c r="H115" s="20" t="s">
        <v>575</v>
      </c>
      <c r="I115" s="20"/>
      <c r="J115" s="20"/>
      <c r="K115" s="22"/>
      <c r="L115" s="23"/>
      <c r="M115" s="20" t="s">
        <v>100</v>
      </c>
      <c r="N115" s="24"/>
      <c r="O115" s="24"/>
      <c r="P115" s="20" t="s">
        <v>101</v>
      </c>
      <c r="Q115" s="20" t="s">
        <v>86</v>
      </c>
      <c r="R115" s="20" t="s">
        <v>86</v>
      </c>
      <c r="S115" s="20" t="s">
        <v>102</v>
      </c>
      <c r="T115" s="26" t="s">
        <v>103</v>
      </c>
      <c r="U115" s="20" t="s">
        <v>104</v>
      </c>
      <c r="V115" s="20" t="s">
        <v>90</v>
      </c>
      <c r="W115" s="21"/>
    </row>
    <row r="116" customFormat="false" ht="15" hidden="false" customHeight="false" outlineLevel="0" collapsed="false">
      <c r="A116" s="20" t="n">
        <v>115</v>
      </c>
      <c r="B116" s="20" t="s">
        <v>576</v>
      </c>
      <c r="C116" s="20" t="s">
        <v>4</v>
      </c>
      <c r="D116" s="20" t="s">
        <v>577</v>
      </c>
      <c r="E116" s="20" t="s">
        <v>23</v>
      </c>
      <c r="F116" s="20" t="s">
        <v>578</v>
      </c>
      <c r="G116" s="21" t="s">
        <v>579</v>
      </c>
      <c r="H116" s="20" t="s">
        <v>580</v>
      </c>
      <c r="I116" s="20" t="s">
        <v>581</v>
      </c>
      <c r="J116" s="20" t="s">
        <v>582</v>
      </c>
      <c r="K116" s="22"/>
      <c r="L116" s="23"/>
      <c r="M116" s="20" t="s">
        <v>100</v>
      </c>
      <c r="N116" s="24" t="n">
        <v>6.558633</v>
      </c>
      <c r="O116" s="24" t="n">
        <v>3.3694146</v>
      </c>
      <c r="P116" s="20" t="s">
        <v>125</v>
      </c>
      <c r="Q116" s="20" t="s">
        <v>86</v>
      </c>
      <c r="R116" s="20" t="s">
        <v>86</v>
      </c>
      <c r="S116" s="20" t="s">
        <v>87</v>
      </c>
      <c r="T116" s="27" t="s">
        <v>117</v>
      </c>
      <c r="U116" s="20" t="s">
        <v>118</v>
      </c>
      <c r="V116" s="20" t="s">
        <v>90</v>
      </c>
      <c r="W116" s="21"/>
    </row>
    <row r="117" customFormat="false" ht="15" hidden="false" customHeight="false" outlineLevel="0" collapsed="false">
      <c r="A117" s="20" t="n">
        <v>116</v>
      </c>
      <c r="B117" s="20" t="s">
        <v>583</v>
      </c>
      <c r="C117" s="20" t="s">
        <v>4</v>
      </c>
      <c r="D117" s="20" t="s">
        <v>584</v>
      </c>
      <c r="E117" s="20" t="s">
        <v>23</v>
      </c>
      <c r="F117" s="20" t="s">
        <v>569</v>
      </c>
      <c r="G117" s="21" t="s">
        <v>585</v>
      </c>
      <c r="H117" s="20" t="s">
        <v>586</v>
      </c>
      <c r="I117" s="20"/>
      <c r="J117" s="20"/>
      <c r="K117" s="22"/>
      <c r="L117" s="23"/>
      <c r="M117" s="20" t="s">
        <v>100</v>
      </c>
      <c r="N117" s="24"/>
      <c r="O117" s="24"/>
      <c r="P117" s="20" t="s">
        <v>101</v>
      </c>
      <c r="Q117" s="20" t="s">
        <v>86</v>
      </c>
      <c r="R117" s="20" t="s">
        <v>86</v>
      </c>
      <c r="S117" s="20" t="s">
        <v>102</v>
      </c>
      <c r="T117" s="26" t="s">
        <v>103</v>
      </c>
      <c r="U117" s="20" t="s">
        <v>104</v>
      </c>
      <c r="V117" s="20" t="s">
        <v>90</v>
      </c>
      <c r="W117" s="21"/>
    </row>
    <row r="118" customFormat="false" ht="15" hidden="false" customHeight="false" outlineLevel="0" collapsed="false">
      <c r="A118" s="20" t="n">
        <v>117</v>
      </c>
      <c r="B118" s="20" t="s">
        <v>587</v>
      </c>
      <c r="C118" s="20" t="s">
        <v>4</v>
      </c>
      <c r="D118" s="20" t="s">
        <v>588</v>
      </c>
      <c r="E118" s="20" t="s">
        <v>23</v>
      </c>
      <c r="F118" s="20" t="s">
        <v>589</v>
      </c>
      <c r="G118" s="21" t="s">
        <v>590</v>
      </c>
      <c r="H118" s="20" t="s">
        <v>591</v>
      </c>
      <c r="I118" s="20"/>
      <c r="J118" s="20"/>
      <c r="K118" s="22" t="n">
        <v>4.4</v>
      </c>
      <c r="L118" s="23" t="n">
        <v>30</v>
      </c>
      <c r="M118" s="20" t="s">
        <v>100</v>
      </c>
      <c r="N118" s="24" t="n">
        <v>6.5638</v>
      </c>
      <c r="O118" s="24" t="n">
        <v>3.37349</v>
      </c>
      <c r="P118" s="20" t="s">
        <v>110</v>
      </c>
      <c r="Q118" s="20" t="s">
        <v>86</v>
      </c>
      <c r="R118" s="20" t="s">
        <v>86</v>
      </c>
      <c r="S118" s="20" t="s">
        <v>87</v>
      </c>
      <c r="T118" s="27" t="s">
        <v>117</v>
      </c>
      <c r="U118" s="20" t="s">
        <v>118</v>
      </c>
      <c r="V118" s="20" t="s">
        <v>138</v>
      </c>
      <c r="W118" s="21" t="s">
        <v>181</v>
      </c>
    </row>
    <row r="119" customFormat="false" ht="23.85" hidden="false" customHeight="false" outlineLevel="0" collapsed="false">
      <c r="A119" s="20" t="n">
        <v>118</v>
      </c>
      <c r="B119" s="20" t="s">
        <v>592</v>
      </c>
      <c r="C119" s="20" t="s">
        <v>4</v>
      </c>
      <c r="D119" s="20" t="s">
        <v>593</v>
      </c>
      <c r="E119" s="20" t="s">
        <v>23</v>
      </c>
      <c r="F119" s="20" t="s">
        <v>569</v>
      </c>
      <c r="G119" s="21" t="s">
        <v>594</v>
      </c>
      <c r="H119" s="20" t="s">
        <v>595</v>
      </c>
      <c r="I119" s="20"/>
      <c r="J119" s="20"/>
      <c r="K119" s="22"/>
      <c r="L119" s="23"/>
      <c r="M119" s="20" t="s">
        <v>100</v>
      </c>
      <c r="N119" s="24"/>
      <c r="O119" s="24"/>
      <c r="P119" s="20" t="s">
        <v>101</v>
      </c>
      <c r="Q119" s="20" t="s">
        <v>86</v>
      </c>
      <c r="R119" s="20" t="s">
        <v>86</v>
      </c>
      <c r="S119" s="20" t="s">
        <v>102</v>
      </c>
      <c r="T119" s="26" t="s">
        <v>103</v>
      </c>
      <c r="U119" s="20" t="s">
        <v>104</v>
      </c>
      <c r="V119" s="20" t="s">
        <v>90</v>
      </c>
      <c r="W119" s="21"/>
    </row>
    <row r="120" customFormat="false" ht="15" hidden="false" customHeight="false" outlineLevel="0" collapsed="false">
      <c r="A120" s="20" t="n">
        <v>119</v>
      </c>
      <c r="B120" s="20" t="s">
        <v>596</v>
      </c>
      <c r="C120" s="20" t="s">
        <v>4</v>
      </c>
      <c r="D120" s="20"/>
      <c r="E120" s="20" t="s">
        <v>23</v>
      </c>
      <c r="F120" s="20" t="s">
        <v>597</v>
      </c>
      <c r="G120" s="21" t="s">
        <v>598</v>
      </c>
      <c r="H120" s="20" t="s">
        <v>599</v>
      </c>
      <c r="I120" s="20"/>
      <c r="J120" s="20"/>
      <c r="K120" s="22" t="n">
        <v>3.2</v>
      </c>
      <c r="L120" s="23" t="n">
        <v>501</v>
      </c>
      <c r="M120" s="20" t="s">
        <v>100</v>
      </c>
      <c r="N120" s="24" t="n">
        <v>6.56082</v>
      </c>
      <c r="O120" s="24" t="n">
        <v>3.36311</v>
      </c>
      <c r="P120" s="20" t="s">
        <v>85</v>
      </c>
      <c r="Q120" s="20" t="s">
        <v>86</v>
      </c>
      <c r="R120" s="20" t="s">
        <v>86</v>
      </c>
      <c r="S120" s="20" t="s">
        <v>87</v>
      </c>
      <c r="T120" s="27" t="s">
        <v>117</v>
      </c>
      <c r="U120" s="20" t="s">
        <v>118</v>
      </c>
      <c r="V120" s="20" t="s">
        <v>90</v>
      </c>
      <c r="W120" s="21"/>
    </row>
    <row r="121" customFormat="false" ht="15" hidden="false" customHeight="false" outlineLevel="0" collapsed="false">
      <c r="A121" s="20" t="n">
        <v>120</v>
      </c>
      <c r="B121" s="20" t="s">
        <v>600</v>
      </c>
      <c r="C121" s="20" t="s">
        <v>4</v>
      </c>
      <c r="D121" s="20" t="s">
        <v>601</v>
      </c>
      <c r="E121" s="20" t="s">
        <v>23</v>
      </c>
      <c r="F121" s="20" t="s">
        <v>602</v>
      </c>
      <c r="G121" s="21" t="s">
        <v>601</v>
      </c>
      <c r="H121" s="20" t="s">
        <v>603</v>
      </c>
      <c r="I121" s="20"/>
      <c r="J121" s="20"/>
      <c r="K121" s="22" t="n">
        <v>4</v>
      </c>
      <c r="L121" s="23" t="n">
        <v>4</v>
      </c>
      <c r="M121" s="20" t="s">
        <v>100</v>
      </c>
      <c r="N121" s="24" t="n">
        <v>6.56334</v>
      </c>
      <c r="O121" s="24" t="n">
        <v>3.3721</v>
      </c>
      <c r="P121" s="20" t="s">
        <v>85</v>
      </c>
      <c r="Q121" s="20" t="s">
        <v>86</v>
      </c>
      <c r="R121" s="20" t="s">
        <v>86</v>
      </c>
      <c r="S121" s="20" t="s">
        <v>87</v>
      </c>
      <c r="T121" s="26" t="s">
        <v>103</v>
      </c>
      <c r="U121" s="20" t="s">
        <v>104</v>
      </c>
      <c r="V121" s="20" t="s">
        <v>90</v>
      </c>
      <c r="W121" s="21"/>
    </row>
    <row r="122" customFormat="false" ht="15" hidden="false" customHeight="false" outlineLevel="0" collapsed="false">
      <c r="A122" s="20" t="n">
        <v>121</v>
      </c>
      <c r="B122" s="20" t="s">
        <v>604</v>
      </c>
      <c r="C122" s="20" t="s">
        <v>4</v>
      </c>
      <c r="D122" s="20" t="s">
        <v>605</v>
      </c>
      <c r="E122" s="20" t="s">
        <v>23</v>
      </c>
      <c r="F122" s="20" t="s">
        <v>563</v>
      </c>
      <c r="G122" s="21" t="s">
        <v>606</v>
      </c>
      <c r="H122" s="20"/>
      <c r="I122" s="20"/>
      <c r="J122" s="20" t="s">
        <v>607</v>
      </c>
      <c r="K122" s="22" t="n">
        <v>3</v>
      </c>
      <c r="L122" s="23" t="n">
        <v>2</v>
      </c>
      <c r="M122" s="20" t="s">
        <v>84</v>
      </c>
      <c r="N122" s="24" t="n">
        <v>6.55973</v>
      </c>
      <c r="O122" s="24" t="n">
        <v>3.3679743</v>
      </c>
      <c r="P122" s="20" t="s">
        <v>125</v>
      </c>
      <c r="Q122" s="20" t="s">
        <v>86</v>
      </c>
      <c r="R122" s="20" t="s">
        <v>86</v>
      </c>
      <c r="S122" s="20" t="s">
        <v>87</v>
      </c>
      <c r="T122" s="25" t="s">
        <v>88</v>
      </c>
      <c r="U122" s="20" t="s">
        <v>89</v>
      </c>
      <c r="V122" s="20" t="s">
        <v>90</v>
      </c>
      <c r="W122" s="21"/>
    </row>
    <row r="123" customFormat="false" ht="23.85" hidden="false" customHeight="false" outlineLevel="0" collapsed="false">
      <c r="A123" s="20" t="n">
        <v>122</v>
      </c>
      <c r="B123" s="20" t="s">
        <v>608</v>
      </c>
      <c r="C123" s="20" t="s">
        <v>4</v>
      </c>
      <c r="D123" s="20" t="s">
        <v>609</v>
      </c>
      <c r="E123" s="20" t="s">
        <v>23</v>
      </c>
      <c r="F123" s="20" t="s">
        <v>610</v>
      </c>
      <c r="G123" s="21" t="s">
        <v>611</v>
      </c>
      <c r="H123" s="20"/>
      <c r="I123" s="20"/>
      <c r="J123" s="20"/>
      <c r="K123" s="22" t="n">
        <v>4.9</v>
      </c>
      <c r="L123" s="23" t="n">
        <v>17</v>
      </c>
      <c r="M123" s="20" t="s">
        <v>84</v>
      </c>
      <c r="N123" s="24" t="n">
        <v>6.56052</v>
      </c>
      <c r="O123" s="24" t="n">
        <v>3.3717</v>
      </c>
      <c r="P123" s="20" t="s">
        <v>85</v>
      </c>
      <c r="Q123" s="20" t="s">
        <v>86</v>
      </c>
      <c r="R123" s="20" t="s">
        <v>86</v>
      </c>
      <c r="S123" s="20" t="s">
        <v>87</v>
      </c>
      <c r="T123" s="25" t="s">
        <v>88</v>
      </c>
      <c r="U123" s="20" t="s">
        <v>89</v>
      </c>
      <c r="V123" s="20" t="s">
        <v>90</v>
      </c>
      <c r="W123" s="21"/>
    </row>
    <row r="124" customFormat="false" ht="15" hidden="false" customHeight="false" outlineLevel="0" collapsed="false">
      <c r="A124" s="20" t="n">
        <v>123</v>
      </c>
      <c r="B124" s="20" t="s">
        <v>612</v>
      </c>
      <c r="C124" s="20" t="s">
        <v>4</v>
      </c>
      <c r="D124" s="20" t="s">
        <v>613</v>
      </c>
      <c r="E124" s="20" t="s">
        <v>23</v>
      </c>
      <c r="F124" s="20" t="s">
        <v>614</v>
      </c>
      <c r="G124" s="21" t="s">
        <v>615</v>
      </c>
      <c r="H124" s="20" t="s">
        <v>616</v>
      </c>
      <c r="I124" s="20"/>
      <c r="J124" s="20"/>
      <c r="K124" s="22"/>
      <c r="L124" s="23"/>
      <c r="M124" s="20" t="s">
        <v>100</v>
      </c>
      <c r="N124" s="24"/>
      <c r="O124" s="24"/>
      <c r="P124" s="20" t="s">
        <v>101</v>
      </c>
      <c r="Q124" s="20" t="s">
        <v>86</v>
      </c>
      <c r="R124" s="20" t="s">
        <v>86</v>
      </c>
      <c r="S124" s="20" t="s">
        <v>102</v>
      </c>
      <c r="T124" s="26" t="s">
        <v>103</v>
      </c>
      <c r="U124" s="20" t="s">
        <v>104</v>
      </c>
      <c r="V124" s="20" t="s">
        <v>138</v>
      </c>
      <c r="W124" s="21" t="s">
        <v>538</v>
      </c>
    </row>
    <row r="125" customFormat="false" ht="23.85" hidden="false" customHeight="false" outlineLevel="0" collapsed="false">
      <c r="A125" s="20" t="n">
        <v>124</v>
      </c>
      <c r="B125" s="20" t="s">
        <v>617</v>
      </c>
      <c r="C125" s="20" t="s">
        <v>4</v>
      </c>
      <c r="D125" s="20" t="s">
        <v>618</v>
      </c>
      <c r="E125" s="20" t="s">
        <v>23</v>
      </c>
      <c r="F125" s="20" t="s">
        <v>619</v>
      </c>
      <c r="G125" s="21" t="s">
        <v>620</v>
      </c>
      <c r="H125" s="20" t="s">
        <v>621</v>
      </c>
      <c r="I125" s="20"/>
      <c r="J125" s="20"/>
      <c r="K125" s="22"/>
      <c r="L125" s="23"/>
      <c r="M125" s="20" t="s">
        <v>100</v>
      </c>
      <c r="N125" s="24"/>
      <c r="O125" s="24"/>
      <c r="P125" s="20" t="s">
        <v>101</v>
      </c>
      <c r="Q125" s="20" t="s">
        <v>86</v>
      </c>
      <c r="R125" s="20" t="s">
        <v>86</v>
      </c>
      <c r="S125" s="20" t="s">
        <v>102</v>
      </c>
      <c r="T125" s="26" t="s">
        <v>103</v>
      </c>
      <c r="U125" s="20" t="s">
        <v>104</v>
      </c>
      <c r="V125" s="20" t="s">
        <v>138</v>
      </c>
      <c r="W125" s="21" t="s">
        <v>538</v>
      </c>
    </row>
    <row r="126" customFormat="false" ht="15" hidden="false" customHeight="false" outlineLevel="0" collapsed="false">
      <c r="A126" s="20" t="n">
        <v>125</v>
      </c>
      <c r="B126" s="20" t="s">
        <v>622</v>
      </c>
      <c r="C126" s="20" t="s">
        <v>4</v>
      </c>
      <c r="D126" s="20" t="s">
        <v>623</v>
      </c>
      <c r="E126" s="20" t="s">
        <v>23</v>
      </c>
      <c r="F126" s="20" t="s">
        <v>624</v>
      </c>
      <c r="G126" s="21" t="s">
        <v>625</v>
      </c>
      <c r="H126" s="20" t="s">
        <v>626</v>
      </c>
      <c r="I126" s="20" t="s">
        <v>627</v>
      </c>
      <c r="J126" s="20" t="s">
        <v>628</v>
      </c>
      <c r="K126" s="22" t="n">
        <v>3.3</v>
      </c>
      <c r="L126" s="23" t="n">
        <v>3</v>
      </c>
      <c r="M126" s="20" t="s">
        <v>100</v>
      </c>
      <c r="N126" s="24" t="n">
        <v>6.5587058</v>
      </c>
      <c r="O126" s="24" t="n">
        <v>3.3680476</v>
      </c>
      <c r="P126" s="20" t="s">
        <v>125</v>
      </c>
      <c r="Q126" s="20" t="s">
        <v>86</v>
      </c>
      <c r="R126" s="20" t="s">
        <v>86</v>
      </c>
      <c r="S126" s="20" t="s">
        <v>87</v>
      </c>
      <c r="T126" s="27" t="s">
        <v>117</v>
      </c>
      <c r="U126" s="20" t="s">
        <v>118</v>
      </c>
      <c r="V126" s="20" t="s">
        <v>90</v>
      </c>
      <c r="W126" s="21"/>
    </row>
    <row r="127" customFormat="false" ht="15" hidden="false" customHeight="false" outlineLevel="0" collapsed="false">
      <c r="A127" s="20" t="n">
        <v>126</v>
      </c>
      <c r="B127" s="20" t="s">
        <v>629</v>
      </c>
      <c r="C127" s="20" t="s">
        <v>4</v>
      </c>
      <c r="D127" s="20" t="s">
        <v>630</v>
      </c>
      <c r="E127" s="20" t="s">
        <v>23</v>
      </c>
      <c r="F127" s="20" t="s">
        <v>589</v>
      </c>
      <c r="G127" s="21" t="s">
        <v>631</v>
      </c>
      <c r="H127" s="20" t="s">
        <v>632</v>
      </c>
      <c r="I127" s="20"/>
      <c r="J127" s="20"/>
      <c r="K127" s="22"/>
      <c r="L127" s="23"/>
      <c r="M127" s="20" t="s">
        <v>100</v>
      </c>
      <c r="N127" s="24"/>
      <c r="O127" s="24"/>
      <c r="P127" s="20" t="s">
        <v>101</v>
      </c>
      <c r="Q127" s="20" t="s">
        <v>86</v>
      </c>
      <c r="R127" s="20" t="s">
        <v>86</v>
      </c>
      <c r="S127" s="20" t="s">
        <v>102</v>
      </c>
      <c r="T127" s="26" t="s">
        <v>103</v>
      </c>
      <c r="U127" s="20" t="s">
        <v>104</v>
      </c>
      <c r="V127" s="20" t="s">
        <v>138</v>
      </c>
      <c r="W127" s="21" t="s">
        <v>181</v>
      </c>
    </row>
    <row r="128" customFormat="false" ht="15" hidden="false" customHeight="false" outlineLevel="0" collapsed="false">
      <c r="A128" s="20" t="n">
        <v>127</v>
      </c>
      <c r="B128" s="20" t="s">
        <v>633</v>
      </c>
      <c r="C128" s="20" t="s">
        <v>4</v>
      </c>
      <c r="D128" s="20" t="s">
        <v>634</v>
      </c>
      <c r="E128" s="20" t="s">
        <v>23</v>
      </c>
      <c r="F128" s="20" t="s">
        <v>563</v>
      </c>
      <c r="G128" s="21" t="s">
        <v>634</v>
      </c>
      <c r="H128" s="20" t="s">
        <v>635</v>
      </c>
      <c r="I128" s="20"/>
      <c r="J128" s="20"/>
      <c r="K128" s="22"/>
      <c r="L128" s="23"/>
      <c r="M128" s="20" t="s">
        <v>100</v>
      </c>
      <c r="N128" s="24" t="n">
        <v>6.56253</v>
      </c>
      <c r="O128" s="24" t="n">
        <v>3.36921</v>
      </c>
      <c r="P128" s="20" t="s">
        <v>85</v>
      </c>
      <c r="Q128" s="20" t="s">
        <v>86</v>
      </c>
      <c r="R128" s="20" t="s">
        <v>86</v>
      </c>
      <c r="S128" s="20" t="s">
        <v>87</v>
      </c>
      <c r="T128" s="26" t="s">
        <v>103</v>
      </c>
      <c r="U128" s="20" t="s">
        <v>104</v>
      </c>
      <c r="V128" s="20" t="s">
        <v>90</v>
      </c>
      <c r="W128" s="21"/>
    </row>
    <row r="129" customFormat="false" ht="15" hidden="false" customHeight="false" outlineLevel="0" collapsed="false">
      <c r="A129" s="20" t="n">
        <v>128</v>
      </c>
      <c r="B129" s="20" t="s">
        <v>636</v>
      </c>
      <c r="C129" s="20" t="s">
        <v>4</v>
      </c>
      <c r="D129" s="20" t="s">
        <v>637</v>
      </c>
      <c r="E129" s="20" t="s">
        <v>23</v>
      </c>
      <c r="F129" s="20" t="s">
        <v>589</v>
      </c>
      <c r="G129" s="21" t="s">
        <v>638</v>
      </c>
      <c r="H129" s="20" t="s">
        <v>639</v>
      </c>
      <c r="I129" s="20"/>
      <c r="J129" s="20"/>
      <c r="K129" s="22"/>
      <c r="L129" s="23"/>
      <c r="M129" s="20" t="s">
        <v>100</v>
      </c>
      <c r="N129" s="24"/>
      <c r="O129" s="24"/>
      <c r="P129" s="20" t="s">
        <v>101</v>
      </c>
      <c r="Q129" s="20" t="s">
        <v>86</v>
      </c>
      <c r="R129" s="20" t="s">
        <v>86</v>
      </c>
      <c r="S129" s="20" t="s">
        <v>102</v>
      </c>
      <c r="T129" s="26" t="s">
        <v>103</v>
      </c>
      <c r="U129" s="20" t="s">
        <v>104</v>
      </c>
      <c r="V129" s="20" t="s">
        <v>138</v>
      </c>
      <c r="W129" s="21" t="s">
        <v>181</v>
      </c>
    </row>
    <row r="130" customFormat="false" ht="15" hidden="false" customHeight="false" outlineLevel="0" collapsed="false">
      <c r="A130" s="20" t="n">
        <v>129</v>
      </c>
      <c r="B130" s="20" t="s">
        <v>640</v>
      </c>
      <c r="C130" s="20" t="s">
        <v>4</v>
      </c>
      <c r="D130" s="20" t="s">
        <v>641</v>
      </c>
      <c r="E130" s="20" t="s">
        <v>23</v>
      </c>
      <c r="F130" s="20" t="s">
        <v>589</v>
      </c>
      <c r="G130" s="21" t="s">
        <v>642</v>
      </c>
      <c r="H130" s="20" t="s">
        <v>643</v>
      </c>
      <c r="I130" s="20"/>
      <c r="J130" s="20"/>
      <c r="K130" s="22"/>
      <c r="L130" s="23"/>
      <c r="M130" s="20" t="s">
        <v>100</v>
      </c>
      <c r="N130" s="24"/>
      <c r="O130" s="24"/>
      <c r="P130" s="20" t="s">
        <v>101</v>
      </c>
      <c r="Q130" s="20" t="s">
        <v>86</v>
      </c>
      <c r="R130" s="20" t="s">
        <v>86</v>
      </c>
      <c r="S130" s="20" t="s">
        <v>102</v>
      </c>
      <c r="T130" s="26" t="s">
        <v>103</v>
      </c>
      <c r="U130" s="20" t="s">
        <v>104</v>
      </c>
      <c r="V130" s="20" t="s">
        <v>138</v>
      </c>
      <c r="W130" s="21" t="s">
        <v>181</v>
      </c>
    </row>
    <row r="131" customFormat="false" ht="15" hidden="false" customHeight="false" outlineLevel="0" collapsed="false">
      <c r="A131" s="20" t="n">
        <v>130</v>
      </c>
      <c r="B131" s="20" t="s">
        <v>644</v>
      </c>
      <c r="C131" s="20" t="s">
        <v>4</v>
      </c>
      <c r="D131" s="20" t="s">
        <v>645</v>
      </c>
      <c r="E131" s="20" t="s">
        <v>23</v>
      </c>
      <c r="F131" s="20" t="s">
        <v>589</v>
      </c>
      <c r="G131" s="21" t="s">
        <v>646</v>
      </c>
      <c r="H131" s="20" t="s">
        <v>647</v>
      </c>
      <c r="I131" s="20"/>
      <c r="J131" s="20"/>
      <c r="K131" s="22"/>
      <c r="L131" s="23"/>
      <c r="M131" s="20" t="s">
        <v>100</v>
      </c>
      <c r="N131" s="24"/>
      <c r="O131" s="24"/>
      <c r="P131" s="20" t="s">
        <v>101</v>
      </c>
      <c r="Q131" s="20" t="s">
        <v>86</v>
      </c>
      <c r="R131" s="20" t="s">
        <v>86</v>
      </c>
      <c r="S131" s="20" t="s">
        <v>102</v>
      </c>
      <c r="T131" s="26" t="s">
        <v>103</v>
      </c>
      <c r="U131" s="20" t="s">
        <v>104</v>
      </c>
      <c r="V131" s="20" t="s">
        <v>138</v>
      </c>
      <c r="W131" s="21" t="s">
        <v>181</v>
      </c>
    </row>
    <row r="132" customFormat="false" ht="23.85" hidden="false" customHeight="false" outlineLevel="0" collapsed="false">
      <c r="A132" s="20" t="n">
        <v>131</v>
      </c>
      <c r="B132" s="20" t="s">
        <v>648</v>
      </c>
      <c r="C132" s="20" t="s">
        <v>4</v>
      </c>
      <c r="D132" s="20" t="s">
        <v>649</v>
      </c>
      <c r="E132" s="20" t="s">
        <v>23</v>
      </c>
      <c r="F132" s="20" t="s">
        <v>589</v>
      </c>
      <c r="G132" s="21" t="s">
        <v>650</v>
      </c>
      <c r="H132" s="20" t="s">
        <v>651</v>
      </c>
      <c r="I132" s="20"/>
      <c r="J132" s="20" t="s">
        <v>652</v>
      </c>
      <c r="K132" s="22" t="n">
        <v>4.4</v>
      </c>
      <c r="L132" s="23" t="n">
        <v>43</v>
      </c>
      <c r="M132" s="20" t="s">
        <v>100</v>
      </c>
      <c r="N132" s="24" t="n">
        <v>6.5641844</v>
      </c>
      <c r="O132" s="24" t="n">
        <v>3.371185</v>
      </c>
      <c r="P132" s="20" t="s">
        <v>110</v>
      </c>
      <c r="Q132" s="20" t="s">
        <v>86</v>
      </c>
      <c r="R132" s="20" t="s">
        <v>86</v>
      </c>
      <c r="S132" s="20" t="s">
        <v>87</v>
      </c>
      <c r="T132" s="27" t="s">
        <v>117</v>
      </c>
      <c r="U132" s="20" t="s">
        <v>118</v>
      </c>
      <c r="V132" s="20" t="s">
        <v>138</v>
      </c>
      <c r="W132" s="21" t="s">
        <v>181</v>
      </c>
    </row>
    <row r="133" customFormat="false" ht="23.85" hidden="false" customHeight="false" outlineLevel="0" collapsed="false">
      <c r="A133" s="20" t="n">
        <v>132</v>
      </c>
      <c r="B133" s="20" t="s">
        <v>653</v>
      </c>
      <c r="C133" s="20" t="s">
        <v>4</v>
      </c>
      <c r="D133" s="20" t="s">
        <v>654</v>
      </c>
      <c r="E133" s="20" t="s">
        <v>23</v>
      </c>
      <c r="F133" s="20" t="s">
        <v>655</v>
      </c>
      <c r="G133" s="21" t="s">
        <v>656</v>
      </c>
      <c r="H133" s="20" t="s">
        <v>657</v>
      </c>
      <c r="I133" s="20"/>
      <c r="J133" s="20" t="s">
        <v>658</v>
      </c>
      <c r="K133" s="22" t="n">
        <v>3.9</v>
      </c>
      <c r="L133" s="23" t="n">
        <v>16</v>
      </c>
      <c r="M133" s="20" t="s">
        <v>100</v>
      </c>
      <c r="N133" s="24" t="n">
        <v>6.5602344</v>
      </c>
      <c r="O133" s="24" t="n">
        <v>3.3689219</v>
      </c>
      <c r="P133" s="20" t="s">
        <v>125</v>
      </c>
      <c r="Q133" s="20" t="s">
        <v>86</v>
      </c>
      <c r="R133" s="20" t="s">
        <v>86</v>
      </c>
      <c r="S133" s="20" t="s">
        <v>87</v>
      </c>
      <c r="T133" s="27" t="s">
        <v>117</v>
      </c>
      <c r="U133" s="20" t="s">
        <v>118</v>
      </c>
      <c r="V133" s="20" t="s">
        <v>90</v>
      </c>
      <c r="W133" s="21"/>
    </row>
    <row r="134" customFormat="false" ht="15" hidden="false" customHeight="false" outlineLevel="0" collapsed="false">
      <c r="A134" s="20" t="n">
        <v>133</v>
      </c>
      <c r="B134" s="20" t="s">
        <v>659</v>
      </c>
      <c r="C134" s="20" t="s">
        <v>4</v>
      </c>
      <c r="D134" s="20" t="s">
        <v>396</v>
      </c>
      <c r="E134" s="20" t="s">
        <v>23</v>
      </c>
      <c r="F134" s="20" t="s">
        <v>589</v>
      </c>
      <c r="G134" s="21" t="s">
        <v>397</v>
      </c>
      <c r="H134" s="20" t="s">
        <v>660</v>
      </c>
      <c r="I134" s="20"/>
      <c r="J134" s="20"/>
      <c r="K134" s="22" t="n">
        <v>4.3</v>
      </c>
      <c r="L134" s="23" t="n">
        <v>102</v>
      </c>
      <c r="M134" s="20" t="s">
        <v>100</v>
      </c>
      <c r="N134" s="24" t="n">
        <v>6.56252</v>
      </c>
      <c r="O134" s="24" t="n">
        <v>3.37053</v>
      </c>
      <c r="P134" s="20" t="s">
        <v>110</v>
      </c>
      <c r="Q134" s="20" t="s">
        <v>86</v>
      </c>
      <c r="R134" s="20" t="s">
        <v>86</v>
      </c>
      <c r="S134" s="20" t="s">
        <v>87</v>
      </c>
      <c r="T134" s="27" t="s">
        <v>117</v>
      </c>
      <c r="U134" s="20" t="s">
        <v>118</v>
      </c>
      <c r="V134" s="20" t="s">
        <v>138</v>
      </c>
      <c r="W134" s="21" t="s">
        <v>181</v>
      </c>
    </row>
    <row r="135" customFormat="false" ht="23.85" hidden="false" customHeight="false" outlineLevel="0" collapsed="false">
      <c r="A135" s="20" t="n">
        <v>134</v>
      </c>
      <c r="B135" s="20" t="s">
        <v>661</v>
      </c>
      <c r="C135" s="20" t="s">
        <v>4</v>
      </c>
      <c r="D135" s="20" t="s">
        <v>662</v>
      </c>
      <c r="E135" s="20" t="s">
        <v>23</v>
      </c>
      <c r="F135" s="20" t="s">
        <v>663</v>
      </c>
      <c r="G135" s="21" t="s">
        <v>664</v>
      </c>
      <c r="H135" s="20" t="s">
        <v>665</v>
      </c>
      <c r="I135" s="20" t="s">
        <v>666</v>
      </c>
      <c r="J135" s="20" t="s">
        <v>667</v>
      </c>
      <c r="K135" s="22"/>
      <c r="L135" s="23"/>
      <c r="M135" s="20" t="s">
        <v>100</v>
      </c>
      <c r="N135" s="24" t="n">
        <v>6.5603484</v>
      </c>
      <c r="O135" s="24" t="n">
        <v>3.3697487</v>
      </c>
      <c r="P135" s="20" t="s">
        <v>125</v>
      </c>
      <c r="Q135" s="20" t="s">
        <v>86</v>
      </c>
      <c r="R135" s="20" t="s">
        <v>86</v>
      </c>
      <c r="S135" s="20" t="s">
        <v>87</v>
      </c>
      <c r="T135" s="27" t="s">
        <v>117</v>
      </c>
      <c r="U135" s="20" t="s">
        <v>118</v>
      </c>
      <c r="V135" s="20" t="s">
        <v>90</v>
      </c>
      <c r="W135" s="21"/>
    </row>
    <row r="136" customFormat="false" ht="15" hidden="false" customHeight="false" outlineLevel="0" collapsed="false">
      <c r="A136" s="20" t="n">
        <v>135</v>
      </c>
      <c r="B136" s="20" t="s">
        <v>668</v>
      </c>
      <c r="C136" s="20" t="s">
        <v>4</v>
      </c>
      <c r="D136" s="20" t="s">
        <v>669</v>
      </c>
      <c r="E136" s="20" t="s">
        <v>23</v>
      </c>
      <c r="F136" s="20" t="s">
        <v>655</v>
      </c>
      <c r="G136" s="21" t="s">
        <v>669</v>
      </c>
      <c r="H136" s="20" t="s">
        <v>670</v>
      </c>
      <c r="I136" s="20"/>
      <c r="J136" s="20"/>
      <c r="K136" s="22" t="n">
        <v>5</v>
      </c>
      <c r="L136" s="23" t="n">
        <v>1</v>
      </c>
      <c r="M136" s="20" t="s">
        <v>100</v>
      </c>
      <c r="N136" s="24" t="n">
        <v>6.56323</v>
      </c>
      <c r="O136" s="24" t="n">
        <v>3.3709</v>
      </c>
      <c r="P136" s="20" t="s">
        <v>85</v>
      </c>
      <c r="Q136" s="20" t="s">
        <v>86</v>
      </c>
      <c r="R136" s="20" t="s">
        <v>86</v>
      </c>
      <c r="S136" s="20" t="s">
        <v>87</v>
      </c>
      <c r="T136" s="26" t="s">
        <v>103</v>
      </c>
      <c r="U136" s="20" t="s">
        <v>104</v>
      </c>
      <c r="V136" s="20" t="s">
        <v>90</v>
      </c>
      <c r="W136" s="21"/>
    </row>
    <row r="137" customFormat="false" ht="15" hidden="false" customHeight="false" outlineLevel="0" collapsed="false">
      <c r="A137" s="20" t="n">
        <v>136</v>
      </c>
      <c r="B137" s="20" t="s">
        <v>671</v>
      </c>
      <c r="C137" s="20" t="s">
        <v>4</v>
      </c>
      <c r="D137" s="20" t="s">
        <v>672</v>
      </c>
      <c r="E137" s="20" t="s">
        <v>23</v>
      </c>
      <c r="F137" s="20" t="s">
        <v>569</v>
      </c>
      <c r="G137" s="21" t="s">
        <v>673</v>
      </c>
      <c r="H137" s="20" t="s">
        <v>674</v>
      </c>
      <c r="I137" s="20"/>
      <c r="J137" s="20"/>
      <c r="K137" s="22"/>
      <c r="L137" s="23"/>
      <c r="M137" s="20" t="s">
        <v>100</v>
      </c>
      <c r="N137" s="24"/>
      <c r="O137" s="24"/>
      <c r="P137" s="20" t="s">
        <v>101</v>
      </c>
      <c r="Q137" s="20" t="s">
        <v>86</v>
      </c>
      <c r="R137" s="20" t="s">
        <v>86</v>
      </c>
      <c r="S137" s="20" t="s">
        <v>102</v>
      </c>
      <c r="T137" s="26" t="s">
        <v>103</v>
      </c>
      <c r="U137" s="20" t="s">
        <v>104</v>
      </c>
      <c r="V137" s="20" t="s">
        <v>90</v>
      </c>
      <c r="W137" s="21"/>
    </row>
    <row r="138" customFormat="false" ht="15" hidden="false" customHeight="false" outlineLevel="0" collapsed="false">
      <c r="A138" s="20" t="n">
        <v>137</v>
      </c>
      <c r="B138" s="20" t="s">
        <v>675</v>
      </c>
      <c r="C138" s="20" t="s">
        <v>4</v>
      </c>
      <c r="D138" s="20" t="s">
        <v>676</v>
      </c>
      <c r="E138" s="20" t="s">
        <v>23</v>
      </c>
      <c r="F138" s="20" t="s">
        <v>677</v>
      </c>
      <c r="G138" s="21" t="s">
        <v>678</v>
      </c>
      <c r="H138" s="20" t="s">
        <v>679</v>
      </c>
      <c r="I138" s="20" t="s">
        <v>680</v>
      </c>
      <c r="J138" s="20" t="s">
        <v>681</v>
      </c>
      <c r="K138" s="22" t="n">
        <v>4.8</v>
      </c>
      <c r="L138" s="23" t="n">
        <v>4</v>
      </c>
      <c r="M138" s="20" t="s">
        <v>100</v>
      </c>
      <c r="N138" s="24" t="n">
        <v>6.5607003</v>
      </c>
      <c r="O138" s="24" t="n">
        <v>3.367976</v>
      </c>
      <c r="P138" s="20" t="s">
        <v>125</v>
      </c>
      <c r="Q138" s="20" t="s">
        <v>86</v>
      </c>
      <c r="R138" s="20" t="s">
        <v>86</v>
      </c>
      <c r="S138" s="20" t="s">
        <v>87</v>
      </c>
      <c r="T138" s="27" t="s">
        <v>117</v>
      </c>
      <c r="U138" s="20" t="s">
        <v>118</v>
      </c>
      <c r="V138" s="20" t="s">
        <v>90</v>
      </c>
      <c r="W138" s="21"/>
    </row>
    <row r="139" customFormat="false" ht="15" hidden="false" customHeight="false" outlineLevel="0" collapsed="false">
      <c r="A139" s="20" t="n">
        <v>138</v>
      </c>
      <c r="B139" s="20" t="s">
        <v>682</v>
      </c>
      <c r="C139" s="20" t="s">
        <v>4</v>
      </c>
      <c r="D139" s="20" t="s">
        <v>683</v>
      </c>
      <c r="E139" s="20" t="s">
        <v>23</v>
      </c>
      <c r="F139" s="20" t="s">
        <v>684</v>
      </c>
      <c r="G139" s="21" t="s">
        <v>685</v>
      </c>
      <c r="H139" s="20"/>
      <c r="I139" s="20"/>
      <c r="J139" s="20" t="s">
        <v>686</v>
      </c>
      <c r="K139" s="22"/>
      <c r="L139" s="23"/>
      <c r="M139" s="20" t="s">
        <v>84</v>
      </c>
      <c r="N139" s="24" t="n">
        <v>6.558914</v>
      </c>
      <c r="O139" s="24" t="n">
        <v>3.369334</v>
      </c>
      <c r="P139" s="20" t="s">
        <v>125</v>
      </c>
      <c r="Q139" s="20" t="s">
        <v>86</v>
      </c>
      <c r="R139" s="20" t="s">
        <v>86</v>
      </c>
      <c r="S139" s="20" t="s">
        <v>87</v>
      </c>
      <c r="T139" s="25" t="s">
        <v>88</v>
      </c>
      <c r="U139" s="20" t="s">
        <v>89</v>
      </c>
      <c r="V139" s="20" t="s">
        <v>90</v>
      </c>
      <c r="W139" s="21"/>
    </row>
    <row r="140" customFormat="false" ht="15" hidden="false" customHeight="false" outlineLevel="0" collapsed="false">
      <c r="A140" s="20" t="n">
        <v>139</v>
      </c>
      <c r="B140" s="20" t="s">
        <v>687</v>
      </c>
      <c r="C140" s="20" t="s">
        <v>4</v>
      </c>
      <c r="D140" s="20" t="s">
        <v>688</v>
      </c>
      <c r="E140" s="20" t="s">
        <v>23</v>
      </c>
      <c r="F140" s="20" t="s">
        <v>569</v>
      </c>
      <c r="G140" s="21" t="s">
        <v>689</v>
      </c>
      <c r="H140" s="20" t="s">
        <v>690</v>
      </c>
      <c r="I140" s="20"/>
      <c r="J140" s="20"/>
      <c r="K140" s="22"/>
      <c r="L140" s="23"/>
      <c r="M140" s="20" t="s">
        <v>100</v>
      </c>
      <c r="N140" s="24"/>
      <c r="O140" s="24"/>
      <c r="P140" s="20" t="s">
        <v>101</v>
      </c>
      <c r="Q140" s="20" t="s">
        <v>86</v>
      </c>
      <c r="R140" s="20" t="s">
        <v>86</v>
      </c>
      <c r="S140" s="20" t="s">
        <v>102</v>
      </c>
      <c r="T140" s="26" t="s">
        <v>103</v>
      </c>
      <c r="U140" s="20" t="s">
        <v>104</v>
      </c>
      <c r="V140" s="20" t="s">
        <v>90</v>
      </c>
      <c r="W140" s="21"/>
    </row>
    <row r="141" customFormat="false" ht="15" hidden="false" customHeight="false" outlineLevel="0" collapsed="false">
      <c r="A141" s="20" t="n">
        <v>140</v>
      </c>
      <c r="B141" s="20" t="s">
        <v>691</v>
      </c>
      <c r="C141" s="20" t="s">
        <v>4</v>
      </c>
      <c r="D141" s="20" t="s">
        <v>692</v>
      </c>
      <c r="E141" s="20" t="s">
        <v>23</v>
      </c>
      <c r="F141" s="20" t="s">
        <v>569</v>
      </c>
      <c r="G141" s="21" t="s">
        <v>693</v>
      </c>
      <c r="H141" s="20" t="s">
        <v>694</v>
      </c>
      <c r="I141" s="20"/>
      <c r="J141" s="20"/>
      <c r="K141" s="22"/>
      <c r="L141" s="23"/>
      <c r="M141" s="20" t="s">
        <v>100</v>
      </c>
      <c r="N141" s="24"/>
      <c r="O141" s="24"/>
      <c r="P141" s="20" t="s">
        <v>101</v>
      </c>
      <c r="Q141" s="20" t="s">
        <v>86</v>
      </c>
      <c r="R141" s="20" t="s">
        <v>86</v>
      </c>
      <c r="S141" s="20" t="s">
        <v>102</v>
      </c>
      <c r="T141" s="26" t="s">
        <v>103</v>
      </c>
      <c r="U141" s="20" t="s">
        <v>104</v>
      </c>
      <c r="V141" s="20" t="s">
        <v>90</v>
      </c>
      <c r="W141" s="21"/>
    </row>
    <row r="142" customFormat="false" ht="15" hidden="false" customHeight="false" outlineLevel="0" collapsed="false">
      <c r="A142" s="20" t="n">
        <v>141</v>
      </c>
      <c r="B142" s="20" t="s">
        <v>695</v>
      </c>
      <c r="C142" s="20" t="s">
        <v>4</v>
      </c>
      <c r="D142" s="20" t="s">
        <v>696</v>
      </c>
      <c r="E142" s="20" t="s">
        <v>23</v>
      </c>
      <c r="F142" s="20" t="s">
        <v>569</v>
      </c>
      <c r="G142" s="21" t="s">
        <v>697</v>
      </c>
      <c r="H142" s="20" t="s">
        <v>698</v>
      </c>
      <c r="I142" s="20"/>
      <c r="J142" s="20"/>
      <c r="K142" s="22"/>
      <c r="L142" s="23"/>
      <c r="M142" s="20" t="s">
        <v>100</v>
      </c>
      <c r="N142" s="24"/>
      <c r="O142" s="24"/>
      <c r="P142" s="20" t="s">
        <v>101</v>
      </c>
      <c r="Q142" s="20" t="s">
        <v>86</v>
      </c>
      <c r="R142" s="20" t="s">
        <v>86</v>
      </c>
      <c r="S142" s="20" t="s">
        <v>102</v>
      </c>
      <c r="T142" s="26" t="s">
        <v>103</v>
      </c>
      <c r="U142" s="20" t="s">
        <v>104</v>
      </c>
      <c r="V142" s="20" t="s">
        <v>90</v>
      </c>
      <c r="W142" s="21"/>
    </row>
    <row r="143" customFormat="false" ht="15" hidden="false" customHeight="false" outlineLevel="0" collapsed="false">
      <c r="A143" s="20" t="n">
        <v>142</v>
      </c>
      <c r="B143" s="20" t="s">
        <v>699</v>
      </c>
      <c r="C143" s="20" t="s">
        <v>4</v>
      </c>
      <c r="D143" s="20" t="s">
        <v>700</v>
      </c>
      <c r="E143" s="20" t="s">
        <v>23</v>
      </c>
      <c r="F143" s="20" t="s">
        <v>655</v>
      </c>
      <c r="G143" s="21" t="s">
        <v>701</v>
      </c>
      <c r="H143" s="20" t="s">
        <v>702</v>
      </c>
      <c r="I143" s="20"/>
      <c r="J143" s="20" t="s">
        <v>703</v>
      </c>
      <c r="K143" s="22"/>
      <c r="L143" s="23"/>
      <c r="M143" s="20" t="s">
        <v>100</v>
      </c>
      <c r="N143" s="24" t="n">
        <v>6.5602204</v>
      </c>
      <c r="O143" s="24" t="n">
        <v>3.3689827</v>
      </c>
      <c r="P143" s="20" t="s">
        <v>125</v>
      </c>
      <c r="Q143" s="20" t="s">
        <v>86</v>
      </c>
      <c r="R143" s="20" t="s">
        <v>86</v>
      </c>
      <c r="S143" s="20" t="s">
        <v>87</v>
      </c>
      <c r="T143" s="26" t="s">
        <v>103</v>
      </c>
      <c r="U143" s="20" t="s">
        <v>104</v>
      </c>
      <c r="V143" s="20" t="s">
        <v>90</v>
      </c>
      <c r="W143" s="21"/>
    </row>
    <row r="144" customFormat="false" ht="15" hidden="false" customHeight="false" outlineLevel="0" collapsed="false">
      <c r="A144" s="20" t="n">
        <v>143</v>
      </c>
      <c r="B144" s="20" t="s">
        <v>704</v>
      </c>
      <c r="C144" s="20" t="s">
        <v>4</v>
      </c>
      <c r="D144" s="20" t="s">
        <v>705</v>
      </c>
      <c r="E144" s="20" t="s">
        <v>24</v>
      </c>
      <c r="F144" s="20" t="s">
        <v>655</v>
      </c>
      <c r="G144" s="21" t="s">
        <v>706</v>
      </c>
      <c r="H144" s="20" t="s">
        <v>707</v>
      </c>
      <c r="I144" s="20"/>
      <c r="J144" s="20"/>
      <c r="K144" s="22"/>
      <c r="L144" s="23"/>
      <c r="M144" s="20" t="s">
        <v>100</v>
      </c>
      <c r="N144" s="24" t="n">
        <v>6.56134</v>
      </c>
      <c r="O144" s="24" t="n">
        <v>3.36331</v>
      </c>
      <c r="P144" s="20" t="s">
        <v>85</v>
      </c>
      <c r="Q144" s="20" t="s">
        <v>86</v>
      </c>
      <c r="R144" s="20" t="s">
        <v>86</v>
      </c>
      <c r="S144" s="20" t="s">
        <v>87</v>
      </c>
      <c r="T144" s="26" t="s">
        <v>103</v>
      </c>
      <c r="U144" s="20" t="s">
        <v>104</v>
      </c>
      <c r="V144" s="20" t="s">
        <v>90</v>
      </c>
      <c r="W144" s="21"/>
    </row>
    <row r="145" customFormat="false" ht="15" hidden="false" customHeight="false" outlineLevel="0" collapsed="false">
      <c r="A145" s="20" t="n">
        <v>144</v>
      </c>
      <c r="B145" s="20" t="s">
        <v>708</v>
      </c>
      <c r="C145" s="20" t="s">
        <v>4</v>
      </c>
      <c r="D145" s="20" t="s">
        <v>709</v>
      </c>
      <c r="E145" s="20" t="s">
        <v>24</v>
      </c>
      <c r="F145" s="20" t="s">
        <v>710</v>
      </c>
      <c r="G145" s="21" t="s">
        <v>711</v>
      </c>
      <c r="H145" s="20" t="s">
        <v>712</v>
      </c>
      <c r="I145" s="20"/>
      <c r="J145" s="20"/>
      <c r="K145" s="22" t="n">
        <v>4.8</v>
      </c>
      <c r="L145" s="23" t="n">
        <v>62</v>
      </c>
      <c r="M145" s="20" t="s">
        <v>100</v>
      </c>
      <c r="N145" s="24" t="n">
        <v>6.5623</v>
      </c>
      <c r="O145" s="24" t="n">
        <v>3.37182</v>
      </c>
      <c r="P145" s="20" t="s">
        <v>110</v>
      </c>
      <c r="Q145" s="20" t="s">
        <v>86</v>
      </c>
      <c r="R145" s="20" t="s">
        <v>86</v>
      </c>
      <c r="S145" s="20" t="s">
        <v>87</v>
      </c>
      <c r="T145" s="27" t="s">
        <v>117</v>
      </c>
      <c r="U145" s="20" t="s">
        <v>118</v>
      </c>
      <c r="V145" s="20" t="s">
        <v>90</v>
      </c>
      <c r="W145" s="21"/>
    </row>
    <row r="146" customFormat="false" ht="15" hidden="false" customHeight="false" outlineLevel="0" collapsed="false">
      <c r="A146" s="20" t="n">
        <v>145</v>
      </c>
      <c r="B146" s="20" t="s">
        <v>713</v>
      </c>
      <c r="C146" s="20" t="s">
        <v>4</v>
      </c>
      <c r="D146" s="20" t="s">
        <v>714</v>
      </c>
      <c r="E146" s="20" t="s">
        <v>24</v>
      </c>
      <c r="F146" s="20" t="s">
        <v>715</v>
      </c>
      <c r="G146" s="21" t="s">
        <v>714</v>
      </c>
      <c r="H146" s="20" t="s">
        <v>716</v>
      </c>
      <c r="I146" s="20"/>
      <c r="J146" s="20"/>
      <c r="K146" s="22" t="n">
        <v>4.7</v>
      </c>
      <c r="L146" s="23" t="n">
        <v>3</v>
      </c>
      <c r="M146" s="20" t="s">
        <v>100</v>
      </c>
      <c r="N146" s="24" t="n">
        <v>6.56087</v>
      </c>
      <c r="O146" s="24" t="n">
        <v>3.37042</v>
      </c>
      <c r="P146" s="20" t="s">
        <v>85</v>
      </c>
      <c r="Q146" s="20" t="s">
        <v>86</v>
      </c>
      <c r="R146" s="20" t="s">
        <v>86</v>
      </c>
      <c r="S146" s="20" t="s">
        <v>87</v>
      </c>
      <c r="T146" s="26" t="s">
        <v>103</v>
      </c>
      <c r="U146" s="20" t="s">
        <v>104</v>
      </c>
      <c r="V146" s="20" t="s">
        <v>90</v>
      </c>
      <c r="W146" s="21"/>
    </row>
    <row r="147" customFormat="false" ht="15" hidden="false" customHeight="false" outlineLevel="0" collapsed="false">
      <c r="A147" s="20" t="n">
        <v>146</v>
      </c>
      <c r="B147" s="20" t="s">
        <v>717</v>
      </c>
      <c r="C147" s="20" t="s">
        <v>4</v>
      </c>
      <c r="D147" s="20" t="s">
        <v>718</v>
      </c>
      <c r="E147" s="20" t="s">
        <v>24</v>
      </c>
      <c r="F147" s="20" t="s">
        <v>719</v>
      </c>
      <c r="G147" s="21" t="s">
        <v>720</v>
      </c>
      <c r="H147" s="20" t="s">
        <v>721</v>
      </c>
      <c r="I147" s="20"/>
      <c r="J147" s="20" t="s">
        <v>722</v>
      </c>
      <c r="K147" s="22"/>
      <c r="L147" s="23"/>
      <c r="M147" s="20" t="s">
        <v>100</v>
      </c>
      <c r="N147" s="24" t="n">
        <v>6.5594362</v>
      </c>
      <c r="O147" s="24" t="n">
        <v>3.368749</v>
      </c>
      <c r="P147" s="20" t="s">
        <v>125</v>
      </c>
      <c r="Q147" s="20" t="s">
        <v>86</v>
      </c>
      <c r="R147" s="20" t="s">
        <v>86</v>
      </c>
      <c r="S147" s="20" t="s">
        <v>87</v>
      </c>
      <c r="T147" s="26" t="s">
        <v>103</v>
      </c>
      <c r="U147" s="20" t="s">
        <v>104</v>
      </c>
      <c r="V147" s="20" t="s">
        <v>90</v>
      </c>
      <c r="W147" s="21"/>
    </row>
    <row r="148" customFormat="false" ht="15" hidden="false" customHeight="false" outlineLevel="0" collapsed="false">
      <c r="A148" s="20" t="n">
        <v>147</v>
      </c>
      <c r="B148" s="20" t="s">
        <v>723</v>
      </c>
      <c r="C148" s="20" t="s">
        <v>4</v>
      </c>
      <c r="D148" s="20" t="s">
        <v>221</v>
      </c>
      <c r="E148" s="20" t="s">
        <v>24</v>
      </c>
      <c r="F148" s="20" t="s">
        <v>715</v>
      </c>
      <c r="G148" s="21" t="s">
        <v>221</v>
      </c>
      <c r="H148" s="20" t="s">
        <v>724</v>
      </c>
      <c r="I148" s="20"/>
      <c r="J148" s="20"/>
      <c r="K148" s="22" t="n">
        <v>4.8</v>
      </c>
      <c r="L148" s="23" t="n">
        <v>38</v>
      </c>
      <c r="M148" s="20" t="s">
        <v>100</v>
      </c>
      <c r="N148" s="24" t="n">
        <v>6.57279</v>
      </c>
      <c r="O148" s="24" t="n">
        <v>3.36388</v>
      </c>
      <c r="P148" s="20" t="s">
        <v>85</v>
      </c>
      <c r="Q148" s="20" t="s">
        <v>86</v>
      </c>
      <c r="R148" s="20" t="s">
        <v>86</v>
      </c>
      <c r="S148" s="20" t="s">
        <v>87</v>
      </c>
      <c r="T148" s="27" t="s">
        <v>117</v>
      </c>
      <c r="U148" s="20" t="s">
        <v>118</v>
      </c>
      <c r="V148" s="20" t="s">
        <v>90</v>
      </c>
      <c r="W148" s="21"/>
    </row>
    <row r="149" customFormat="false" ht="23.85" hidden="false" customHeight="false" outlineLevel="0" collapsed="false">
      <c r="A149" s="20" t="n">
        <v>148</v>
      </c>
      <c r="B149" s="20" t="s">
        <v>725</v>
      </c>
      <c r="C149" s="20" t="s">
        <v>4</v>
      </c>
      <c r="D149" s="20" t="s">
        <v>726</v>
      </c>
      <c r="E149" s="20" t="s">
        <v>24</v>
      </c>
      <c r="F149" s="20" t="s">
        <v>563</v>
      </c>
      <c r="G149" s="21" t="s">
        <v>727</v>
      </c>
      <c r="H149" s="20" t="s">
        <v>728</v>
      </c>
      <c r="I149" s="20"/>
      <c r="J149" s="20" t="s">
        <v>729</v>
      </c>
      <c r="K149" s="22"/>
      <c r="L149" s="23"/>
      <c r="M149" s="20" t="s">
        <v>100</v>
      </c>
      <c r="N149" s="24" t="n">
        <v>6.560396</v>
      </c>
      <c r="O149" s="24" t="n">
        <v>3.3686999</v>
      </c>
      <c r="P149" s="20" t="s">
        <v>125</v>
      </c>
      <c r="Q149" s="20" t="s">
        <v>86</v>
      </c>
      <c r="R149" s="20" t="s">
        <v>86</v>
      </c>
      <c r="S149" s="20" t="s">
        <v>87</v>
      </c>
      <c r="T149" s="26" t="s">
        <v>103</v>
      </c>
      <c r="U149" s="20" t="s">
        <v>104</v>
      </c>
      <c r="V149" s="20" t="s">
        <v>90</v>
      </c>
      <c r="W149" s="21"/>
    </row>
    <row r="150" customFormat="false" ht="15" hidden="false" customHeight="false" outlineLevel="0" collapsed="false">
      <c r="A150" s="20" t="n">
        <v>149</v>
      </c>
      <c r="B150" s="20" t="s">
        <v>730</v>
      </c>
      <c r="C150" s="20" t="s">
        <v>4</v>
      </c>
      <c r="D150" s="20" t="s">
        <v>731</v>
      </c>
      <c r="E150" s="20" t="s">
        <v>25</v>
      </c>
      <c r="F150" s="20" t="s">
        <v>732</v>
      </c>
      <c r="G150" s="21" t="s">
        <v>733</v>
      </c>
      <c r="H150" s="20" t="s">
        <v>734</v>
      </c>
      <c r="I150" s="20" t="s">
        <v>735</v>
      </c>
      <c r="J150" s="20"/>
      <c r="K150" s="22"/>
      <c r="L150" s="23"/>
      <c r="M150" s="20" t="s">
        <v>100</v>
      </c>
      <c r="N150" s="24"/>
      <c r="O150" s="24"/>
      <c r="P150" s="20" t="s">
        <v>101</v>
      </c>
      <c r="Q150" s="20" t="s">
        <v>86</v>
      </c>
      <c r="R150" s="20" t="s">
        <v>86</v>
      </c>
      <c r="S150" s="20" t="s">
        <v>102</v>
      </c>
      <c r="T150" s="27" t="s">
        <v>117</v>
      </c>
      <c r="U150" s="20" t="s">
        <v>118</v>
      </c>
      <c r="V150" s="20" t="s">
        <v>90</v>
      </c>
      <c r="W150" s="21"/>
    </row>
    <row r="151" customFormat="false" ht="23.85" hidden="false" customHeight="false" outlineLevel="0" collapsed="false">
      <c r="A151" s="20" t="n">
        <v>150</v>
      </c>
      <c r="B151" s="20" t="s">
        <v>736</v>
      </c>
      <c r="C151" s="20" t="s">
        <v>4</v>
      </c>
      <c r="D151" s="20" t="s">
        <v>737</v>
      </c>
      <c r="E151" s="20" t="s">
        <v>25</v>
      </c>
      <c r="F151" s="20" t="s">
        <v>738</v>
      </c>
      <c r="G151" s="21" t="s">
        <v>739</v>
      </c>
      <c r="H151" s="20"/>
      <c r="I151" s="20"/>
      <c r="J151" s="20" t="s">
        <v>740</v>
      </c>
      <c r="K151" s="22"/>
      <c r="L151" s="23"/>
      <c r="M151" s="20" t="s">
        <v>84</v>
      </c>
      <c r="N151" s="24" t="n">
        <v>6.5593147</v>
      </c>
      <c r="O151" s="24" t="n">
        <v>3.3685529</v>
      </c>
      <c r="P151" s="20" t="s">
        <v>125</v>
      </c>
      <c r="Q151" s="20" t="s">
        <v>86</v>
      </c>
      <c r="R151" s="20" t="s">
        <v>86</v>
      </c>
      <c r="S151" s="20" t="s">
        <v>87</v>
      </c>
      <c r="T151" s="25" t="s">
        <v>88</v>
      </c>
      <c r="U151" s="20" t="s">
        <v>89</v>
      </c>
      <c r="V151" s="20" t="s">
        <v>90</v>
      </c>
      <c r="W151" s="21"/>
    </row>
    <row r="152" customFormat="false" ht="15" hidden="false" customHeight="false" outlineLevel="0" collapsed="false">
      <c r="A152" s="20" t="n">
        <v>151</v>
      </c>
      <c r="B152" s="20" t="s">
        <v>741</v>
      </c>
      <c r="C152" s="20" t="s">
        <v>4</v>
      </c>
      <c r="D152" s="20" t="s">
        <v>742</v>
      </c>
      <c r="E152" s="20" t="s">
        <v>25</v>
      </c>
      <c r="F152" s="20" t="s">
        <v>732</v>
      </c>
      <c r="G152" s="21" t="s">
        <v>743</v>
      </c>
      <c r="H152" s="20" t="s">
        <v>744</v>
      </c>
      <c r="I152" s="20" t="s">
        <v>745</v>
      </c>
      <c r="J152" s="20"/>
      <c r="K152" s="22"/>
      <c r="L152" s="23"/>
      <c r="M152" s="20" t="s">
        <v>100</v>
      </c>
      <c r="N152" s="24"/>
      <c r="O152" s="24"/>
      <c r="P152" s="20" t="s">
        <v>101</v>
      </c>
      <c r="Q152" s="20" t="s">
        <v>86</v>
      </c>
      <c r="R152" s="20" t="s">
        <v>86</v>
      </c>
      <c r="S152" s="20" t="s">
        <v>102</v>
      </c>
      <c r="T152" s="27" t="s">
        <v>117</v>
      </c>
      <c r="U152" s="20" t="s">
        <v>118</v>
      </c>
      <c r="V152" s="20" t="s">
        <v>90</v>
      </c>
      <c r="W152" s="21"/>
    </row>
    <row r="153" customFormat="false" ht="15" hidden="false" customHeight="false" outlineLevel="0" collapsed="false">
      <c r="A153" s="20" t="n">
        <v>152</v>
      </c>
      <c r="B153" s="20" t="s">
        <v>746</v>
      </c>
      <c r="C153" s="20" t="s">
        <v>4</v>
      </c>
      <c r="D153" s="20" t="s">
        <v>747</v>
      </c>
      <c r="E153" s="20" t="s">
        <v>25</v>
      </c>
      <c r="F153" s="20" t="s">
        <v>738</v>
      </c>
      <c r="G153" s="21" t="s">
        <v>748</v>
      </c>
      <c r="H153" s="20"/>
      <c r="I153" s="20"/>
      <c r="J153" s="20" t="s">
        <v>749</v>
      </c>
      <c r="K153" s="22"/>
      <c r="L153" s="23"/>
      <c r="M153" s="20" t="s">
        <v>84</v>
      </c>
      <c r="N153" s="24" t="n">
        <v>6.5587986</v>
      </c>
      <c r="O153" s="24" t="n">
        <v>3.3695698</v>
      </c>
      <c r="P153" s="20" t="s">
        <v>125</v>
      </c>
      <c r="Q153" s="20" t="s">
        <v>86</v>
      </c>
      <c r="R153" s="20" t="s">
        <v>86</v>
      </c>
      <c r="S153" s="20" t="s">
        <v>87</v>
      </c>
      <c r="T153" s="25" t="s">
        <v>88</v>
      </c>
      <c r="U153" s="20" t="s">
        <v>89</v>
      </c>
      <c r="V153" s="20" t="s">
        <v>90</v>
      </c>
      <c r="W153" s="21"/>
    </row>
    <row r="154" customFormat="false" ht="23.85" hidden="false" customHeight="false" outlineLevel="0" collapsed="false">
      <c r="A154" s="20" t="n">
        <v>153</v>
      </c>
      <c r="B154" s="20" t="s">
        <v>750</v>
      </c>
      <c r="C154" s="20" t="s">
        <v>4</v>
      </c>
      <c r="D154" s="20" t="s">
        <v>346</v>
      </c>
      <c r="E154" s="20" t="s">
        <v>25</v>
      </c>
      <c r="F154" s="20" t="s">
        <v>738</v>
      </c>
      <c r="G154" s="21" t="s">
        <v>751</v>
      </c>
      <c r="H154" s="20" t="s">
        <v>752</v>
      </c>
      <c r="I154" s="20"/>
      <c r="J154" s="20" t="s">
        <v>753</v>
      </c>
      <c r="K154" s="22" t="n">
        <v>4</v>
      </c>
      <c r="L154" s="23" t="n">
        <v>1</v>
      </c>
      <c r="M154" s="20" t="s">
        <v>100</v>
      </c>
      <c r="N154" s="24" t="n">
        <v>6.5599329</v>
      </c>
      <c r="O154" s="24" t="n">
        <v>3.370278</v>
      </c>
      <c r="P154" s="20" t="s">
        <v>125</v>
      </c>
      <c r="Q154" s="20" t="s">
        <v>86</v>
      </c>
      <c r="R154" s="20" t="s">
        <v>86</v>
      </c>
      <c r="S154" s="20" t="s">
        <v>87</v>
      </c>
      <c r="T154" s="26" t="s">
        <v>103</v>
      </c>
      <c r="U154" s="20" t="s">
        <v>104</v>
      </c>
      <c r="V154" s="20" t="s">
        <v>90</v>
      </c>
      <c r="W154" s="21"/>
    </row>
    <row r="155" customFormat="false" ht="15" hidden="false" customHeight="false" outlineLevel="0" collapsed="false">
      <c r="A155" s="20" t="n">
        <v>154</v>
      </c>
      <c r="B155" s="20" t="s">
        <v>754</v>
      </c>
      <c r="C155" s="20" t="s">
        <v>4</v>
      </c>
      <c r="D155" s="20" t="s">
        <v>755</v>
      </c>
      <c r="E155" s="20" t="s">
        <v>25</v>
      </c>
      <c r="F155" s="20" t="s">
        <v>732</v>
      </c>
      <c r="G155" s="21" t="s">
        <v>756</v>
      </c>
      <c r="H155" s="20" t="s">
        <v>757</v>
      </c>
      <c r="I155" s="20"/>
      <c r="J155" s="20"/>
      <c r="K155" s="22" t="n">
        <v>5</v>
      </c>
      <c r="L155" s="23" t="n">
        <v>3</v>
      </c>
      <c r="M155" s="20" t="s">
        <v>100</v>
      </c>
      <c r="N155" s="24"/>
      <c r="O155" s="24"/>
      <c r="P155" s="20" t="s">
        <v>101</v>
      </c>
      <c r="Q155" s="20" t="s">
        <v>86</v>
      </c>
      <c r="R155" s="20" t="s">
        <v>86</v>
      </c>
      <c r="S155" s="20" t="s">
        <v>102</v>
      </c>
      <c r="T155" s="26" t="s">
        <v>103</v>
      </c>
      <c r="U155" s="20" t="s">
        <v>104</v>
      </c>
      <c r="V155" s="20" t="s">
        <v>90</v>
      </c>
      <c r="W155" s="21"/>
    </row>
    <row r="156" customFormat="false" ht="15" hidden="false" customHeight="false" outlineLevel="0" collapsed="false">
      <c r="A156" s="20" t="n">
        <v>155</v>
      </c>
      <c r="B156" s="20" t="s">
        <v>758</v>
      </c>
      <c r="C156" s="20" t="s">
        <v>4</v>
      </c>
      <c r="D156" s="20" t="s">
        <v>759</v>
      </c>
      <c r="E156" s="20" t="s">
        <v>25</v>
      </c>
      <c r="F156" s="20" t="s">
        <v>732</v>
      </c>
      <c r="G156" s="21" t="s">
        <v>760</v>
      </c>
      <c r="H156" s="20" t="s">
        <v>761</v>
      </c>
      <c r="I156" s="20"/>
      <c r="J156" s="20"/>
      <c r="K156" s="22" t="n">
        <v>3.8</v>
      </c>
      <c r="L156" s="23" t="n">
        <v>24</v>
      </c>
      <c r="M156" s="20" t="s">
        <v>100</v>
      </c>
      <c r="N156" s="24"/>
      <c r="O156" s="24"/>
      <c r="P156" s="20" t="s">
        <v>101</v>
      </c>
      <c r="Q156" s="20" t="s">
        <v>86</v>
      </c>
      <c r="R156" s="20" t="s">
        <v>86</v>
      </c>
      <c r="S156" s="20" t="s">
        <v>102</v>
      </c>
      <c r="T156" s="27" t="s">
        <v>117</v>
      </c>
      <c r="U156" s="20" t="s">
        <v>118</v>
      </c>
      <c r="V156" s="20" t="s">
        <v>90</v>
      </c>
      <c r="W156" s="21"/>
    </row>
    <row r="157" customFormat="false" ht="23.85" hidden="false" customHeight="false" outlineLevel="0" collapsed="false">
      <c r="A157" s="20" t="n">
        <v>156</v>
      </c>
      <c r="B157" s="20" t="s">
        <v>762</v>
      </c>
      <c r="C157" s="20" t="s">
        <v>4</v>
      </c>
      <c r="D157" s="20" t="s">
        <v>763</v>
      </c>
      <c r="E157" s="20" t="s">
        <v>25</v>
      </c>
      <c r="F157" s="20" t="s">
        <v>738</v>
      </c>
      <c r="G157" s="21" t="s">
        <v>764</v>
      </c>
      <c r="H157" s="20"/>
      <c r="I157" s="20"/>
      <c r="J157" s="20" t="s">
        <v>765</v>
      </c>
      <c r="K157" s="22"/>
      <c r="L157" s="23"/>
      <c r="M157" s="20" t="s">
        <v>84</v>
      </c>
      <c r="N157" s="24" t="n">
        <v>6.560448</v>
      </c>
      <c r="O157" s="24" t="n">
        <v>3.3693648</v>
      </c>
      <c r="P157" s="20" t="s">
        <v>125</v>
      </c>
      <c r="Q157" s="20" t="s">
        <v>86</v>
      </c>
      <c r="R157" s="20" t="s">
        <v>86</v>
      </c>
      <c r="S157" s="20" t="s">
        <v>87</v>
      </c>
      <c r="T157" s="25" t="s">
        <v>88</v>
      </c>
      <c r="U157" s="20" t="s">
        <v>89</v>
      </c>
      <c r="V157" s="20" t="s">
        <v>90</v>
      </c>
      <c r="W157" s="21"/>
    </row>
    <row r="158" customFormat="false" ht="15" hidden="false" customHeight="false" outlineLevel="0" collapsed="false">
      <c r="A158" s="20" t="n">
        <v>157</v>
      </c>
      <c r="B158" s="20" t="s">
        <v>766</v>
      </c>
      <c r="C158" s="20" t="s">
        <v>4</v>
      </c>
      <c r="D158" s="20" t="s">
        <v>767</v>
      </c>
      <c r="E158" s="20" t="s">
        <v>25</v>
      </c>
      <c r="F158" s="20" t="s">
        <v>738</v>
      </c>
      <c r="G158" s="21" t="s">
        <v>767</v>
      </c>
      <c r="H158" s="20" t="s">
        <v>768</v>
      </c>
      <c r="I158" s="20"/>
      <c r="J158" s="20"/>
      <c r="K158" s="22"/>
      <c r="L158" s="23"/>
      <c r="M158" s="20" t="s">
        <v>100</v>
      </c>
      <c r="N158" s="24" t="n">
        <v>6.56251</v>
      </c>
      <c r="O158" s="24" t="n">
        <v>3.3709</v>
      </c>
      <c r="P158" s="20" t="s">
        <v>85</v>
      </c>
      <c r="Q158" s="20" t="s">
        <v>86</v>
      </c>
      <c r="R158" s="20" t="s">
        <v>86</v>
      </c>
      <c r="S158" s="20" t="s">
        <v>87</v>
      </c>
      <c r="T158" s="26" t="s">
        <v>103</v>
      </c>
      <c r="U158" s="20" t="s">
        <v>104</v>
      </c>
      <c r="V158" s="20" t="s">
        <v>90</v>
      </c>
      <c r="W158" s="21"/>
    </row>
    <row r="159" customFormat="false" ht="23.85" hidden="false" customHeight="false" outlineLevel="0" collapsed="false">
      <c r="A159" s="20" t="n">
        <v>158</v>
      </c>
      <c r="B159" s="20" t="s">
        <v>769</v>
      </c>
      <c r="C159" s="20" t="s">
        <v>4</v>
      </c>
      <c r="D159" s="20" t="s">
        <v>770</v>
      </c>
      <c r="E159" s="20" t="s">
        <v>25</v>
      </c>
      <c r="F159" s="20" t="s">
        <v>771</v>
      </c>
      <c r="G159" s="21" t="s">
        <v>772</v>
      </c>
      <c r="H159" s="20" t="s">
        <v>773</v>
      </c>
      <c r="I159" s="20"/>
      <c r="J159" s="20" t="s">
        <v>774</v>
      </c>
      <c r="K159" s="22" t="n">
        <v>4</v>
      </c>
      <c r="L159" s="23" t="n">
        <v>1</v>
      </c>
      <c r="M159" s="20" t="s">
        <v>100</v>
      </c>
      <c r="N159" s="24" t="n">
        <v>6.5593986</v>
      </c>
      <c r="O159" s="24" t="n">
        <v>3.3683425</v>
      </c>
      <c r="P159" s="20" t="s">
        <v>125</v>
      </c>
      <c r="Q159" s="20" t="s">
        <v>86</v>
      </c>
      <c r="R159" s="20" t="s">
        <v>86</v>
      </c>
      <c r="S159" s="20" t="s">
        <v>87</v>
      </c>
      <c r="T159" s="26" t="s">
        <v>103</v>
      </c>
      <c r="U159" s="20" t="s">
        <v>104</v>
      </c>
      <c r="V159" s="20" t="s">
        <v>90</v>
      </c>
      <c r="W159" s="21"/>
    </row>
    <row r="160" customFormat="false" ht="15" hidden="false" customHeight="false" outlineLevel="0" collapsed="false">
      <c r="A160" s="20" t="n">
        <v>159</v>
      </c>
      <c r="B160" s="20" t="s">
        <v>775</v>
      </c>
      <c r="C160" s="20" t="s">
        <v>4</v>
      </c>
      <c r="D160" s="20" t="s">
        <v>776</v>
      </c>
      <c r="E160" s="20" t="s">
        <v>25</v>
      </c>
      <c r="F160" s="20" t="s">
        <v>732</v>
      </c>
      <c r="G160" s="21" t="s">
        <v>777</v>
      </c>
      <c r="H160" s="20" t="s">
        <v>778</v>
      </c>
      <c r="I160" s="20"/>
      <c r="J160" s="20"/>
      <c r="K160" s="22" t="n">
        <v>3.9</v>
      </c>
      <c r="L160" s="23" t="n">
        <v>193</v>
      </c>
      <c r="M160" s="20" t="s">
        <v>100</v>
      </c>
      <c r="N160" s="24"/>
      <c r="O160" s="24"/>
      <c r="P160" s="20" t="s">
        <v>101</v>
      </c>
      <c r="Q160" s="20" t="s">
        <v>86</v>
      </c>
      <c r="R160" s="20" t="s">
        <v>86</v>
      </c>
      <c r="S160" s="20" t="s">
        <v>102</v>
      </c>
      <c r="T160" s="27" t="s">
        <v>117</v>
      </c>
      <c r="U160" s="20" t="s">
        <v>118</v>
      </c>
      <c r="V160" s="20" t="s">
        <v>90</v>
      </c>
      <c r="W160" s="21"/>
    </row>
    <row r="161" customFormat="false" ht="15" hidden="false" customHeight="false" outlineLevel="0" collapsed="false">
      <c r="A161" s="20" t="n">
        <v>160</v>
      </c>
      <c r="B161" s="20" t="s">
        <v>779</v>
      </c>
      <c r="C161" s="20" t="s">
        <v>4</v>
      </c>
      <c r="D161" s="20" t="s">
        <v>780</v>
      </c>
      <c r="E161" s="20" t="s">
        <v>25</v>
      </c>
      <c r="F161" s="20" t="s">
        <v>738</v>
      </c>
      <c r="G161" s="21" t="s">
        <v>781</v>
      </c>
      <c r="H161" s="20" t="s">
        <v>782</v>
      </c>
      <c r="I161" s="20"/>
      <c r="J161" s="20" t="s">
        <v>783</v>
      </c>
      <c r="K161" s="22"/>
      <c r="L161" s="23"/>
      <c r="M161" s="20" t="s">
        <v>100</v>
      </c>
      <c r="N161" s="24" t="n">
        <v>6.5585542</v>
      </c>
      <c r="O161" s="24" t="n">
        <v>3.3695545</v>
      </c>
      <c r="P161" s="20" t="s">
        <v>125</v>
      </c>
      <c r="Q161" s="20" t="s">
        <v>86</v>
      </c>
      <c r="R161" s="20" t="s">
        <v>86</v>
      </c>
      <c r="S161" s="20" t="s">
        <v>87</v>
      </c>
      <c r="T161" s="26" t="s">
        <v>103</v>
      </c>
      <c r="U161" s="20" t="s">
        <v>104</v>
      </c>
      <c r="V161" s="20" t="s">
        <v>90</v>
      </c>
      <c r="W161" s="21"/>
    </row>
    <row r="162" customFormat="false" ht="15" hidden="false" customHeight="false" outlineLevel="0" collapsed="false">
      <c r="A162" s="20" t="n">
        <v>161</v>
      </c>
      <c r="B162" s="20" t="s">
        <v>784</v>
      </c>
      <c r="C162" s="20" t="s">
        <v>4</v>
      </c>
      <c r="D162" s="20" t="s">
        <v>785</v>
      </c>
      <c r="E162" s="20" t="s">
        <v>25</v>
      </c>
      <c r="F162" s="20" t="s">
        <v>738</v>
      </c>
      <c r="G162" s="21" t="s">
        <v>785</v>
      </c>
      <c r="H162" s="20"/>
      <c r="I162" s="20"/>
      <c r="J162" s="20"/>
      <c r="K162" s="22" t="n">
        <v>3.5</v>
      </c>
      <c r="L162" s="23"/>
      <c r="M162" s="20" t="s">
        <v>84</v>
      </c>
      <c r="N162" s="24" t="n">
        <v>6.57171</v>
      </c>
      <c r="O162" s="24" t="n">
        <v>3.36689</v>
      </c>
      <c r="P162" s="20" t="s">
        <v>85</v>
      </c>
      <c r="Q162" s="20" t="s">
        <v>86</v>
      </c>
      <c r="R162" s="20" t="s">
        <v>86</v>
      </c>
      <c r="S162" s="20" t="s">
        <v>87</v>
      </c>
      <c r="T162" s="25" t="s">
        <v>88</v>
      </c>
      <c r="U162" s="20" t="s">
        <v>89</v>
      </c>
      <c r="V162" s="20" t="s">
        <v>90</v>
      </c>
      <c r="W162" s="21"/>
    </row>
    <row r="163" customFormat="false" ht="15" hidden="false" customHeight="false" outlineLevel="0" collapsed="false">
      <c r="A163" s="20" t="n">
        <v>162</v>
      </c>
      <c r="B163" s="20" t="s">
        <v>786</v>
      </c>
      <c r="C163" s="20" t="s">
        <v>4</v>
      </c>
      <c r="D163" s="20" t="s">
        <v>787</v>
      </c>
      <c r="E163" s="20" t="s">
        <v>26</v>
      </c>
      <c r="F163" s="20" t="s">
        <v>788</v>
      </c>
      <c r="G163" s="21" t="s">
        <v>789</v>
      </c>
      <c r="H163" s="20" t="s">
        <v>790</v>
      </c>
      <c r="I163" s="20"/>
      <c r="J163" s="20"/>
      <c r="K163" s="22"/>
      <c r="L163" s="23"/>
      <c r="M163" s="20" t="s">
        <v>100</v>
      </c>
      <c r="N163" s="24"/>
      <c r="O163" s="24"/>
      <c r="P163" s="20" t="s">
        <v>101</v>
      </c>
      <c r="Q163" s="20" t="s">
        <v>86</v>
      </c>
      <c r="R163" s="20" t="s">
        <v>86</v>
      </c>
      <c r="S163" s="20" t="s">
        <v>102</v>
      </c>
      <c r="T163" s="26" t="s">
        <v>103</v>
      </c>
      <c r="U163" s="20" t="s">
        <v>104</v>
      </c>
      <c r="V163" s="20" t="s">
        <v>138</v>
      </c>
      <c r="W163" s="21" t="s">
        <v>299</v>
      </c>
    </row>
    <row r="164" customFormat="false" ht="15" hidden="false" customHeight="false" outlineLevel="0" collapsed="false">
      <c r="A164" s="20" t="n">
        <v>163</v>
      </c>
      <c r="B164" s="20" t="s">
        <v>791</v>
      </c>
      <c r="C164" s="20" t="s">
        <v>4</v>
      </c>
      <c r="D164" s="20" t="s">
        <v>346</v>
      </c>
      <c r="E164" s="20" t="s">
        <v>26</v>
      </c>
      <c r="F164" s="20" t="s">
        <v>788</v>
      </c>
      <c r="G164" s="21" t="s">
        <v>792</v>
      </c>
      <c r="H164" s="20" t="s">
        <v>793</v>
      </c>
      <c r="I164" s="20"/>
      <c r="J164" s="20"/>
      <c r="K164" s="22"/>
      <c r="L164" s="23"/>
      <c r="M164" s="20" t="s">
        <v>100</v>
      </c>
      <c r="N164" s="24"/>
      <c r="O164" s="24"/>
      <c r="P164" s="20" t="s">
        <v>101</v>
      </c>
      <c r="Q164" s="20" t="s">
        <v>86</v>
      </c>
      <c r="R164" s="20" t="s">
        <v>86</v>
      </c>
      <c r="S164" s="20" t="s">
        <v>102</v>
      </c>
      <c r="T164" s="26" t="s">
        <v>103</v>
      </c>
      <c r="U164" s="20" t="s">
        <v>104</v>
      </c>
      <c r="V164" s="20" t="s">
        <v>138</v>
      </c>
      <c r="W164" s="21" t="s">
        <v>299</v>
      </c>
    </row>
    <row r="165" customFormat="false" ht="23.85" hidden="false" customHeight="false" outlineLevel="0" collapsed="false">
      <c r="A165" s="20" t="n">
        <v>164</v>
      </c>
      <c r="B165" s="20" t="s">
        <v>794</v>
      </c>
      <c r="C165" s="20" t="s">
        <v>4</v>
      </c>
      <c r="D165" s="20" t="s">
        <v>795</v>
      </c>
      <c r="E165" s="20" t="s">
        <v>26</v>
      </c>
      <c r="F165" s="20" t="s">
        <v>710</v>
      </c>
      <c r="G165" s="21" t="s">
        <v>796</v>
      </c>
      <c r="H165" s="20" t="s">
        <v>797</v>
      </c>
      <c r="I165" s="20"/>
      <c r="J165" s="20"/>
      <c r="K165" s="22"/>
      <c r="L165" s="23"/>
      <c r="M165" s="20" t="s">
        <v>100</v>
      </c>
      <c r="N165" s="24"/>
      <c r="O165" s="24"/>
      <c r="P165" s="20" t="s">
        <v>101</v>
      </c>
      <c r="Q165" s="20" t="s">
        <v>86</v>
      </c>
      <c r="R165" s="20" t="s">
        <v>86</v>
      </c>
      <c r="S165" s="20" t="s">
        <v>102</v>
      </c>
      <c r="T165" s="26" t="s">
        <v>103</v>
      </c>
      <c r="U165" s="20" t="s">
        <v>104</v>
      </c>
      <c r="V165" s="20" t="s">
        <v>90</v>
      </c>
      <c r="W165" s="21"/>
    </row>
    <row r="166" customFormat="false" ht="15" hidden="false" customHeight="false" outlineLevel="0" collapsed="false">
      <c r="A166" s="20" t="n">
        <v>165</v>
      </c>
      <c r="B166" s="20" t="s">
        <v>798</v>
      </c>
      <c r="C166" s="20" t="s">
        <v>4</v>
      </c>
      <c r="D166" s="20" t="s">
        <v>799</v>
      </c>
      <c r="E166" s="20" t="s">
        <v>26</v>
      </c>
      <c r="F166" s="20" t="s">
        <v>800</v>
      </c>
      <c r="G166" s="21" t="s">
        <v>801</v>
      </c>
      <c r="H166" s="20"/>
      <c r="I166" s="20"/>
      <c r="J166" s="20"/>
      <c r="K166" s="22" t="n">
        <v>4.7</v>
      </c>
      <c r="L166" s="23" t="n">
        <v>258</v>
      </c>
      <c r="M166" s="20" t="s">
        <v>84</v>
      </c>
      <c r="N166" s="24" t="n">
        <v>6.5643</v>
      </c>
      <c r="O166" s="24" t="n">
        <v>3.36713</v>
      </c>
      <c r="P166" s="20" t="s">
        <v>85</v>
      </c>
      <c r="Q166" s="20" t="s">
        <v>86</v>
      </c>
      <c r="R166" s="20" t="s">
        <v>86</v>
      </c>
      <c r="S166" s="20" t="s">
        <v>87</v>
      </c>
      <c r="T166" s="25" t="s">
        <v>88</v>
      </c>
      <c r="U166" s="20" t="s">
        <v>89</v>
      </c>
      <c r="V166" s="20" t="s">
        <v>90</v>
      </c>
      <c r="W166" s="21"/>
    </row>
    <row r="167" customFormat="false" ht="15" hidden="false" customHeight="false" outlineLevel="0" collapsed="false">
      <c r="A167" s="20" t="n">
        <v>166</v>
      </c>
      <c r="B167" s="20" t="s">
        <v>802</v>
      </c>
      <c r="C167" s="20" t="s">
        <v>4</v>
      </c>
      <c r="D167" s="20" t="s">
        <v>514</v>
      </c>
      <c r="E167" s="20" t="s">
        <v>26</v>
      </c>
      <c r="F167" s="20" t="s">
        <v>803</v>
      </c>
      <c r="G167" s="21" t="s">
        <v>514</v>
      </c>
      <c r="H167" s="20"/>
      <c r="I167" s="20"/>
      <c r="J167" s="20"/>
      <c r="K167" s="22" t="n">
        <v>5</v>
      </c>
      <c r="L167" s="23" t="n">
        <v>71</v>
      </c>
      <c r="M167" s="20" t="s">
        <v>84</v>
      </c>
      <c r="N167" s="24" t="n">
        <v>6.56089</v>
      </c>
      <c r="O167" s="24" t="n">
        <v>3.36956</v>
      </c>
      <c r="P167" s="20" t="s">
        <v>85</v>
      </c>
      <c r="Q167" s="20" t="s">
        <v>86</v>
      </c>
      <c r="R167" s="20" t="s">
        <v>86</v>
      </c>
      <c r="S167" s="20" t="s">
        <v>87</v>
      </c>
      <c r="T167" s="25" t="s">
        <v>88</v>
      </c>
      <c r="U167" s="20" t="s">
        <v>89</v>
      </c>
      <c r="V167" s="20" t="s">
        <v>90</v>
      </c>
      <c r="W167" s="21"/>
    </row>
    <row r="168" customFormat="false" ht="23.85" hidden="false" customHeight="false" outlineLevel="0" collapsed="false">
      <c r="A168" s="20" t="n">
        <v>167</v>
      </c>
      <c r="B168" s="20" t="s">
        <v>804</v>
      </c>
      <c r="C168" s="20" t="s">
        <v>4</v>
      </c>
      <c r="D168" s="20" t="s">
        <v>805</v>
      </c>
      <c r="E168" s="20" t="s">
        <v>26</v>
      </c>
      <c r="F168" s="20" t="s">
        <v>806</v>
      </c>
      <c r="G168" s="21" t="s">
        <v>807</v>
      </c>
      <c r="H168" s="20" t="s">
        <v>808</v>
      </c>
      <c r="I168" s="20"/>
      <c r="J168" s="20"/>
      <c r="K168" s="22" t="n">
        <v>4.9</v>
      </c>
      <c r="L168" s="23" t="n">
        <v>9</v>
      </c>
      <c r="M168" s="20" t="s">
        <v>100</v>
      </c>
      <c r="N168" s="24" t="n">
        <v>6.56437</v>
      </c>
      <c r="O168" s="24" t="n">
        <v>3.36711</v>
      </c>
      <c r="P168" s="20" t="s">
        <v>85</v>
      </c>
      <c r="Q168" s="20" t="s">
        <v>86</v>
      </c>
      <c r="R168" s="20" t="s">
        <v>86</v>
      </c>
      <c r="S168" s="20" t="s">
        <v>87</v>
      </c>
      <c r="T168" s="26" t="s">
        <v>103</v>
      </c>
      <c r="U168" s="20" t="s">
        <v>104</v>
      </c>
      <c r="V168" s="20" t="s">
        <v>90</v>
      </c>
      <c r="W168" s="21"/>
    </row>
    <row r="169" customFormat="false" ht="15" hidden="false" customHeight="false" outlineLevel="0" collapsed="false">
      <c r="A169" s="20" t="n">
        <v>168</v>
      </c>
      <c r="B169" s="20" t="s">
        <v>809</v>
      </c>
      <c r="C169" s="20" t="s">
        <v>4</v>
      </c>
      <c r="D169" s="20" t="s">
        <v>810</v>
      </c>
      <c r="E169" s="20" t="s">
        <v>26</v>
      </c>
      <c r="F169" s="20" t="s">
        <v>811</v>
      </c>
      <c r="G169" s="21" t="s">
        <v>812</v>
      </c>
      <c r="H169" s="20"/>
      <c r="I169" s="20"/>
      <c r="J169" s="20" t="s">
        <v>813</v>
      </c>
      <c r="K169" s="22"/>
      <c r="L169" s="23"/>
      <c r="M169" s="20" t="s">
        <v>84</v>
      </c>
      <c r="N169" s="24" t="n">
        <v>6.5598757</v>
      </c>
      <c r="O169" s="24" t="n">
        <v>3.3680191</v>
      </c>
      <c r="P169" s="20" t="s">
        <v>125</v>
      </c>
      <c r="Q169" s="20" t="s">
        <v>86</v>
      </c>
      <c r="R169" s="20" t="s">
        <v>86</v>
      </c>
      <c r="S169" s="20" t="s">
        <v>87</v>
      </c>
      <c r="T169" s="25" t="s">
        <v>88</v>
      </c>
      <c r="U169" s="20" t="s">
        <v>89</v>
      </c>
      <c r="V169" s="20" t="s">
        <v>90</v>
      </c>
      <c r="W169" s="21"/>
    </row>
    <row r="170" customFormat="false" ht="15" hidden="false" customHeight="false" outlineLevel="0" collapsed="false">
      <c r="A170" s="20" t="n">
        <v>169</v>
      </c>
      <c r="B170" s="20" t="s">
        <v>814</v>
      </c>
      <c r="C170" s="20" t="s">
        <v>4</v>
      </c>
      <c r="D170" s="20" t="s">
        <v>815</v>
      </c>
      <c r="E170" s="20" t="s">
        <v>26</v>
      </c>
      <c r="F170" s="20" t="s">
        <v>816</v>
      </c>
      <c r="G170" s="21" t="s">
        <v>817</v>
      </c>
      <c r="H170" s="20" t="s">
        <v>818</v>
      </c>
      <c r="I170" s="20" t="s">
        <v>819</v>
      </c>
      <c r="J170" s="20" t="s">
        <v>820</v>
      </c>
      <c r="K170" s="22"/>
      <c r="L170" s="23"/>
      <c r="M170" s="20" t="s">
        <v>100</v>
      </c>
      <c r="N170" s="24" t="n">
        <v>6.5575902</v>
      </c>
      <c r="O170" s="24" t="n">
        <v>3.3683078</v>
      </c>
      <c r="P170" s="20" t="s">
        <v>110</v>
      </c>
      <c r="Q170" s="20" t="s">
        <v>86</v>
      </c>
      <c r="R170" s="20" t="s">
        <v>86</v>
      </c>
      <c r="S170" s="20" t="s">
        <v>87</v>
      </c>
      <c r="T170" s="27" t="s">
        <v>117</v>
      </c>
      <c r="U170" s="20" t="s">
        <v>118</v>
      </c>
      <c r="V170" s="20" t="s">
        <v>90</v>
      </c>
      <c r="W170" s="21"/>
    </row>
    <row r="171" customFormat="false" ht="15" hidden="false" customHeight="false" outlineLevel="0" collapsed="false">
      <c r="A171" s="20" t="n">
        <v>170</v>
      </c>
      <c r="B171" s="20" t="s">
        <v>821</v>
      </c>
      <c r="C171" s="20" t="s">
        <v>4</v>
      </c>
      <c r="D171" s="20" t="s">
        <v>822</v>
      </c>
      <c r="E171" s="20" t="s">
        <v>26</v>
      </c>
      <c r="F171" s="20" t="s">
        <v>823</v>
      </c>
      <c r="G171" s="21" t="s">
        <v>824</v>
      </c>
      <c r="H171" s="20"/>
      <c r="I171" s="20"/>
      <c r="J171" s="20"/>
      <c r="K171" s="22"/>
      <c r="L171" s="23"/>
      <c r="M171" s="20" t="s">
        <v>84</v>
      </c>
      <c r="N171" s="24" t="n">
        <v>6.56629</v>
      </c>
      <c r="O171" s="24" t="n">
        <v>3.36845</v>
      </c>
      <c r="P171" s="20" t="s">
        <v>85</v>
      </c>
      <c r="Q171" s="20" t="s">
        <v>86</v>
      </c>
      <c r="R171" s="20" t="s">
        <v>86</v>
      </c>
      <c r="S171" s="20" t="s">
        <v>87</v>
      </c>
      <c r="T171" s="25" t="s">
        <v>88</v>
      </c>
      <c r="U171" s="20" t="s">
        <v>89</v>
      </c>
      <c r="V171" s="20" t="s">
        <v>90</v>
      </c>
      <c r="W171" s="21"/>
    </row>
    <row r="172" customFormat="false" ht="15" hidden="false" customHeight="false" outlineLevel="0" collapsed="false">
      <c r="A172" s="20" t="n">
        <v>171</v>
      </c>
      <c r="B172" s="20" t="s">
        <v>825</v>
      </c>
      <c r="C172" s="20" t="s">
        <v>4</v>
      </c>
      <c r="D172" s="20" t="s">
        <v>826</v>
      </c>
      <c r="E172" s="20" t="s">
        <v>26</v>
      </c>
      <c r="F172" s="20" t="s">
        <v>788</v>
      </c>
      <c r="G172" s="21" t="s">
        <v>827</v>
      </c>
      <c r="H172" s="20" t="s">
        <v>828</v>
      </c>
      <c r="I172" s="20"/>
      <c r="J172" s="20"/>
      <c r="K172" s="22"/>
      <c r="L172" s="23"/>
      <c r="M172" s="20" t="s">
        <v>100</v>
      </c>
      <c r="N172" s="24"/>
      <c r="O172" s="24"/>
      <c r="P172" s="20" t="s">
        <v>101</v>
      </c>
      <c r="Q172" s="20" t="s">
        <v>86</v>
      </c>
      <c r="R172" s="20" t="s">
        <v>86</v>
      </c>
      <c r="S172" s="20" t="s">
        <v>102</v>
      </c>
      <c r="T172" s="26" t="s">
        <v>103</v>
      </c>
      <c r="U172" s="20" t="s">
        <v>104</v>
      </c>
      <c r="V172" s="20" t="s">
        <v>138</v>
      </c>
      <c r="W172" s="21" t="s">
        <v>299</v>
      </c>
    </row>
    <row r="173" customFormat="false" ht="23.85" hidden="false" customHeight="false" outlineLevel="0" collapsed="false">
      <c r="A173" s="20" t="n">
        <v>172</v>
      </c>
      <c r="B173" s="20" t="s">
        <v>829</v>
      </c>
      <c r="C173" s="20" t="s">
        <v>4</v>
      </c>
      <c r="D173" s="20" t="s">
        <v>830</v>
      </c>
      <c r="E173" s="20" t="s">
        <v>26</v>
      </c>
      <c r="F173" s="20" t="s">
        <v>811</v>
      </c>
      <c r="G173" s="21" t="s">
        <v>831</v>
      </c>
      <c r="H173" s="20"/>
      <c r="I173" s="20"/>
      <c r="J173" s="20" t="s">
        <v>832</v>
      </c>
      <c r="K173" s="22"/>
      <c r="L173" s="23"/>
      <c r="M173" s="20" t="s">
        <v>84</v>
      </c>
      <c r="N173" s="24" t="n">
        <v>6.5593877</v>
      </c>
      <c r="O173" s="24" t="n">
        <v>3.3683183</v>
      </c>
      <c r="P173" s="20" t="s">
        <v>125</v>
      </c>
      <c r="Q173" s="20" t="s">
        <v>86</v>
      </c>
      <c r="R173" s="20" t="s">
        <v>86</v>
      </c>
      <c r="S173" s="20" t="s">
        <v>87</v>
      </c>
      <c r="T173" s="25" t="s">
        <v>88</v>
      </c>
      <c r="U173" s="20" t="s">
        <v>89</v>
      </c>
      <c r="V173" s="20" t="s">
        <v>90</v>
      </c>
      <c r="W173" s="21"/>
    </row>
    <row r="174" customFormat="false" ht="15" hidden="false" customHeight="false" outlineLevel="0" collapsed="false">
      <c r="A174" s="20" t="n">
        <v>173</v>
      </c>
      <c r="B174" s="20" t="s">
        <v>833</v>
      </c>
      <c r="C174" s="20" t="s">
        <v>4</v>
      </c>
      <c r="D174" s="20" t="s">
        <v>834</v>
      </c>
      <c r="E174" s="20" t="s">
        <v>26</v>
      </c>
      <c r="F174" s="20" t="s">
        <v>835</v>
      </c>
      <c r="G174" s="21" t="s">
        <v>836</v>
      </c>
      <c r="H174" s="20"/>
      <c r="I174" s="20"/>
      <c r="J174" s="20"/>
      <c r="K174" s="22"/>
      <c r="L174" s="23"/>
      <c r="M174" s="20" t="s">
        <v>84</v>
      </c>
      <c r="N174" s="24" t="n">
        <v>6.57317</v>
      </c>
      <c r="O174" s="24" t="n">
        <v>3.36457</v>
      </c>
      <c r="P174" s="20" t="s">
        <v>85</v>
      </c>
      <c r="Q174" s="20" t="s">
        <v>86</v>
      </c>
      <c r="R174" s="20" t="s">
        <v>86</v>
      </c>
      <c r="S174" s="20" t="s">
        <v>87</v>
      </c>
      <c r="T174" s="25" t="s">
        <v>88</v>
      </c>
      <c r="U174" s="20" t="s">
        <v>89</v>
      </c>
      <c r="V174" s="20" t="s">
        <v>90</v>
      </c>
      <c r="W174" s="21"/>
    </row>
    <row r="175" customFormat="false" ht="23.85" hidden="false" customHeight="false" outlineLevel="0" collapsed="false">
      <c r="A175" s="20" t="n">
        <v>174</v>
      </c>
      <c r="B175" s="20" t="s">
        <v>837</v>
      </c>
      <c r="C175" s="20" t="s">
        <v>4</v>
      </c>
      <c r="D175" s="20" t="s">
        <v>838</v>
      </c>
      <c r="E175" s="20" t="s">
        <v>27</v>
      </c>
      <c r="F175" s="20" t="s">
        <v>839</v>
      </c>
      <c r="G175" s="21" t="s">
        <v>840</v>
      </c>
      <c r="H175" s="20"/>
      <c r="I175" s="20"/>
      <c r="J175" s="20" t="s">
        <v>841</v>
      </c>
      <c r="K175" s="22" t="n">
        <v>5</v>
      </c>
      <c r="L175" s="23" t="n">
        <v>1</v>
      </c>
      <c r="M175" s="20" t="s">
        <v>84</v>
      </c>
      <c r="N175" s="24" t="n">
        <v>6.5600748</v>
      </c>
      <c r="O175" s="24" t="n">
        <v>3.3696336</v>
      </c>
      <c r="P175" s="20" t="s">
        <v>125</v>
      </c>
      <c r="Q175" s="20" t="s">
        <v>86</v>
      </c>
      <c r="R175" s="20" t="s">
        <v>86</v>
      </c>
      <c r="S175" s="20" t="s">
        <v>87</v>
      </c>
      <c r="T175" s="25" t="s">
        <v>88</v>
      </c>
      <c r="U175" s="20" t="s">
        <v>89</v>
      </c>
      <c r="V175" s="20" t="s">
        <v>90</v>
      </c>
      <c r="W175" s="21"/>
    </row>
    <row r="176" customFormat="false" ht="23.85" hidden="false" customHeight="false" outlineLevel="0" collapsed="false">
      <c r="A176" s="20" t="n">
        <v>175</v>
      </c>
      <c r="B176" s="20" t="s">
        <v>842</v>
      </c>
      <c r="C176" s="20" t="s">
        <v>4</v>
      </c>
      <c r="D176" s="20" t="s">
        <v>843</v>
      </c>
      <c r="E176" s="20" t="s">
        <v>27</v>
      </c>
      <c r="F176" s="20" t="s">
        <v>844</v>
      </c>
      <c r="G176" s="21" t="s">
        <v>845</v>
      </c>
      <c r="H176" s="20"/>
      <c r="I176" s="20" t="s">
        <v>846</v>
      </c>
      <c r="J176" s="20" t="s">
        <v>847</v>
      </c>
      <c r="K176" s="22" t="n">
        <v>4.5</v>
      </c>
      <c r="L176" s="23" t="n">
        <v>75</v>
      </c>
      <c r="M176" s="20" t="s">
        <v>84</v>
      </c>
      <c r="N176" s="24" t="n">
        <v>6.5584794</v>
      </c>
      <c r="O176" s="24" t="n">
        <v>3.3702968</v>
      </c>
      <c r="P176" s="20" t="s">
        <v>125</v>
      </c>
      <c r="Q176" s="20" t="s">
        <v>86</v>
      </c>
      <c r="R176" s="20" t="s">
        <v>86</v>
      </c>
      <c r="S176" s="20" t="s">
        <v>87</v>
      </c>
      <c r="T176" s="25" t="s">
        <v>88</v>
      </c>
      <c r="U176" s="20" t="s">
        <v>89</v>
      </c>
      <c r="V176" s="20" t="s">
        <v>90</v>
      </c>
      <c r="W176" s="21"/>
    </row>
    <row r="177" customFormat="false" ht="23.85" hidden="false" customHeight="false" outlineLevel="0" collapsed="false">
      <c r="A177" s="20" t="n">
        <v>176</v>
      </c>
      <c r="B177" s="20" t="s">
        <v>848</v>
      </c>
      <c r="C177" s="20" t="s">
        <v>4</v>
      </c>
      <c r="D177" s="20" t="s">
        <v>849</v>
      </c>
      <c r="E177" s="20" t="s">
        <v>27</v>
      </c>
      <c r="F177" s="20" t="s">
        <v>850</v>
      </c>
      <c r="G177" s="21" t="s">
        <v>851</v>
      </c>
      <c r="H177" s="20" t="s">
        <v>852</v>
      </c>
      <c r="I177" s="20" t="s">
        <v>853</v>
      </c>
      <c r="J177" s="20" t="s">
        <v>854</v>
      </c>
      <c r="K177" s="22" t="n">
        <v>4.8</v>
      </c>
      <c r="L177" s="23" t="n">
        <v>155</v>
      </c>
      <c r="M177" s="20" t="s">
        <v>100</v>
      </c>
      <c r="N177" s="24" t="n">
        <v>6.5599882</v>
      </c>
      <c r="O177" s="24" t="n">
        <v>3.3674622</v>
      </c>
      <c r="P177" s="20" t="s">
        <v>125</v>
      </c>
      <c r="Q177" s="20" t="s">
        <v>86</v>
      </c>
      <c r="R177" s="20" t="s">
        <v>86</v>
      </c>
      <c r="S177" s="20" t="s">
        <v>87</v>
      </c>
      <c r="T177" s="27" t="s">
        <v>117</v>
      </c>
      <c r="U177" s="20" t="s">
        <v>118</v>
      </c>
      <c r="V177" s="20" t="s">
        <v>90</v>
      </c>
      <c r="W177" s="21"/>
    </row>
    <row r="178" customFormat="false" ht="15" hidden="false" customHeight="false" outlineLevel="0" collapsed="false">
      <c r="A178" s="20" t="n">
        <v>177</v>
      </c>
      <c r="B178" s="20" t="s">
        <v>855</v>
      </c>
      <c r="C178" s="20" t="s">
        <v>4</v>
      </c>
      <c r="D178" s="20" t="s">
        <v>856</v>
      </c>
      <c r="E178" s="20" t="s">
        <v>27</v>
      </c>
      <c r="F178" s="20" t="s">
        <v>850</v>
      </c>
      <c r="G178" s="21" t="s">
        <v>857</v>
      </c>
      <c r="H178" s="20"/>
      <c r="I178" s="20" t="s">
        <v>858</v>
      </c>
      <c r="J178" s="20" t="s">
        <v>859</v>
      </c>
      <c r="K178" s="22" t="n">
        <v>4.8</v>
      </c>
      <c r="L178" s="23" t="n">
        <v>31</v>
      </c>
      <c r="M178" s="20" t="s">
        <v>84</v>
      </c>
      <c r="N178" s="24" t="n">
        <v>6.5601474</v>
      </c>
      <c r="O178" s="24" t="n">
        <v>3.3674805</v>
      </c>
      <c r="P178" s="20" t="s">
        <v>125</v>
      </c>
      <c r="Q178" s="20" t="s">
        <v>86</v>
      </c>
      <c r="R178" s="20" t="s">
        <v>86</v>
      </c>
      <c r="S178" s="20" t="s">
        <v>87</v>
      </c>
      <c r="T178" s="25" t="s">
        <v>88</v>
      </c>
      <c r="U178" s="20" t="s">
        <v>89</v>
      </c>
      <c r="V178" s="20" t="s">
        <v>90</v>
      </c>
      <c r="W178" s="21"/>
    </row>
    <row r="179" customFormat="false" ht="15" hidden="false" customHeight="false" outlineLevel="0" collapsed="false">
      <c r="A179" s="20" t="n">
        <v>178</v>
      </c>
      <c r="B179" s="20" t="s">
        <v>860</v>
      </c>
      <c r="C179" s="20" t="s">
        <v>4</v>
      </c>
      <c r="D179" s="20" t="s">
        <v>861</v>
      </c>
      <c r="E179" s="20" t="s">
        <v>27</v>
      </c>
      <c r="F179" s="20" t="s">
        <v>862</v>
      </c>
      <c r="G179" s="21" t="s">
        <v>863</v>
      </c>
      <c r="H179" s="20"/>
      <c r="I179" s="20"/>
      <c r="J179" s="20" t="s">
        <v>864</v>
      </c>
      <c r="K179" s="22"/>
      <c r="L179" s="23"/>
      <c r="M179" s="20" t="s">
        <v>84</v>
      </c>
      <c r="N179" s="24" t="n">
        <v>6.5589085</v>
      </c>
      <c r="O179" s="24" t="n">
        <v>3.3692078</v>
      </c>
      <c r="P179" s="20" t="s">
        <v>125</v>
      </c>
      <c r="Q179" s="20" t="s">
        <v>86</v>
      </c>
      <c r="R179" s="20" t="s">
        <v>86</v>
      </c>
      <c r="S179" s="20" t="s">
        <v>87</v>
      </c>
      <c r="T179" s="25" t="s">
        <v>88</v>
      </c>
      <c r="U179" s="20" t="s">
        <v>89</v>
      </c>
      <c r="V179" s="20" t="s">
        <v>90</v>
      </c>
      <c r="W179" s="21"/>
    </row>
    <row r="180" customFormat="false" ht="15" hidden="false" customHeight="false" outlineLevel="0" collapsed="false">
      <c r="A180" s="20" t="n">
        <v>179</v>
      </c>
      <c r="B180" s="20" t="s">
        <v>865</v>
      </c>
      <c r="C180" s="20" t="s">
        <v>4</v>
      </c>
      <c r="D180" s="20" t="s">
        <v>861</v>
      </c>
      <c r="E180" s="20" t="s">
        <v>27</v>
      </c>
      <c r="F180" s="20" t="s">
        <v>866</v>
      </c>
      <c r="G180" s="21" t="s">
        <v>863</v>
      </c>
      <c r="H180" s="20"/>
      <c r="I180" s="20"/>
      <c r="J180" s="20" t="s">
        <v>867</v>
      </c>
      <c r="K180" s="22"/>
      <c r="L180" s="23"/>
      <c r="M180" s="20" t="s">
        <v>84</v>
      </c>
      <c r="N180" s="24" t="n">
        <v>6.5589085</v>
      </c>
      <c r="O180" s="24" t="n">
        <v>3.3692078</v>
      </c>
      <c r="P180" s="20" t="s">
        <v>125</v>
      </c>
      <c r="Q180" s="20" t="s">
        <v>86</v>
      </c>
      <c r="R180" s="20" t="s">
        <v>86</v>
      </c>
      <c r="S180" s="20" t="s">
        <v>87</v>
      </c>
      <c r="T180" s="25" t="s">
        <v>88</v>
      </c>
      <c r="U180" s="20" t="s">
        <v>89</v>
      </c>
      <c r="V180" s="20" t="s">
        <v>90</v>
      </c>
      <c r="W180" s="21"/>
    </row>
    <row r="181" customFormat="false" ht="15" hidden="false" customHeight="false" outlineLevel="0" collapsed="false">
      <c r="A181" s="20" t="n">
        <v>180</v>
      </c>
      <c r="B181" s="20" t="s">
        <v>868</v>
      </c>
      <c r="C181" s="20" t="s">
        <v>4</v>
      </c>
      <c r="D181" s="20" t="s">
        <v>856</v>
      </c>
      <c r="E181" s="20" t="s">
        <v>27</v>
      </c>
      <c r="F181" s="20" t="s">
        <v>850</v>
      </c>
      <c r="G181" s="21" t="s">
        <v>857</v>
      </c>
      <c r="H181" s="20"/>
      <c r="I181" s="20"/>
      <c r="J181" s="20" t="s">
        <v>869</v>
      </c>
      <c r="K181" s="22" t="n">
        <v>5</v>
      </c>
      <c r="L181" s="23" t="n">
        <v>3</v>
      </c>
      <c r="M181" s="20" t="s">
        <v>84</v>
      </c>
      <c r="N181" s="24" t="n">
        <v>6.5601587</v>
      </c>
      <c r="O181" s="24" t="n">
        <v>3.3674417</v>
      </c>
      <c r="P181" s="20" t="s">
        <v>125</v>
      </c>
      <c r="Q181" s="20" t="s">
        <v>86</v>
      </c>
      <c r="R181" s="20" t="s">
        <v>86</v>
      </c>
      <c r="S181" s="20" t="s">
        <v>87</v>
      </c>
      <c r="T181" s="25" t="s">
        <v>88</v>
      </c>
      <c r="U181" s="20" t="s">
        <v>89</v>
      </c>
      <c r="V181" s="20" t="s">
        <v>90</v>
      </c>
      <c r="W181" s="21"/>
    </row>
    <row r="182" customFormat="false" ht="23.85" hidden="false" customHeight="false" outlineLevel="0" collapsed="false">
      <c r="A182" s="20" t="n">
        <v>181</v>
      </c>
      <c r="B182" s="20" t="s">
        <v>870</v>
      </c>
      <c r="C182" s="20" t="s">
        <v>4</v>
      </c>
      <c r="D182" s="20" t="s">
        <v>871</v>
      </c>
      <c r="E182" s="20" t="s">
        <v>27</v>
      </c>
      <c r="F182" s="20" t="s">
        <v>862</v>
      </c>
      <c r="G182" s="21" t="s">
        <v>872</v>
      </c>
      <c r="H182" s="20" t="s">
        <v>873</v>
      </c>
      <c r="I182" s="20" t="s">
        <v>874</v>
      </c>
      <c r="J182" s="20" t="s">
        <v>875</v>
      </c>
      <c r="K182" s="22" t="n">
        <v>4.5</v>
      </c>
      <c r="L182" s="23" t="n">
        <v>11</v>
      </c>
      <c r="M182" s="20" t="s">
        <v>100</v>
      </c>
      <c r="N182" s="24" t="n">
        <v>6.5613189</v>
      </c>
      <c r="O182" s="24" t="n">
        <v>3.3686854</v>
      </c>
      <c r="P182" s="20" t="s">
        <v>125</v>
      </c>
      <c r="Q182" s="20" t="s">
        <v>86</v>
      </c>
      <c r="R182" s="20" t="s">
        <v>86</v>
      </c>
      <c r="S182" s="20" t="s">
        <v>87</v>
      </c>
      <c r="T182" s="27" t="s">
        <v>117</v>
      </c>
      <c r="U182" s="20" t="s">
        <v>118</v>
      </c>
      <c r="V182" s="20" t="s">
        <v>90</v>
      </c>
      <c r="W182" s="21"/>
    </row>
    <row r="183" customFormat="false" ht="23.85" hidden="false" customHeight="false" outlineLevel="0" collapsed="false">
      <c r="A183" s="20" t="n">
        <v>182</v>
      </c>
      <c r="B183" s="20" t="s">
        <v>876</v>
      </c>
      <c r="C183" s="20" t="s">
        <v>4</v>
      </c>
      <c r="D183" s="20" t="s">
        <v>877</v>
      </c>
      <c r="E183" s="20" t="s">
        <v>27</v>
      </c>
      <c r="F183" s="20" t="s">
        <v>850</v>
      </c>
      <c r="G183" s="21" t="s">
        <v>878</v>
      </c>
      <c r="H183" s="20" t="s">
        <v>879</v>
      </c>
      <c r="I183" s="20" t="s">
        <v>880</v>
      </c>
      <c r="J183" s="20" t="s">
        <v>881</v>
      </c>
      <c r="K183" s="22" t="n">
        <v>4.9</v>
      </c>
      <c r="L183" s="23" t="n">
        <v>62</v>
      </c>
      <c r="M183" s="20" t="s">
        <v>100</v>
      </c>
      <c r="N183" s="24" t="n">
        <v>6.5573832</v>
      </c>
      <c r="O183" s="24" t="n">
        <v>3.3672894</v>
      </c>
      <c r="P183" s="20" t="s">
        <v>125</v>
      </c>
      <c r="Q183" s="20" t="s">
        <v>86</v>
      </c>
      <c r="R183" s="20" t="s">
        <v>86</v>
      </c>
      <c r="S183" s="20" t="s">
        <v>87</v>
      </c>
      <c r="T183" s="27" t="s">
        <v>117</v>
      </c>
      <c r="U183" s="20" t="s">
        <v>118</v>
      </c>
      <c r="V183" s="20" t="s">
        <v>90</v>
      </c>
      <c r="W183" s="21"/>
    </row>
    <row r="184" customFormat="false" ht="23.85" hidden="false" customHeight="false" outlineLevel="0" collapsed="false">
      <c r="A184" s="20" t="n">
        <v>183</v>
      </c>
      <c r="B184" s="20" t="s">
        <v>882</v>
      </c>
      <c r="C184" s="20" t="s">
        <v>4</v>
      </c>
      <c r="D184" s="20" t="s">
        <v>883</v>
      </c>
      <c r="E184" s="20" t="s">
        <v>27</v>
      </c>
      <c r="F184" s="20" t="s">
        <v>850</v>
      </c>
      <c r="G184" s="21" t="s">
        <v>884</v>
      </c>
      <c r="H184" s="20" t="s">
        <v>885</v>
      </c>
      <c r="I184" s="20"/>
      <c r="J184" s="20" t="s">
        <v>886</v>
      </c>
      <c r="K184" s="22" t="n">
        <v>5</v>
      </c>
      <c r="L184" s="23" t="n">
        <v>1</v>
      </c>
      <c r="M184" s="20" t="s">
        <v>100</v>
      </c>
      <c r="N184" s="24" t="n">
        <v>6.5590705</v>
      </c>
      <c r="O184" s="24" t="n">
        <v>3.3695017</v>
      </c>
      <c r="P184" s="20" t="s">
        <v>125</v>
      </c>
      <c r="Q184" s="20" t="s">
        <v>86</v>
      </c>
      <c r="R184" s="20" t="s">
        <v>86</v>
      </c>
      <c r="S184" s="20" t="s">
        <v>87</v>
      </c>
      <c r="T184" s="26" t="s">
        <v>103</v>
      </c>
      <c r="U184" s="20" t="s">
        <v>104</v>
      </c>
      <c r="V184" s="20" t="s">
        <v>90</v>
      </c>
      <c r="W184" s="21"/>
    </row>
    <row r="185" customFormat="false" ht="23.85" hidden="false" customHeight="false" outlineLevel="0" collapsed="false">
      <c r="A185" s="20" t="n">
        <v>184</v>
      </c>
      <c r="B185" s="20" t="s">
        <v>887</v>
      </c>
      <c r="C185" s="20" t="s">
        <v>4</v>
      </c>
      <c r="D185" s="20" t="s">
        <v>888</v>
      </c>
      <c r="E185" s="20" t="s">
        <v>27</v>
      </c>
      <c r="F185" s="20" t="s">
        <v>850</v>
      </c>
      <c r="G185" s="21" t="s">
        <v>889</v>
      </c>
      <c r="H185" s="20"/>
      <c r="I185" s="20" t="s">
        <v>853</v>
      </c>
      <c r="J185" s="20" t="s">
        <v>890</v>
      </c>
      <c r="K185" s="22"/>
      <c r="L185" s="23"/>
      <c r="M185" s="20" t="s">
        <v>84</v>
      </c>
      <c r="N185" s="24" t="n">
        <v>6.5601474</v>
      </c>
      <c r="O185" s="24" t="n">
        <v>3.3674805</v>
      </c>
      <c r="P185" s="20" t="s">
        <v>125</v>
      </c>
      <c r="Q185" s="20" t="s">
        <v>86</v>
      </c>
      <c r="R185" s="20" t="s">
        <v>86</v>
      </c>
      <c r="S185" s="20" t="s">
        <v>87</v>
      </c>
      <c r="T185" s="25" t="s">
        <v>88</v>
      </c>
      <c r="U185" s="20" t="s">
        <v>89</v>
      </c>
      <c r="V185" s="20" t="s">
        <v>90</v>
      </c>
      <c r="W185" s="21"/>
    </row>
    <row r="186" customFormat="false" ht="15" hidden="false" customHeight="false" outlineLevel="0" collapsed="false">
      <c r="A186" s="20" t="n">
        <v>185</v>
      </c>
      <c r="B186" s="20" t="s">
        <v>891</v>
      </c>
      <c r="C186" s="20" t="s">
        <v>4</v>
      </c>
      <c r="D186" s="20" t="s">
        <v>346</v>
      </c>
      <c r="E186" s="20" t="s">
        <v>28</v>
      </c>
      <c r="F186" s="20" t="s">
        <v>892</v>
      </c>
      <c r="G186" s="21" t="s">
        <v>893</v>
      </c>
      <c r="H186" s="20" t="s">
        <v>894</v>
      </c>
      <c r="I186" s="20"/>
      <c r="J186" s="20" t="s">
        <v>895</v>
      </c>
      <c r="K186" s="22" t="n">
        <v>3.8</v>
      </c>
      <c r="L186" s="23" t="n">
        <v>12</v>
      </c>
      <c r="M186" s="20" t="s">
        <v>100</v>
      </c>
      <c r="N186" s="24" t="n">
        <v>6.5594219</v>
      </c>
      <c r="O186" s="24" t="n">
        <v>3.3697021</v>
      </c>
      <c r="P186" s="20" t="s">
        <v>125</v>
      </c>
      <c r="Q186" s="20" t="s">
        <v>86</v>
      </c>
      <c r="R186" s="20" t="s">
        <v>86</v>
      </c>
      <c r="S186" s="20" t="s">
        <v>87</v>
      </c>
      <c r="T186" s="27" t="s">
        <v>117</v>
      </c>
      <c r="U186" s="20" t="s">
        <v>118</v>
      </c>
      <c r="V186" s="20" t="s">
        <v>90</v>
      </c>
      <c r="W186" s="21"/>
    </row>
    <row r="187" customFormat="false" ht="23.85" hidden="false" customHeight="false" outlineLevel="0" collapsed="false">
      <c r="A187" s="20" t="n">
        <v>186</v>
      </c>
      <c r="B187" s="20" t="s">
        <v>896</v>
      </c>
      <c r="C187" s="20" t="s">
        <v>4</v>
      </c>
      <c r="D187" s="20" t="s">
        <v>424</v>
      </c>
      <c r="E187" s="20" t="s">
        <v>28</v>
      </c>
      <c r="F187" s="20" t="s">
        <v>897</v>
      </c>
      <c r="G187" s="21" t="s">
        <v>425</v>
      </c>
      <c r="H187" s="20"/>
      <c r="I187" s="20"/>
      <c r="J187" s="20" t="s">
        <v>898</v>
      </c>
      <c r="K187" s="22"/>
      <c r="L187" s="23"/>
      <c r="M187" s="20" t="s">
        <v>84</v>
      </c>
      <c r="N187" s="24" t="n">
        <v>6.5598952</v>
      </c>
      <c r="O187" s="24" t="n">
        <v>3.3700474</v>
      </c>
      <c r="P187" s="20" t="s">
        <v>125</v>
      </c>
      <c r="Q187" s="20" t="s">
        <v>86</v>
      </c>
      <c r="R187" s="20" t="s">
        <v>86</v>
      </c>
      <c r="S187" s="20" t="s">
        <v>87</v>
      </c>
      <c r="T187" s="25" t="s">
        <v>88</v>
      </c>
      <c r="U187" s="20" t="s">
        <v>89</v>
      </c>
      <c r="V187" s="20" t="s">
        <v>90</v>
      </c>
      <c r="W187" s="21"/>
    </row>
    <row r="188" customFormat="false" ht="15" hidden="false" customHeight="false" outlineLevel="0" collapsed="false">
      <c r="A188" s="20" t="n">
        <v>187</v>
      </c>
      <c r="B188" s="20" t="s">
        <v>899</v>
      </c>
      <c r="C188" s="20" t="s">
        <v>4</v>
      </c>
      <c r="D188" s="20" t="s">
        <v>900</v>
      </c>
      <c r="E188" s="20" t="s">
        <v>28</v>
      </c>
      <c r="F188" s="20" t="s">
        <v>901</v>
      </c>
      <c r="G188" s="21" t="s">
        <v>902</v>
      </c>
      <c r="H188" s="20" t="s">
        <v>903</v>
      </c>
      <c r="I188" s="20"/>
      <c r="J188" s="20" t="s">
        <v>904</v>
      </c>
      <c r="K188" s="22"/>
      <c r="L188" s="23"/>
      <c r="M188" s="20" t="s">
        <v>100</v>
      </c>
      <c r="N188" s="24" t="n">
        <v>6.5596644</v>
      </c>
      <c r="O188" s="24" t="n">
        <v>3.3693785</v>
      </c>
      <c r="P188" s="20" t="s">
        <v>125</v>
      </c>
      <c r="Q188" s="20" t="s">
        <v>86</v>
      </c>
      <c r="R188" s="20" t="s">
        <v>86</v>
      </c>
      <c r="S188" s="20" t="s">
        <v>87</v>
      </c>
      <c r="T188" s="26" t="s">
        <v>103</v>
      </c>
      <c r="U188" s="20" t="s">
        <v>104</v>
      </c>
      <c r="V188" s="20" t="s">
        <v>90</v>
      </c>
      <c r="W188" s="21"/>
    </row>
    <row r="189" customFormat="false" ht="23.85" hidden="false" customHeight="false" outlineLevel="0" collapsed="false">
      <c r="A189" s="20" t="n">
        <v>188</v>
      </c>
      <c r="B189" s="20" t="s">
        <v>905</v>
      </c>
      <c r="C189" s="20" t="s">
        <v>4</v>
      </c>
      <c r="D189" s="20" t="s">
        <v>906</v>
      </c>
      <c r="E189" s="20" t="s">
        <v>28</v>
      </c>
      <c r="F189" s="20" t="s">
        <v>907</v>
      </c>
      <c r="G189" s="21" t="s">
        <v>908</v>
      </c>
      <c r="H189" s="20" t="s">
        <v>909</v>
      </c>
      <c r="I189" s="20"/>
      <c r="J189" s="20" t="s">
        <v>910</v>
      </c>
      <c r="K189" s="22"/>
      <c r="L189" s="23"/>
      <c r="M189" s="20" t="s">
        <v>100</v>
      </c>
      <c r="N189" s="24" t="n">
        <v>6.5601877</v>
      </c>
      <c r="O189" s="24" t="n">
        <v>3.3697099</v>
      </c>
      <c r="P189" s="20" t="s">
        <v>125</v>
      </c>
      <c r="Q189" s="20" t="s">
        <v>86</v>
      </c>
      <c r="R189" s="20" t="s">
        <v>86</v>
      </c>
      <c r="S189" s="20" t="s">
        <v>87</v>
      </c>
      <c r="T189" s="26" t="s">
        <v>103</v>
      </c>
      <c r="U189" s="20" t="s">
        <v>104</v>
      </c>
      <c r="V189" s="20" t="s">
        <v>90</v>
      </c>
      <c r="W189" s="21"/>
    </row>
    <row r="190" customFormat="false" ht="23.85" hidden="false" customHeight="false" outlineLevel="0" collapsed="false">
      <c r="A190" s="20" t="n">
        <v>189</v>
      </c>
      <c r="B190" s="20" t="s">
        <v>911</v>
      </c>
      <c r="C190" s="20" t="s">
        <v>4</v>
      </c>
      <c r="D190" s="20" t="s">
        <v>912</v>
      </c>
      <c r="E190" s="20" t="s">
        <v>28</v>
      </c>
      <c r="F190" s="20" t="s">
        <v>913</v>
      </c>
      <c r="G190" s="21" t="s">
        <v>914</v>
      </c>
      <c r="H190" s="20"/>
      <c r="I190" s="20"/>
      <c r="J190" s="20" t="s">
        <v>915</v>
      </c>
      <c r="K190" s="22"/>
      <c r="L190" s="23"/>
      <c r="M190" s="20" t="s">
        <v>84</v>
      </c>
      <c r="N190" s="24" t="n">
        <v>6.5600099</v>
      </c>
      <c r="O190" s="24" t="n">
        <v>3.3688656</v>
      </c>
      <c r="P190" s="20" t="s">
        <v>125</v>
      </c>
      <c r="Q190" s="20" t="s">
        <v>86</v>
      </c>
      <c r="R190" s="20" t="s">
        <v>86</v>
      </c>
      <c r="S190" s="20" t="s">
        <v>87</v>
      </c>
      <c r="T190" s="25" t="s">
        <v>88</v>
      </c>
      <c r="U190" s="20" t="s">
        <v>89</v>
      </c>
      <c r="V190" s="20" t="s">
        <v>90</v>
      </c>
      <c r="W190" s="21"/>
    </row>
    <row r="191" customFormat="false" ht="15" hidden="false" customHeight="false" outlineLevel="0" collapsed="false">
      <c r="A191" s="20" t="n">
        <v>190</v>
      </c>
      <c r="B191" s="20" t="s">
        <v>916</v>
      </c>
      <c r="C191" s="20" t="s">
        <v>4</v>
      </c>
      <c r="D191" s="20" t="s">
        <v>917</v>
      </c>
      <c r="E191" s="20" t="s">
        <v>28</v>
      </c>
      <c r="F191" s="20" t="s">
        <v>918</v>
      </c>
      <c r="G191" s="21" t="s">
        <v>919</v>
      </c>
      <c r="H191" s="20"/>
      <c r="I191" s="20"/>
      <c r="J191" s="20"/>
      <c r="K191" s="22"/>
      <c r="L191" s="23"/>
      <c r="M191" s="20" t="s">
        <v>84</v>
      </c>
      <c r="N191" s="24"/>
      <c r="O191" s="24"/>
      <c r="P191" s="20" t="s">
        <v>101</v>
      </c>
      <c r="Q191" s="20" t="s">
        <v>86</v>
      </c>
      <c r="R191" s="20" t="s">
        <v>86</v>
      </c>
      <c r="S191" s="20" t="s">
        <v>102</v>
      </c>
      <c r="T191" s="25" t="s">
        <v>88</v>
      </c>
      <c r="U191" s="20" t="s">
        <v>89</v>
      </c>
      <c r="V191" s="20" t="s">
        <v>138</v>
      </c>
      <c r="W191" s="21" t="s">
        <v>920</v>
      </c>
    </row>
    <row r="192" customFormat="false" ht="23.85" hidden="false" customHeight="false" outlineLevel="0" collapsed="false">
      <c r="A192" s="20" t="n">
        <v>191</v>
      </c>
      <c r="B192" s="20" t="s">
        <v>921</v>
      </c>
      <c r="C192" s="20" t="s">
        <v>4</v>
      </c>
      <c r="D192" s="20"/>
      <c r="E192" s="20" t="s">
        <v>28</v>
      </c>
      <c r="F192" s="20" t="s">
        <v>922</v>
      </c>
      <c r="G192" s="21" t="s">
        <v>923</v>
      </c>
      <c r="H192" s="20"/>
      <c r="I192" s="20"/>
      <c r="J192" s="20" t="s">
        <v>924</v>
      </c>
      <c r="K192" s="22" t="n">
        <v>2.5</v>
      </c>
      <c r="L192" s="23" t="n">
        <v>2</v>
      </c>
      <c r="M192" s="20" t="s">
        <v>84</v>
      </c>
      <c r="N192" s="24" t="n">
        <v>6.5584713</v>
      </c>
      <c r="O192" s="24" t="n">
        <v>3.3695743</v>
      </c>
      <c r="P192" s="20" t="s">
        <v>125</v>
      </c>
      <c r="Q192" s="20" t="s">
        <v>86</v>
      </c>
      <c r="R192" s="20" t="s">
        <v>86</v>
      </c>
      <c r="S192" s="20" t="s">
        <v>87</v>
      </c>
      <c r="T192" s="25" t="s">
        <v>88</v>
      </c>
      <c r="U192" s="20" t="s">
        <v>89</v>
      </c>
      <c r="V192" s="20" t="s">
        <v>90</v>
      </c>
      <c r="W192" s="21"/>
    </row>
    <row r="193" customFormat="false" ht="23.85" hidden="false" customHeight="false" outlineLevel="0" collapsed="false">
      <c r="A193" s="20" t="n">
        <v>192</v>
      </c>
      <c r="B193" s="20" t="s">
        <v>925</v>
      </c>
      <c r="C193" s="20" t="s">
        <v>4</v>
      </c>
      <c r="D193" s="20" t="s">
        <v>926</v>
      </c>
      <c r="E193" s="20" t="s">
        <v>28</v>
      </c>
      <c r="F193" s="20"/>
      <c r="G193" s="21" t="s">
        <v>927</v>
      </c>
      <c r="H193" s="20" t="s">
        <v>928</v>
      </c>
      <c r="I193" s="20"/>
      <c r="J193" s="20" t="s">
        <v>929</v>
      </c>
      <c r="K193" s="22" t="n">
        <v>3</v>
      </c>
      <c r="L193" s="23" t="n">
        <v>1</v>
      </c>
      <c r="M193" s="20" t="s">
        <v>100</v>
      </c>
      <c r="N193" s="24" t="n">
        <v>6.5597254</v>
      </c>
      <c r="O193" s="24" t="n">
        <v>3.3687083</v>
      </c>
      <c r="P193" s="20" t="s">
        <v>125</v>
      </c>
      <c r="Q193" s="20" t="s">
        <v>86</v>
      </c>
      <c r="R193" s="20" t="s">
        <v>86</v>
      </c>
      <c r="S193" s="20" t="s">
        <v>87</v>
      </c>
      <c r="T193" s="26" t="s">
        <v>103</v>
      </c>
      <c r="U193" s="20" t="s">
        <v>104</v>
      </c>
      <c r="V193" s="20" t="s">
        <v>90</v>
      </c>
      <c r="W193" s="21"/>
    </row>
    <row r="194" customFormat="false" ht="23.85" hidden="false" customHeight="false" outlineLevel="0" collapsed="false">
      <c r="A194" s="20" t="n">
        <v>193</v>
      </c>
      <c r="B194" s="20" t="s">
        <v>930</v>
      </c>
      <c r="C194" s="20" t="s">
        <v>4</v>
      </c>
      <c r="D194" s="20" t="s">
        <v>206</v>
      </c>
      <c r="E194" s="20" t="s">
        <v>28</v>
      </c>
      <c r="F194" s="20" t="s">
        <v>901</v>
      </c>
      <c r="G194" s="21" t="s">
        <v>218</v>
      </c>
      <c r="H194" s="20" t="s">
        <v>931</v>
      </c>
      <c r="I194" s="20"/>
      <c r="J194" s="20" t="s">
        <v>932</v>
      </c>
      <c r="K194" s="22"/>
      <c r="L194" s="23"/>
      <c r="M194" s="20" t="s">
        <v>100</v>
      </c>
      <c r="N194" s="24" t="n">
        <v>6.559453</v>
      </c>
      <c r="O194" s="24" t="n">
        <v>3.3693809</v>
      </c>
      <c r="P194" s="20" t="s">
        <v>125</v>
      </c>
      <c r="Q194" s="20" t="s">
        <v>86</v>
      </c>
      <c r="R194" s="20" t="s">
        <v>86</v>
      </c>
      <c r="S194" s="20" t="s">
        <v>87</v>
      </c>
      <c r="T194" s="26" t="s">
        <v>103</v>
      </c>
      <c r="U194" s="20" t="s">
        <v>104</v>
      </c>
      <c r="V194" s="20" t="s">
        <v>90</v>
      </c>
      <c r="W194" s="21"/>
    </row>
    <row r="195" customFormat="false" ht="23.85" hidden="false" customHeight="false" outlineLevel="0" collapsed="false">
      <c r="A195" s="20" t="n">
        <v>194</v>
      </c>
      <c r="B195" s="20" t="s">
        <v>933</v>
      </c>
      <c r="C195" s="20" t="s">
        <v>4</v>
      </c>
      <c r="D195" s="20" t="s">
        <v>906</v>
      </c>
      <c r="E195" s="20" t="s">
        <v>28</v>
      </c>
      <c r="F195" s="20" t="s">
        <v>934</v>
      </c>
      <c r="G195" s="21" t="s">
        <v>908</v>
      </c>
      <c r="H195" s="20" t="s">
        <v>935</v>
      </c>
      <c r="I195" s="20"/>
      <c r="J195" s="20" t="s">
        <v>936</v>
      </c>
      <c r="K195" s="22" t="n">
        <v>3.7</v>
      </c>
      <c r="L195" s="23" t="n">
        <v>30</v>
      </c>
      <c r="M195" s="20" t="s">
        <v>100</v>
      </c>
      <c r="N195" s="24" t="n">
        <v>6.5603229</v>
      </c>
      <c r="O195" s="24" t="n">
        <v>3.3696763</v>
      </c>
      <c r="P195" s="20" t="s">
        <v>125</v>
      </c>
      <c r="Q195" s="20" t="s">
        <v>86</v>
      </c>
      <c r="R195" s="20" t="s">
        <v>86</v>
      </c>
      <c r="S195" s="20" t="s">
        <v>87</v>
      </c>
      <c r="T195" s="27" t="s">
        <v>117</v>
      </c>
      <c r="U195" s="20" t="s">
        <v>118</v>
      </c>
      <c r="V195" s="20" t="s">
        <v>90</v>
      </c>
      <c r="W195" s="21"/>
    </row>
    <row r="196" customFormat="false" ht="23.85" hidden="false" customHeight="false" outlineLevel="0" collapsed="false">
      <c r="A196" s="20" t="n">
        <v>195</v>
      </c>
      <c r="B196" s="20" t="s">
        <v>937</v>
      </c>
      <c r="C196" s="20" t="s">
        <v>4</v>
      </c>
      <c r="D196" s="20" t="s">
        <v>938</v>
      </c>
      <c r="E196" s="20" t="s">
        <v>28</v>
      </c>
      <c r="F196" s="20" t="s">
        <v>913</v>
      </c>
      <c r="G196" s="21" t="s">
        <v>939</v>
      </c>
      <c r="H196" s="20" t="s">
        <v>940</v>
      </c>
      <c r="I196" s="20"/>
      <c r="J196" s="20" t="s">
        <v>941</v>
      </c>
      <c r="K196" s="22" t="n">
        <v>4.7</v>
      </c>
      <c r="L196" s="23" t="n">
        <v>3</v>
      </c>
      <c r="M196" s="20" t="s">
        <v>100</v>
      </c>
      <c r="N196" s="24" t="n">
        <v>6.5590626</v>
      </c>
      <c r="O196" s="24" t="n">
        <v>3.3694376</v>
      </c>
      <c r="P196" s="20" t="s">
        <v>125</v>
      </c>
      <c r="Q196" s="20" t="s">
        <v>86</v>
      </c>
      <c r="R196" s="20" t="s">
        <v>86</v>
      </c>
      <c r="S196" s="20" t="s">
        <v>87</v>
      </c>
      <c r="T196" s="26" t="s">
        <v>103</v>
      </c>
      <c r="U196" s="20" t="s">
        <v>104</v>
      </c>
      <c r="V196" s="20" t="s">
        <v>90</v>
      </c>
      <c r="W196" s="21"/>
    </row>
    <row r="197" customFormat="false" ht="15" hidden="false" customHeight="false" outlineLevel="0" collapsed="false">
      <c r="A197" s="20" t="n">
        <v>196</v>
      </c>
      <c r="B197" s="20" t="s">
        <v>942</v>
      </c>
      <c r="C197" s="20" t="s">
        <v>4</v>
      </c>
      <c r="D197" s="20" t="s">
        <v>943</v>
      </c>
      <c r="E197" s="20" t="s">
        <v>28</v>
      </c>
      <c r="F197" s="20" t="s">
        <v>913</v>
      </c>
      <c r="G197" s="21" t="s">
        <v>944</v>
      </c>
      <c r="H197" s="20" t="s">
        <v>945</v>
      </c>
      <c r="I197" s="20"/>
      <c r="J197" s="20" t="s">
        <v>946</v>
      </c>
      <c r="K197" s="22" t="n">
        <v>3.9</v>
      </c>
      <c r="L197" s="23" t="n">
        <v>7</v>
      </c>
      <c r="M197" s="20" t="s">
        <v>100</v>
      </c>
      <c r="N197" s="24" t="n">
        <v>6.559155</v>
      </c>
      <c r="O197" s="24" t="n">
        <v>3.369412</v>
      </c>
      <c r="P197" s="20" t="s">
        <v>125</v>
      </c>
      <c r="Q197" s="20" t="s">
        <v>86</v>
      </c>
      <c r="R197" s="20" t="s">
        <v>86</v>
      </c>
      <c r="S197" s="20" t="s">
        <v>87</v>
      </c>
      <c r="T197" s="26" t="s">
        <v>103</v>
      </c>
      <c r="U197" s="20" t="s">
        <v>104</v>
      </c>
      <c r="V197" s="20" t="s">
        <v>90</v>
      </c>
      <c r="W197" s="21"/>
    </row>
    <row r="198" customFormat="false" ht="23.85" hidden="false" customHeight="false" outlineLevel="0" collapsed="false">
      <c r="A198" s="20" t="n">
        <v>197</v>
      </c>
      <c r="B198" s="20" t="s">
        <v>947</v>
      </c>
      <c r="C198" s="20" t="s">
        <v>4</v>
      </c>
      <c r="D198" s="20" t="s">
        <v>948</v>
      </c>
      <c r="E198" s="20" t="s">
        <v>28</v>
      </c>
      <c r="F198" s="20" t="s">
        <v>934</v>
      </c>
      <c r="G198" s="21" t="s">
        <v>949</v>
      </c>
      <c r="H198" s="20" t="s">
        <v>950</v>
      </c>
      <c r="I198" s="20"/>
      <c r="J198" s="20" t="s">
        <v>951</v>
      </c>
      <c r="K198" s="22"/>
      <c r="L198" s="23"/>
      <c r="M198" s="20" t="s">
        <v>100</v>
      </c>
      <c r="N198" s="24" t="n">
        <v>6.5596665</v>
      </c>
      <c r="O198" s="24" t="n">
        <v>3.3701051</v>
      </c>
      <c r="P198" s="20" t="s">
        <v>125</v>
      </c>
      <c r="Q198" s="20" t="s">
        <v>86</v>
      </c>
      <c r="R198" s="20" t="s">
        <v>86</v>
      </c>
      <c r="S198" s="20" t="s">
        <v>87</v>
      </c>
      <c r="T198" s="26" t="s">
        <v>103</v>
      </c>
      <c r="U198" s="20" t="s">
        <v>104</v>
      </c>
      <c r="V198" s="20" t="s">
        <v>90</v>
      </c>
      <c r="W198" s="21"/>
    </row>
    <row r="199" customFormat="false" ht="23.85" hidden="false" customHeight="false" outlineLevel="0" collapsed="false">
      <c r="A199" s="20" t="n">
        <v>198</v>
      </c>
      <c r="B199" s="20" t="s">
        <v>952</v>
      </c>
      <c r="C199" s="20" t="s">
        <v>4</v>
      </c>
      <c r="D199" s="20" t="s">
        <v>953</v>
      </c>
      <c r="E199" s="20" t="s">
        <v>28</v>
      </c>
      <c r="F199" s="20" t="s">
        <v>892</v>
      </c>
      <c r="G199" s="21" t="s">
        <v>954</v>
      </c>
      <c r="H199" s="20" t="s">
        <v>955</v>
      </c>
      <c r="I199" s="20"/>
      <c r="J199" s="20" t="s">
        <v>956</v>
      </c>
      <c r="K199" s="22" t="n">
        <v>3</v>
      </c>
      <c r="L199" s="23" t="n">
        <v>3</v>
      </c>
      <c r="M199" s="20" t="s">
        <v>100</v>
      </c>
      <c r="N199" s="24" t="n">
        <v>6.5588789</v>
      </c>
      <c r="O199" s="24" t="n">
        <v>3.3703645</v>
      </c>
      <c r="P199" s="20" t="s">
        <v>125</v>
      </c>
      <c r="Q199" s="20" t="s">
        <v>86</v>
      </c>
      <c r="R199" s="20" t="s">
        <v>86</v>
      </c>
      <c r="S199" s="20" t="s">
        <v>87</v>
      </c>
      <c r="T199" s="26" t="s">
        <v>103</v>
      </c>
      <c r="U199" s="20" t="s">
        <v>104</v>
      </c>
      <c r="V199" s="20" t="s">
        <v>90</v>
      </c>
      <c r="W199" s="21"/>
    </row>
    <row r="200" customFormat="false" ht="23.85" hidden="false" customHeight="false" outlineLevel="0" collapsed="false">
      <c r="A200" s="20" t="n">
        <v>199</v>
      </c>
      <c r="B200" s="20" t="s">
        <v>957</v>
      </c>
      <c r="C200" s="20" t="s">
        <v>4</v>
      </c>
      <c r="D200" s="20" t="s">
        <v>958</v>
      </c>
      <c r="E200" s="20" t="s">
        <v>28</v>
      </c>
      <c r="F200" s="20" t="s">
        <v>901</v>
      </c>
      <c r="G200" s="21" t="s">
        <v>959</v>
      </c>
      <c r="H200" s="20"/>
      <c r="I200" s="20"/>
      <c r="J200" s="20" t="s">
        <v>960</v>
      </c>
      <c r="K200" s="22"/>
      <c r="L200" s="23"/>
      <c r="M200" s="20" t="s">
        <v>84</v>
      </c>
      <c r="N200" s="24" t="n">
        <v>6.5592162</v>
      </c>
      <c r="O200" s="24" t="n">
        <v>3.3693512</v>
      </c>
      <c r="P200" s="20" t="s">
        <v>125</v>
      </c>
      <c r="Q200" s="20" t="s">
        <v>86</v>
      </c>
      <c r="R200" s="20" t="s">
        <v>86</v>
      </c>
      <c r="S200" s="20" t="s">
        <v>87</v>
      </c>
      <c r="T200" s="25" t="s">
        <v>88</v>
      </c>
      <c r="U200" s="20" t="s">
        <v>89</v>
      </c>
      <c r="V200" s="20" t="s">
        <v>90</v>
      </c>
      <c r="W200" s="21"/>
    </row>
    <row r="201" customFormat="false" ht="23.85" hidden="false" customHeight="false" outlineLevel="0" collapsed="false">
      <c r="A201" s="20" t="n">
        <v>200</v>
      </c>
      <c r="B201" s="20" t="s">
        <v>961</v>
      </c>
      <c r="C201" s="20" t="s">
        <v>4</v>
      </c>
      <c r="D201" s="20" t="s">
        <v>459</v>
      </c>
      <c r="E201" s="20" t="s">
        <v>28</v>
      </c>
      <c r="F201" s="20" t="s">
        <v>934</v>
      </c>
      <c r="G201" s="21" t="s">
        <v>962</v>
      </c>
      <c r="H201" s="20" t="s">
        <v>963</v>
      </c>
      <c r="I201" s="20"/>
      <c r="J201" s="20" t="s">
        <v>964</v>
      </c>
      <c r="K201" s="22"/>
      <c r="L201" s="23"/>
      <c r="M201" s="20" t="s">
        <v>100</v>
      </c>
      <c r="N201" s="24" t="n">
        <v>6.5609144</v>
      </c>
      <c r="O201" s="24" t="n">
        <v>3.3693547</v>
      </c>
      <c r="P201" s="20" t="s">
        <v>125</v>
      </c>
      <c r="Q201" s="20" t="s">
        <v>86</v>
      </c>
      <c r="R201" s="20" t="s">
        <v>86</v>
      </c>
      <c r="S201" s="20" t="s">
        <v>87</v>
      </c>
      <c r="T201" s="26" t="s">
        <v>103</v>
      </c>
      <c r="U201" s="20" t="s">
        <v>104</v>
      </c>
      <c r="V201" s="20" t="s">
        <v>90</v>
      </c>
      <c r="W201" s="21"/>
    </row>
    <row r="202" customFormat="false" ht="15" hidden="false" customHeight="false" outlineLevel="0" collapsed="false">
      <c r="A202" s="20" t="n">
        <v>201</v>
      </c>
      <c r="B202" s="20" t="s">
        <v>965</v>
      </c>
      <c r="C202" s="20" t="s">
        <v>4</v>
      </c>
      <c r="D202" s="20" t="s">
        <v>966</v>
      </c>
      <c r="E202" s="20" t="s">
        <v>28</v>
      </c>
      <c r="F202" s="20" t="s">
        <v>918</v>
      </c>
      <c r="G202" s="21" t="s">
        <v>967</v>
      </c>
      <c r="H202" s="20"/>
      <c r="I202" s="20"/>
      <c r="J202" s="20"/>
      <c r="K202" s="22"/>
      <c r="L202" s="23"/>
      <c r="M202" s="20" t="s">
        <v>84</v>
      </c>
      <c r="N202" s="24"/>
      <c r="O202" s="24"/>
      <c r="P202" s="20" t="s">
        <v>101</v>
      </c>
      <c r="Q202" s="20" t="s">
        <v>86</v>
      </c>
      <c r="R202" s="20" t="s">
        <v>86</v>
      </c>
      <c r="S202" s="20" t="s">
        <v>102</v>
      </c>
      <c r="T202" s="25" t="s">
        <v>88</v>
      </c>
      <c r="U202" s="20" t="s">
        <v>89</v>
      </c>
      <c r="V202" s="20" t="s">
        <v>138</v>
      </c>
      <c r="W202" s="21" t="s">
        <v>920</v>
      </c>
    </row>
    <row r="203" customFormat="false" ht="23.85" hidden="false" customHeight="false" outlineLevel="0" collapsed="false">
      <c r="A203" s="20" t="n">
        <v>202</v>
      </c>
      <c r="B203" s="20" t="s">
        <v>968</v>
      </c>
      <c r="C203" s="20" t="s">
        <v>4</v>
      </c>
      <c r="D203" s="20" t="s">
        <v>969</v>
      </c>
      <c r="E203" s="20" t="s">
        <v>28</v>
      </c>
      <c r="F203" s="20" t="s">
        <v>913</v>
      </c>
      <c r="G203" s="21" t="s">
        <v>970</v>
      </c>
      <c r="H203" s="20" t="s">
        <v>971</v>
      </c>
      <c r="I203" s="20"/>
      <c r="J203" s="20" t="s">
        <v>972</v>
      </c>
      <c r="K203" s="22"/>
      <c r="L203" s="23"/>
      <c r="M203" s="20" t="s">
        <v>100</v>
      </c>
      <c r="N203" s="24" t="n">
        <v>6.560193</v>
      </c>
      <c r="O203" s="24" t="n">
        <v>3.369203</v>
      </c>
      <c r="P203" s="20" t="s">
        <v>125</v>
      </c>
      <c r="Q203" s="20" t="s">
        <v>86</v>
      </c>
      <c r="R203" s="20" t="s">
        <v>86</v>
      </c>
      <c r="S203" s="20" t="s">
        <v>87</v>
      </c>
      <c r="T203" s="26" t="s">
        <v>103</v>
      </c>
      <c r="U203" s="20" t="s">
        <v>104</v>
      </c>
      <c r="V203" s="20" t="s">
        <v>90</v>
      </c>
      <c r="W203" s="21"/>
    </row>
    <row r="204" customFormat="false" ht="15" hidden="false" customHeight="false" outlineLevel="0" collapsed="false">
      <c r="A204" s="20" t="n">
        <v>203</v>
      </c>
      <c r="B204" s="20" t="s">
        <v>973</v>
      </c>
      <c r="C204" s="20" t="s">
        <v>4</v>
      </c>
      <c r="D204" s="20" t="s">
        <v>974</v>
      </c>
      <c r="E204" s="20" t="s">
        <v>28</v>
      </c>
      <c r="F204" s="20" t="s">
        <v>913</v>
      </c>
      <c r="G204" s="21" t="s">
        <v>975</v>
      </c>
      <c r="H204" s="20"/>
      <c r="I204" s="20"/>
      <c r="J204" s="20" t="s">
        <v>976</v>
      </c>
      <c r="K204" s="22"/>
      <c r="L204" s="23"/>
      <c r="M204" s="20" t="s">
        <v>84</v>
      </c>
      <c r="N204" s="24" t="n">
        <v>6.5603925</v>
      </c>
      <c r="O204" s="24" t="n">
        <v>3.3680474</v>
      </c>
      <c r="P204" s="20" t="s">
        <v>125</v>
      </c>
      <c r="Q204" s="20" t="s">
        <v>86</v>
      </c>
      <c r="R204" s="20" t="s">
        <v>86</v>
      </c>
      <c r="S204" s="20" t="s">
        <v>87</v>
      </c>
      <c r="T204" s="25" t="s">
        <v>88</v>
      </c>
      <c r="U204" s="20" t="s">
        <v>89</v>
      </c>
      <c r="V204" s="20" t="s">
        <v>90</v>
      </c>
      <c r="W204" s="21"/>
    </row>
    <row r="205" customFormat="false" ht="15" hidden="false" customHeight="false" outlineLevel="0" collapsed="false">
      <c r="A205" s="20" t="n">
        <v>204</v>
      </c>
      <c r="B205" s="20" t="s">
        <v>977</v>
      </c>
      <c r="C205" s="20" t="s">
        <v>4</v>
      </c>
      <c r="D205" s="20" t="s">
        <v>978</v>
      </c>
      <c r="E205" s="20" t="s">
        <v>28</v>
      </c>
      <c r="F205" s="20" t="s">
        <v>918</v>
      </c>
      <c r="G205" s="21" t="s">
        <v>979</v>
      </c>
      <c r="H205" s="20"/>
      <c r="I205" s="20"/>
      <c r="J205" s="20"/>
      <c r="K205" s="22"/>
      <c r="L205" s="23"/>
      <c r="M205" s="20" t="s">
        <v>84</v>
      </c>
      <c r="N205" s="24"/>
      <c r="O205" s="24"/>
      <c r="P205" s="20" t="s">
        <v>101</v>
      </c>
      <c r="Q205" s="20" t="s">
        <v>86</v>
      </c>
      <c r="R205" s="20" t="s">
        <v>86</v>
      </c>
      <c r="S205" s="20" t="s">
        <v>102</v>
      </c>
      <c r="T205" s="25" t="s">
        <v>88</v>
      </c>
      <c r="U205" s="20" t="s">
        <v>89</v>
      </c>
      <c r="V205" s="20" t="s">
        <v>138</v>
      </c>
      <c r="W205" s="21" t="s">
        <v>920</v>
      </c>
    </row>
    <row r="206" customFormat="false" ht="23.85" hidden="false" customHeight="false" outlineLevel="0" collapsed="false">
      <c r="A206" s="20" t="n">
        <v>205</v>
      </c>
      <c r="B206" s="20" t="s">
        <v>980</v>
      </c>
      <c r="C206" s="20" t="s">
        <v>4</v>
      </c>
      <c r="D206" s="20" t="s">
        <v>981</v>
      </c>
      <c r="E206" s="20" t="s">
        <v>28</v>
      </c>
      <c r="F206" s="20" t="s">
        <v>913</v>
      </c>
      <c r="G206" s="21" t="s">
        <v>982</v>
      </c>
      <c r="H206" s="20" t="s">
        <v>983</v>
      </c>
      <c r="I206" s="20" t="s">
        <v>984</v>
      </c>
      <c r="J206" s="20" t="s">
        <v>985</v>
      </c>
      <c r="K206" s="22" t="n">
        <v>4.9</v>
      </c>
      <c r="L206" s="23" t="n">
        <v>104</v>
      </c>
      <c r="M206" s="20" t="s">
        <v>100</v>
      </c>
      <c r="N206" s="24" t="n">
        <v>6.5590858</v>
      </c>
      <c r="O206" s="24" t="n">
        <v>3.3699907</v>
      </c>
      <c r="P206" s="20" t="s">
        <v>125</v>
      </c>
      <c r="Q206" s="20" t="s">
        <v>86</v>
      </c>
      <c r="R206" s="20" t="s">
        <v>86</v>
      </c>
      <c r="S206" s="20" t="s">
        <v>87</v>
      </c>
      <c r="T206" s="27" t="s">
        <v>117</v>
      </c>
      <c r="U206" s="20" t="s">
        <v>118</v>
      </c>
      <c r="V206" s="20" t="s">
        <v>90</v>
      </c>
      <c r="W206" s="21"/>
    </row>
    <row r="207" customFormat="false" ht="15" hidden="false" customHeight="false" outlineLevel="0" collapsed="false">
      <c r="A207" s="20" t="n">
        <v>206</v>
      </c>
      <c r="B207" s="20" t="s">
        <v>986</v>
      </c>
      <c r="C207" s="20" t="s">
        <v>4</v>
      </c>
      <c r="D207" s="20" t="s">
        <v>987</v>
      </c>
      <c r="E207" s="20" t="s">
        <v>28</v>
      </c>
      <c r="F207" s="20" t="s">
        <v>892</v>
      </c>
      <c r="G207" s="21" t="s">
        <v>987</v>
      </c>
      <c r="H207" s="20" t="s">
        <v>988</v>
      </c>
      <c r="I207" s="20"/>
      <c r="J207" s="20"/>
      <c r="K207" s="22" t="n">
        <v>3.9</v>
      </c>
      <c r="L207" s="23" t="n">
        <v>304</v>
      </c>
      <c r="M207" s="20" t="s">
        <v>100</v>
      </c>
      <c r="N207" s="24" t="n">
        <v>6.56055</v>
      </c>
      <c r="O207" s="24" t="n">
        <v>3.36994</v>
      </c>
      <c r="P207" s="20" t="s">
        <v>85</v>
      </c>
      <c r="Q207" s="20" t="s">
        <v>86</v>
      </c>
      <c r="R207" s="20" t="s">
        <v>86</v>
      </c>
      <c r="S207" s="20" t="s">
        <v>87</v>
      </c>
      <c r="T207" s="27" t="s">
        <v>117</v>
      </c>
      <c r="U207" s="20" t="s">
        <v>118</v>
      </c>
      <c r="V207" s="20" t="s">
        <v>90</v>
      </c>
      <c r="W207" s="21"/>
    </row>
    <row r="208" customFormat="false" ht="15" hidden="false" customHeight="false" outlineLevel="0" collapsed="false">
      <c r="A208" s="20" t="n">
        <v>207</v>
      </c>
      <c r="B208" s="20" t="s">
        <v>989</v>
      </c>
      <c r="C208" s="20" t="s">
        <v>4</v>
      </c>
      <c r="D208" s="20" t="s">
        <v>990</v>
      </c>
      <c r="E208" s="20" t="s">
        <v>28</v>
      </c>
      <c r="F208" s="20" t="s">
        <v>991</v>
      </c>
      <c r="G208" s="21" t="s">
        <v>992</v>
      </c>
      <c r="H208" s="20" t="s">
        <v>993</v>
      </c>
      <c r="I208" s="20"/>
      <c r="J208" s="20" t="s">
        <v>994</v>
      </c>
      <c r="K208" s="22"/>
      <c r="L208" s="23"/>
      <c r="M208" s="20" t="s">
        <v>100</v>
      </c>
      <c r="N208" s="24" t="n">
        <v>6.5594418</v>
      </c>
      <c r="O208" s="24" t="n">
        <v>3.3676656</v>
      </c>
      <c r="P208" s="20" t="s">
        <v>125</v>
      </c>
      <c r="Q208" s="20" t="s">
        <v>86</v>
      </c>
      <c r="R208" s="20" t="s">
        <v>86</v>
      </c>
      <c r="S208" s="20" t="s">
        <v>87</v>
      </c>
      <c r="T208" s="26" t="s">
        <v>103</v>
      </c>
      <c r="U208" s="20" t="s">
        <v>104</v>
      </c>
      <c r="V208" s="20" t="s">
        <v>90</v>
      </c>
      <c r="W208" s="21"/>
    </row>
    <row r="209" customFormat="false" ht="23.85" hidden="false" customHeight="false" outlineLevel="0" collapsed="false">
      <c r="A209" s="20" t="n">
        <v>208</v>
      </c>
      <c r="B209" s="20" t="s">
        <v>995</v>
      </c>
      <c r="C209" s="20" t="s">
        <v>4</v>
      </c>
      <c r="D209" s="20" t="s">
        <v>953</v>
      </c>
      <c r="E209" s="20" t="s">
        <v>28</v>
      </c>
      <c r="F209" s="20" t="s">
        <v>901</v>
      </c>
      <c r="G209" s="21" t="s">
        <v>954</v>
      </c>
      <c r="H209" s="20" t="s">
        <v>996</v>
      </c>
      <c r="I209" s="20"/>
      <c r="J209" s="20" t="s">
        <v>997</v>
      </c>
      <c r="K209" s="22"/>
      <c r="L209" s="23"/>
      <c r="M209" s="20" t="s">
        <v>100</v>
      </c>
      <c r="N209" s="24" t="n">
        <v>6.5588645</v>
      </c>
      <c r="O209" s="24" t="n">
        <v>3.3702768</v>
      </c>
      <c r="P209" s="20" t="s">
        <v>125</v>
      </c>
      <c r="Q209" s="20" t="s">
        <v>86</v>
      </c>
      <c r="R209" s="20" t="s">
        <v>86</v>
      </c>
      <c r="S209" s="20" t="s">
        <v>87</v>
      </c>
      <c r="T209" s="26" t="s">
        <v>103</v>
      </c>
      <c r="U209" s="20" t="s">
        <v>104</v>
      </c>
      <c r="V209" s="20" t="s">
        <v>90</v>
      </c>
      <c r="W209" s="21"/>
    </row>
    <row r="210" customFormat="false" ht="23.85" hidden="false" customHeight="false" outlineLevel="0" collapsed="false">
      <c r="A210" s="20" t="n">
        <v>209</v>
      </c>
      <c r="B210" s="20" t="s">
        <v>998</v>
      </c>
      <c r="C210" s="20" t="s">
        <v>4</v>
      </c>
      <c r="D210" s="20" t="s">
        <v>999</v>
      </c>
      <c r="E210" s="20" t="s">
        <v>28</v>
      </c>
      <c r="F210" s="20" t="s">
        <v>913</v>
      </c>
      <c r="G210" s="21" t="s">
        <v>1000</v>
      </c>
      <c r="H210" s="20" t="s">
        <v>1001</v>
      </c>
      <c r="I210" s="20" t="s">
        <v>1002</v>
      </c>
      <c r="J210" s="20" t="s">
        <v>1003</v>
      </c>
      <c r="K210" s="22" t="n">
        <v>3.3</v>
      </c>
      <c r="L210" s="23" t="n">
        <v>6</v>
      </c>
      <c r="M210" s="20" t="s">
        <v>100</v>
      </c>
      <c r="N210" s="24" t="n">
        <v>6.5589046</v>
      </c>
      <c r="O210" s="24" t="n">
        <v>3.3694675</v>
      </c>
      <c r="P210" s="20" t="s">
        <v>125</v>
      </c>
      <c r="Q210" s="20" t="s">
        <v>86</v>
      </c>
      <c r="R210" s="20" t="s">
        <v>86</v>
      </c>
      <c r="S210" s="20" t="s">
        <v>87</v>
      </c>
      <c r="T210" s="27" t="s">
        <v>117</v>
      </c>
      <c r="U210" s="20" t="s">
        <v>118</v>
      </c>
      <c r="V210" s="20" t="s">
        <v>90</v>
      </c>
      <c r="W210" s="21"/>
    </row>
    <row r="211" customFormat="false" ht="23.85" hidden="false" customHeight="false" outlineLevel="0" collapsed="false">
      <c r="A211" s="20" t="n">
        <v>210</v>
      </c>
      <c r="B211" s="20" t="s">
        <v>1004</v>
      </c>
      <c r="C211" s="20" t="s">
        <v>4</v>
      </c>
      <c r="D211" s="20" t="s">
        <v>1005</v>
      </c>
      <c r="E211" s="20" t="s">
        <v>28</v>
      </c>
      <c r="F211" s="20" t="s">
        <v>1006</v>
      </c>
      <c r="G211" s="21" t="s">
        <v>1007</v>
      </c>
      <c r="H211" s="20" t="s">
        <v>1008</v>
      </c>
      <c r="I211" s="20"/>
      <c r="J211" s="20"/>
      <c r="K211" s="22"/>
      <c r="L211" s="23"/>
      <c r="M211" s="20" t="s">
        <v>100</v>
      </c>
      <c r="N211" s="24"/>
      <c r="O211" s="24"/>
      <c r="P211" s="20" t="s">
        <v>101</v>
      </c>
      <c r="Q211" s="20" t="s">
        <v>86</v>
      </c>
      <c r="R211" s="20" t="s">
        <v>86</v>
      </c>
      <c r="S211" s="20" t="s">
        <v>102</v>
      </c>
      <c r="T211" s="26" t="s">
        <v>103</v>
      </c>
      <c r="U211" s="20" t="s">
        <v>104</v>
      </c>
      <c r="V211" s="20" t="s">
        <v>138</v>
      </c>
      <c r="W211" s="21" t="s">
        <v>1009</v>
      </c>
    </row>
    <row r="212" customFormat="false" ht="23.85" hidden="false" customHeight="false" outlineLevel="0" collapsed="false">
      <c r="A212" s="20" t="n">
        <v>211</v>
      </c>
      <c r="B212" s="20" t="s">
        <v>1010</v>
      </c>
      <c r="C212" s="20" t="s">
        <v>4</v>
      </c>
      <c r="D212" s="20" t="s">
        <v>1011</v>
      </c>
      <c r="E212" s="20" t="s">
        <v>28</v>
      </c>
      <c r="F212" s="20" t="s">
        <v>913</v>
      </c>
      <c r="G212" s="21" t="s">
        <v>1012</v>
      </c>
      <c r="H212" s="20" t="s">
        <v>1013</v>
      </c>
      <c r="I212" s="20"/>
      <c r="J212" s="20" t="s">
        <v>1014</v>
      </c>
      <c r="K212" s="22" t="n">
        <v>5</v>
      </c>
      <c r="L212" s="23" t="n">
        <v>2</v>
      </c>
      <c r="M212" s="20" t="s">
        <v>100</v>
      </c>
      <c r="N212" s="24" t="n">
        <v>6.560277</v>
      </c>
      <c r="O212" s="24" t="n">
        <v>3.3697713</v>
      </c>
      <c r="P212" s="20" t="s">
        <v>125</v>
      </c>
      <c r="Q212" s="20" t="s">
        <v>86</v>
      </c>
      <c r="R212" s="20" t="s">
        <v>86</v>
      </c>
      <c r="S212" s="20" t="s">
        <v>87</v>
      </c>
      <c r="T212" s="26" t="s">
        <v>103</v>
      </c>
      <c r="U212" s="20" t="s">
        <v>104</v>
      </c>
      <c r="V212" s="20" t="s">
        <v>90</v>
      </c>
      <c r="W212" s="21"/>
    </row>
    <row r="213" customFormat="false" ht="23.85" hidden="false" customHeight="false" outlineLevel="0" collapsed="false">
      <c r="A213" s="20" t="n">
        <v>212</v>
      </c>
      <c r="B213" s="20" t="s">
        <v>1015</v>
      </c>
      <c r="C213" s="20" t="s">
        <v>4</v>
      </c>
      <c r="D213" s="20" t="s">
        <v>1016</v>
      </c>
      <c r="E213" s="20" t="s">
        <v>28</v>
      </c>
      <c r="F213" s="20" t="s">
        <v>913</v>
      </c>
      <c r="G213" s="21" t="s">
        <v>1017</v>
      </c>
      <c r="H213" s="20"/>
      <c r="I213" s="20"/>
      <c r="J213" s="20" t="s">
        <v>1018</v>
      </c>
      <c r="K213" s="22"/>
      <c r="L213" s="23"/>
      <c r="M213" s="20" t="s">
        <v>84</v>
      </c>
      <c r="N213" s="24" t="n">
        <v>6.5592374</v>
      </c>
      <c r="O213" s="24" t="n">
        <v>3.3701201</v>
      </c>
      <c r="P213" s="20" t="s">
        <v>125</v>
      </c>
      <c r="Q213" s="20" t="s">
        <v>86</v>
      </c>
      <c r="R213" s="20" t="s">
        <v>86</v>
      </c>
      <c r="S213" s="20" t="s">
        <v>87</v>
      </c>
      <c r="T213" s="25" t="s">
        <v>88</v>
      </c>
      <c r="U213" s="20" t="s">
        <v>89</v>
      </c>
      <c r="V213" s="20" t="s">
        <v>90</v>
      </c>
      <c r="W213" s="21"/>
    </row>
    <row r="214" customFormat="false" ht="15" hidden="false" customHeight="false" outlineLevel="0" collapsed="false">
      <c r="A214" s="20" t="n">
        <v>213</v>
      </c>
      <c r="B214" s="20" t="s">
        <v>1019</v>
      </c>
      <c r="C214" s="20" t="s">
        <v>4</v>
      </c>
      <c r="D214" s="20" t="s">
        <v>296</v>
      </c>
      <c r="E214" s="20" t="s">
        <v>28</v>
      </c>
      <c r="F214" s="20" t="s">
        <v>1020</v>
      </c>
      <c r="G214" s="21" t="s">
        <v>1021</v>
      </c>
      <c r="H214" s="20"/>
      <c r="I214" s="20"/>
      <c r="J214" s="20"/>
      <c r="K214" s="22" t="n">
        <v>4.3</v>
      </c>
      <c r="L214" s="23" t="n">
        <v>124</v>
      </c>
      <c r="M214" s="20" t="s">
        <v>84</v>
      </c>
      <c r="N214" s="24" t="n">
        <v>6.5675</v>
      </c>
      <c r="O214" s="24" t="n">
        <v>3.36742</v>
      </c>
      <c r="P214" s="20" t="s">
        <v>110</v>
      </c>
      <c r="Q214" s="20" t="s">
        <v>86</v>
      </c>
      <c r="R214" s="20" t="s">
        <v>86</v>
      </c>
      <c r="S214" s="20" t="s">
        <v>87</v>
      </c>
      <c r="T214" s="25" t="s">
        <v>88</v>
      </c>
      <c r="U214" s="20" t="s">
        <v>89</v>
      </c>
      <c r="V214" s="20" t="s">
        <v>138</v>
      </c>
      <c r="W214" s="21" t="s">
        <v>1022</v>
      </c>
    </row>
    <row r="215" customFormat="false" ht="23.85" hidden="false" customHeight="false" outlineLevel="0" collapsed="false">
      <c r="A215" s="20" t="n">
        <v>214</v>
      </c>
      <c r="B215" s="20" t="s">
        <v>1023</v>
      </c>
      <c r="C215" s="20" t="s">
        <v>4</v>
      </c>
      <c r="D215" s="20" t="s">
        <v>1024</v>
      </c>
      <c r="E215" s="20" t="s">
        <v>28</v>
      </c>
      <c r="F215" s="20" t="s">
        <v>1025</v>
      </c>
      <c r="G215" s="21" t="s">
        <v>1026</v>
      </c>
      <c r="H215" s="20" t="s">
        <v>1027</v>
      </c>
      <c r="I215" s="20"/>
      <c r="J215" s="20" t="s">
        <v>1028</v>
      </c>
      <c r="K215" s="22" t="n">
        <v>5</v>
      </c>
      <c r="L215" s="23" t="n">
        <v>1</v>
      </c>
      <c r="M215" s="20" t="s">
        <v>100</v>
      </c>
      <c r="N215" s="24" t="n">
        <v>6.559201</v>
      </c>
      <c r="O215" s="24" t="n">
        <v>3.3686729</v>
      </c>
      <c r="P215" s="20" t="s">
        <v>125</v>
      </c>
      <c r="Q215" s="20" t="s">
        <v>86</v>
      </c>
      <c r="R215" s="20" t="s">
        <v>86</v>
      </c>
      <c r="S215" s="20" t="s">
        <v>87</v>
      </c>
      <c r="T215" s="26" t="s">
        <v>103</v>
      </c>
      <c r="U215" s="20" t="s">
        <v>104</v>
      </c>
      <c r="V215" s="20" t="s">
        <v>90</v>
      </c>
      <c r="W215" s="21"/>
    </row>
    <row r="216" customFormat="false" ht="23.85" hidden="false" customHeight="false" outlineLevel="0" collapsed="false">
      <c r="A216" s="20" t="n">
        <v>215</v>
      </c>
      <c r="B216" s="20" t="s">
        <v>1029</v>
      </c>
      <c r="C216" s="20" t="s">
        <v>4</v>
      </c>
      <c r="D216" s="20" t="s">
        <v>1030</v>
      </c>
      <c r="E216" s="20" t="s">
        <v>28</v>
      </c>
      <c r="F216" s="20" t="s">
        <v>934</v>
      </c>
      <c r="G216" s="21" t="s">
        <v>1031</v>
      </c>
      <c r="H216" s="20"/>
      <c r="I216" s="20"/>
      <c r="J216" s="20" t="s">
        <v>1032</v>
      </c>
      <c r="K216" s="22"/>
      <c r="L216" s="23"/>
      <c r="M216" s="20" t="s">
        <v>84</v>
      </c>
      <c r="N216" s="24" t="n">
        <v>6.559206</v>
      </c>
      <c r="O216" s="24" t="n">
        <v>3.3694254</v>
      </c>
      <c r="P216" s="20" t="s">
        <v>125</v>
      </c>
      <c r="Q216" s="20" t="s">
        <v>86</v>
      </c>
      <c r="R216" s="20" t="s">
        <v>86</v>
      </c>
      <c r="S216" s="20" t="s">
        <v>87</v>
      </c>
      <c r="T216" s="25" t="s">
        <v>88</v>
      </c>
      <c r="U216" s="20" t="s">
        <v>89</v>
      </c>
      <c r="V216" s="20" t="s">
        <v>90</v>
      </c>
      <c r="W216" s="21"/>
    </row>
    <row r="217" customFormat="false" ht="23.85" hidden="false" customHeight="false" outlineLevel="0" collapsed="false">
      <c r="A217" s="20" t="n">
        <v>216</v>
      </c>
      <c r="B217" s="20" t="s">
        <v>1033</v>
      </c>
      <c r="C217" s="20" t="s">
        <v>4</v>
      </c>
      <c r="D217" s="20" t="s">
        <v>1034</v>
      </c>
      <c r="E217" s="20" t="s">
        <v>28</v>
      </c>
      <c r="F217" s="20" t="s">
        <v>913</v>
      </c>
      <c r="G217" s="21" t="s">
        <v>1035</v>
      </c>
      <c r="H217" s="20" t="s">
        <v>1036</v>
      </c>
      <c r="I217" s="20"/>
      <c r="J217" s="20" t="s">
        <v>1037</v>
      </c>
      <c r="K217" s="22" t="n">
        <v>5</v>
      </c>
      <c r="L217" s="23" t="n">
        <v>1</v>
      </c>
      <c r="M217" s="20" t="s">
        <v>100</v>
      </c>
      <c r="N217" s="24" t="n">
        <v>6.559241</v>
      </c>
      <c r="O217" s="24" t="n">
        <v>3.36849</v>
      </c>
      <c r="P217" s="20" t="s">
        <v>125</v>
      </c>
      <c r="Q217" s="20" t="s">
        <v>86</v>
      </c>
      <c r="R217" s="20" t="s">
        <v>86</v>
      </c>
      <c r="S217" s="20" t="s">
        <v>87</v>
      </c>
      <c r="T217" s="26" t="s">
        <v>103</v>
      </c>
      <c r="U217" s="20" t="s">
        <v>104</v>
      </c>
      <c r="V217" s="20" t="s">
        <v>90</v>
      </c>
      <c r="W217" s="21"/>
    </row>
    <row r="218" customFormat="false" ht="23.85" hidden="false" customHeight="false" outlineLevel="0" collapsed="false">
      <c r="A218" s="20" t="n">
        <v>217</v>
      </c>
      <c r="B218" s="20" t="s">
        <v>1038</v>
      </c>
      <c r="C218" s="20" t="s">
        <v>4</v>
      </c>
      <c r="D218" s="20" t="s">
        <v>1039</v>
      </c>
      <c r="E218" s="20" t="s">
        <v>28</v>
      </c>
      <c r="F218" s="20" t="s">
        <v>1040</v>
      </c>
      <c r="G218" s="21" t="s">
        <v>1041</v>
      </c>
      <c r="H218" s="20" t="s">
        <v>1042</v>
      </c>
      <c r="I218" s="20"/>
      <c r="J218" s="20" t="s">
        <v>1043</v>
      </c>
      <c r="K218" s="22"/>
      <c r="L218" s="23"/>
      <c r="M218" s="20" t="s">
        <v>100</v>
      </c>
      <c r="N218" s="24" t="n">
        <v>6.5602912</v>
      </c>
      <c r="O218" s="24" t="n">
        <v>3.3680385</v>
      </c>
      <c r="P218" s="20" t="s">
        <v>125</v>
      </c>
      <c r="Q218" s="20" t="s">
        <v>86</v>
      </c>
      <c r="R218" s="20" t="s">
        <v>86</v>
      </c>
      <c r="S218" s="20" t="s">
        <v>87</v>
      </c>
      <c r="T218" s="26" t="s">
        <v>103</v>
      </c>
      <c r="U218" s="20" t="s">
        <v>104</v>
      </c>
      <c r="V218" s="20" t="s">
        <v>90</v>
      </c>
      <c r="W218" s="21"/>
    </row>
    <row r="219" customFormat="false" ht="23.85" hidden="false" customHeight="false" outlineLevel="0" collapsed="false">
      <c r="A219" s="20" t="n">
        <v>218</v>
      </c>
      <c r="B219" s="20" t="s">
        <v>1044</v>
      </c>
      <c r="C219" s="20" t="s">
        <v>4</v>
      </c>
      <c r="D219" s="20" t="s">
        <v>1045</v>
      </c>
      <c r="E219" s="20" t="s">
        <v>28</v>
      </c>
      <c r="F219" s="20" t="s">
        <v>913</v>
      </c>
      <c r="G219" s="21" t="s">
        <v>1046</v>
      </c>
      <c r="H219" s="20" t="s">
        <v>1047</v>
      </c>
      <c r="I219" s="20"/>
      <c r="J219" s="20" t="s">
        <v>1048</v>
      </c>
      <c r="K219" s="22"/>
      <c r="L219" s="23"/>
      <c r="M219" s="20" t="s">
        <v>100</v>
      </c>
      <c r="N219" s="24" t="n">
        <v>6.5601271</v>
      </c>
      <c r="O219" s="24" t="n">
        <v>3.3693677</v>
      </c>
      <c r="P219" s="20" t="s">
        <v>125</v>
      </c>
      <c r="Q219" s="20" t="s">
        <v>86</v>
      </c>
      <c r="R219" s="20" t="s">
        <v>86</v>
      </c>
      <c r="S219" s="20" t="s">
        <v>87</v>
      </c>
      <c r="T219" s="26" t="s">
        <v>103</v>
      </c>
      <c r="U219" s="20" t="s">
        <v>104</v>
      </c>
      <c r="V219" s="20" t="s">
        <v>90</v>
      </c>
      <c r="W219" s="21"/>
    </row>
    <row r="220" customFormat="false" ht="23.85" hidden="false" customHeight="false" outlineLevel="0" collapsed="false">
      <c r="A220" s="20" t="n">
        <v>219</v>
      </c>
      <c r="B220" s="20" t="s">
        <v>1049</v>
      </c>
      <c r="C220" s="20" t="s">
        <v>4</v>
      </c>
      <c r="D220" s="20" t="s">
        <v>981</v>
      </c>
      <c r="E220" s="20" t="s">
        <v>28</v>
      </c>
      <c r="F220" s="20" t="s">
        <v>934</v>
      </c>
      <c r="G220" s="21" t="s">
        <v>982</v>
      </c>
      <c r="H220" s="20" t="s">
        <v>1050</v>
      </c>
      <c r="I220" s="20"/>
      <c r="J220" s="20" t="s">
        <v>1051</v>
      </c>
      <c r="K220" s="22" t="n">
        <v>5</v>
      </c>
      <c r="L220" s="23" t="n">
        <v>2</v>
      </c>
      <c r="M220" s="20" t="s">
        <v>100</v>
      </c>
      <c r="N220" s="24" t="n">
        <v>6.5590858</v>
      </c>
      <c r="O220" s="24" t="n">
        <v>3.3699907</v>
      </c>
      <c r="P220" s="20" t="s">
        <v>125</v>
      </c>
      <c r="Q220" s="20" t="s">
        <v>86</v>
      </c>
      <c r="R220" s="20" t="s">
        <v>86</v>
      </c>
      <c r="S220" s="20" t="s">
        <v>87</v>
      </c>
      <c r="T220" s="26" t="s">
        <v>103</v>
      </c>
      <c r="U220" s="20" t="s">
        <v>104</v>
      </c>
      <c r="V220" s="20" t="s">
        <v>90</v>
      </c>
      <c r="W220" s="21"/>
    </row>
    <row r="221" customFormat="false" ht="15" hidden="false" customHeight="false" outlineLevel="0" collapsed="false">
      <c r="A221" s="20" t="n">
        <v>220</v>
      </c>
      <c r="B221" s="20" t="s">
        <v>1052</v>
      </c>
      <c r="C221" s="20" t="s">
        <v>4</v>
      </c>
      <c r="D221" s="20" t="s">
        <v>623</v>
      </c>
      <c r="E221" s="20" t="s">
        <v>28</v>
      </c>
      <c r="F221" s="20" t="s">
        <v>901</v>
      </c>
      <c r="G221" s="21" t="s">
        <v>625</v>
      </c>
      <c r="H221" s="20" t="s">
        <v>1053</v>
      </c>
      <c r="I221" s="20"/>
      <c r="J221" s="20" t="s">
        <v>1054</v>
      </c>
      <c r="K221" s="22" t="n">
        <v>5</v>
      </c>
      <c r="L221" s="23" t="n">
        <v>1</v>
      </c>
      <c r="M221" s="20" t="s">
        <v>100</v>
      </c>
      <c r="N221" s="24" t="n">
        <v>6.5596911</v>
      </c>
      <c r="O221" s="24" t="n">
        <v>3.3680844</v>
      </c>
      <c r="P221" s="20" t="s">
        <v>125</v>
      </c>
      <c r="Q221" s="20" t="s">
        <v>86</v>
      </c>
      <c r="R221" s="20" t="s">
        <v>86</v>
      </c>
      <c r="S221" s="20" t="s">
        <v>87</v>
      </c>
      <c r="T221" s="26" t="s">
        <v>103</v>
      </c>
      <c r="U221" s="20" t="s">
        <v>104</v>
      </c>
      <c r="V221" s="20" t="s">
        <v>90</v>
      </c>
      <c r="W221" s="21"/>
    </row>
    <row r="222" customFormat="false" ht="23.85" hidden="false" customHeight="false" outlineLevel="0" collapsed="false">
      <c r="A222" s="20" t="n">
        <v>221</v>
      </c>
      <c r="B222" s="20" t="s">
        <v>1055</v>
      </c>
      <c r="C222" s="20" t="s">
        <v>4</v>
      </c>
      <c r="D222" s="20" t="s">
        <v>400</v>
      </c>
      <c r="E222" s="20" t="s">
        <v>28</v>
      </c>
      <c r="F222" s="20" t="s">
        <v>934</v>
      </c>
      <c r="G222" s="21" t="s">
        <v>401</v>
      </c>
      <c r="H222" s="20"/>
      <c r="I222" s="20"/>
      <c r="J222" s="20" t="s">
        <v>1056</v>
      </c>
      <c r="K222" s="22"/>
      <c r="L222" s="23"/>
      <c r="M222" s="20" t="s">
        <v>84</v>
      </c>
      <c r="N222" s="24" t="n">
        <v>6.5599225</v>
      </c>
      <c r="O222" s="24" t="n">
        <v>3.3695972</v>
      </c>
      <c r="P222" s="20" t="s">
        <v>125</v>
      </c>
      <c r="Q222" s="20" t="s">
        <v>86</v>
      </c>
      <c r="R222" s="20" t="s">
        <v>86</v>
      </c>
      <c r="S222" s="20" t="s">
        <v>87</v>
      </c>
      <c r="T222" s="25" t="s">
        <v>88</v>
      </c>
      <c r="U222" s="20" t="s">
        <v>89</v>
      </c>
      <c r="V222" s="20" t="s">
        <v>90</v>
      </c>
      <c r="W222" s="21"/>
    </row>
    <row r="223" customFormat="false" ht="15" hidden="false" customHeight="false" outlineLevel="0" collapsed="false">
      <c r="A223" s="20" t="n">
        <v>222</v>
      </c>
      <c r="B223" s="20" t="s">
        <v>1057</v>
      </c>
      <c r="C223" s="20" t="s">
        <v>4</v>
      </c>
      <c r="D223" s="20" t="s">
        <v>1058</v>
      </c>
      <c r="E223" s="20" t="s">
        <v>28</v>
      </c>
      <c r="F223" s="20" t="s">
        <v>934</v>
      </c>
      <c r="G223" s="21" t="s">
        <v>1059</v>
      </c>
      <c r="H223" s="20" t="s">
        <v>1060</v>
      </c>
      <c r="I223" s="20" t="s">
        <v>1061</v>
      </c>
      <c r="J223" s="20" t="s">
        <v>1062</v>
      </c>
      <c r="K223" s="22" t="n">
        <v>4.4</v>
      </c>
      <c r="L223" s="23" t="n">
        <v>243</v>
      </c>
      <c r="M223" s="20" t="s">
        <v>100</v>
      </c>
      <c r="N223" s="24" t="n">
        <v>6.5593888</v>
      </c>
      <c r="O223" s="24" t="n">
        <v>3.3671534</v>
      </c>
      <c r="P223" s="20" t="s">
        <v>125</v>
      </c>
      <c r="Q223" s="20" t="s">
        <v>86</v>
      </c>
      <c r="R223" s="20" t="s">
        <v>86</v>
      </c>
      <c r="S223" s="20" t="s">
        <v>87</v>
      </c>
      <c r="T223" s="27" t="s">
        <v>117</v>
      </c>
      <c r="U223" s="20" t="s">
        <v>118</v>
      </c>
      <c r="V223" s="20" t="s">
        <v>90</v>
      </c>
      <c r="W223" s="21"/>
    </row>
    <row r="224" customFormat="false" ht="23.85" hidden="false" customHeight="false" outlineLevel="0" collapsed="false">
      <c r="A224" s="20" t="n">
        <v>223</v>
      </c>
      <c r="B224" s="20" t="s">
        <v>1063</v>
      </c>
      <c r="C224" s="20" t="s">
        <v>4</v>
      </c>
      <c r="D224" s="20" t="s">
        <v>999</v>
      </c>
      <c r="E224" s="20" t="s">
        <v>28</v>
      </c>
      <c r="F224" s="20" t="s">
        <v>934</v>
      </c>
      <c r="G224" s="21" t="s">
        <v>1000</v>
      </c>
      <c r="H224" s="20" t="s">
        <v>1064</v>
      </c>
      <c r="I224" s="20"/>
      <c r="J224" s="20" t="s">
        <v>1065</v>
      </c>
      <c r="K224" s="22"/>
      <c r="L224" s="23"/>
      <c r="M224" s="20" t="s">
        <v>100</v>
      </c>
      <c r="N224" s="24" t="n">
        <v>6.5588566</v>
      </c>
      <c r="O224" s="24" t="n">
        <v>3.3694596</v>
      </c>
      <c r="P224" s="20" t="s">
        <v>125</v>
      </c>
      <c r="Q224" s="20" t="s">
        <v>86</v>
      </c>
      <c r="R224" s="20" t="s">
        <v>86</v>
      </c>
      <c r="S224" s="20" t="s">
        <v>87</v>
      </c>
      <c r="T224" s="26" t="s">
        <v>103</v>
      </c>
      <c r="U224" s="20" t="s">
        <v>104</v>
      </c>
      <c r="V224" s="20" t="s">
        <v>90</v>
      </c>
      <c r="W224" s="21"/>
    </row>
    <row r="225" customFormat="false" ht="15" hidden="false" customHeight="false" outlineLevel="0" collapsed="false">
      <c r="A225" s="20" t="n">
        <v>224</v>
      </c>
      <c r="B225" s="20" t="s">
        <v>1066</v>
      </c>
      <c r="C225" s="20" t="s">
        <v>4</v>
      </c>
      <c r="D225" s="20" t="s">
        <v>1067</v>
      </c>
      <c r="E225" s="20" t="s">
        <v>28</v>
      </c>
      <c r="F225" s="20" t="s">
        <v>913</v>
      </c>
      <c r="G225" s="21" t="s">
        <v>1068</v>
      </c>
      <c r="H225" s="20"/>
      <c r="I225" s="20"/>
      <c r="J225" s="20" t="s">
        <v>1069</v>
      </c>
      <c r="K225" s="22"/>
      <c r="L225" s="23"/>
      <c r="M225" s="20" t="s">
        <v>84</v>
      </c>
      <c r="N225" s="24" t="n">
        <v>6.5596928</v>
      </c>
      <c r="O225" s="24" t="n">
        <v>3.3680979</v>
      </c>
      <c r="P225" s="20" t="s">
        <v>125</v>
      </c>
      <c r="Q225" s="20" t="s">
        <v>86</v>
      </c>
      <c r="R225" s="20" t="s">
        <v>86</v>
      </c>
      <c r="S225" s="20" t="s">
        <v>87</v>
      </c>
      <c r="T225" s="25" t="s">
        <v>88</v>
      </c>
      <c r="U225" s="20" t="s">
        <v>89</v>
      </c>
      <c r="V225" s="20" t="s">
        <v>90</v>
      </c>
      <c r="W225" s="21"/>
    </row>
    <row r="226" customFormat="false" ht="15" hidden="false" customHeight="false" outlineLevel="0" collapsed="false">
      <c r="A226" s="20" t="n">
        <v>225</v>
      </c>
      <c r="B226" s="20" t="s">
        <v>1070</v>
      </c>
      <c r="C226" s="20" t="s">
        <v>4</v>
      </c>
      <c r="D226" s="20" t="s">
        <v>1071</v>
      </c>
      <c r="E226" s="20" t="s">
        <v>28</v>
      </c>
      <c r="F226" s="20" t="s">
        <v>913</v>
      </c>
      <c r="G226" s="21" t="s">
        <v>1072</v>
      </c>
      <c r="H226" s="20"/>
      <c r="I226" s="20"/>
      <c r="J226" s="20" t="s">
        <v>1073</v>
      </c>
      <c r="K226" s="22"/>
      <c r="L226" s="23"/>
      <c r="M226" s="20" t="s">
        <v>84</v>
      </c>
      <c r="N226" s="24" t="n">
        <v>6.55904</v>
      </c>
      <c r="O226" s="24" t="n">
        <v>3.3692983</v>
      </c>
      <c r="P226" s="20" t="s">
        <v>125</v>
      </c>
      <c r="Q226" s="20" t="s">
        <v>86</v>
      </c>
      <c r="R226" s="20" t="s">
        <v>86</v>
      </c>
      <c r="S226" s="20" t="s">
        <v>87</v>
      </c>
      <c r="T226" s="25" t="s">
        <v>88</v>
      </c>
      <c r="U226" s="20" t="s">
        <v>89</v>
      </c>
      <c r="V226" s="20" t="s">
        <v>90</v>
      </c>
      <c r="W226" s="21"/>
    </row>
    <row r="227" customFormat="false" ht="23.85" hidden="false" customHeight="false" outlineLevel="0" collapsed="false">
      <c r="A227" s="20" t="n">
        <v>226</v>
      </c>
      <c r="B227" s="20" t="s">
        <v>1074</v>
      </c>
      <c r="C227" s="20" t="s">
        <v>4</v>
      </c>
      <c r="D227" s="20" t="s">
        <v>1075</v>
      </c>
      <c r="E227" s="20" t="s">
        <v>28</v>
      </c>
      <c r="F227" s="20" t="s">
        <v>1076</v>
      </c>
      <c r="G227" s="21" t="s">
        <v>1077</v>
      </c>
      <c r="H227" s="20" t="s">
        <v>1078</v>
      </c>
      <c r="I227" s="20"/>
      <c r="J227" s="20" t="s">
        <v>1079</v>
      </c>
      <c r="K227" s="22"/>
      <c r="L227" s="23"/>
      <c r="M227" s="20" t="s">
        <v>100</v>
      </c>
      <c r="N227" s="24" t="n">
        <v>6.5610806</v>
      </c>
      <c r="O227" s="24" t="n">
        <v>3.3695277</v>
      </c>
      <c r="P227" s="20" t="s">
        <v>125</v>
      </c>
      <c r="Q227" s="20" t="s">
        <v>86</v>
      </c>
      <c r="R227" s="20" t="s">
        <v>86</v>
      </c>
      <c r="S227" s="20" t="s">
        <v>87</v>
      </c>
      <c r="T227" s="26" t="s">
        <v>103</v>
      </c>
      <c r="U227" s="20" t="s">
        <v>104</v>
      </c>
      <c r="V227" s="20" t="s">
        <v>90</v>
      </c>
      <c r="W227" s="21"/>
    </row>
    <row r="228" customFormat="false" ht="15" hidden="false" customHeight="false" outlineLevel="0" collapsed="false">
      <c r="A228" s="20" t="n">
        <v>227</v>
      </c>
      <c r="B228" s="20" t="s">
        <v>1080</v>
      </c>
      <c r="C228" s="20" t="s">
        <v>4</v>
      </c>
      <c r="D228" s="20" t="s">
        <v>1081</v>
      </c>
      <c r="E228" s="20" t="s">
        <v>28</v>
      </c>
      <c r="F228" s="20" t="s">
        <v>1020</v>
      </c>
      <c r="G228" s="21" t="s">
        <v>1082</v>
      </c>
      <c r="H228" s="20"/>
      <c r="I228" s="20" t="s">
        <v>1083</v>
      </c>
      <c r="J228" s="20"/>
      <c r="K228" s="22" t="n">
        <v>3.9</v>
      </c>
      <c r="L228" s="23" t="n">
        <v>199</v>
      </c>
      <c r="M228" s="20" t="s">
        <v>84</v>
      </c>
      <c r="N228" s="24"/>
      <c r="O228" s="24"/>
      <c r="P228" s="20" t="s">
        <v>101</v>
      </c>
      <c r="Q228" s="20" t="s">
        <v>86</v>
      </c>
      <c r="R228" s="20" t="s">
        <v>86</v>
      </c>
      <c r="S228" s="20" t="s">
        <v>102</v>
      </c>
      <c r="T228" s="25" t="s">
        <v>88</v>
      </c>
      <c r="U228" s="20" t="s">
        <v>89</v>
      </c>
      <c r="V228" s="20" t="s">
        <v>138</v>
      </c>
      <c r="W228" s="21" t="s">
        <v>1084</v>
      </c>
    </row>
    <row r="229" customFormat="false" ht="15" hidden="false" customHeight="false" outlineLevel="0" collapsed="false">
      <c r="A229" s="20" t="n">
        <v>228</v>
      </c>
      <c r="B229" s="20" t="s">
        <v>1085</v>
      </c>
      <c r="C229" s="20" t="s">
        <v>4</v>
      </c>
      <c r="D229" s="20" t="s">
        <v>1086</v>
      </c>
      <c r="E229" s="20" t="s">
        <v>28</v>
      </c>
      <c r="F229" s="20" t="s">
        <v>1020</v>
      </c>
      <c r="G229" s="21" t="s">
        <v>1087</v>
      </c>
      <c r="H229" s="20" t="s">
        <v>1088</v>
      </c>
      <c r="I229" s="20"/>
      <c r="J229" s="20"/>
      <c r="K229" s="22" t="n">
        <v>4.5</v>
      </c>
      <c r="L229" s="23" t="n">
        <v>123</v>
      </c>
      <c r="M229" s="20" t="s">
        <v>100</v>
      </c>
      <c r="N229" s="24" t="n">
        <v>6.56131</v>
      </c>
      <c r="O229" s="24" t="n">
        <v>3.37127</v>
      </c>
      <c r="P229" s="20" t="s">
        <v>110</v>
      </c>
      <c r="Q229" s="20" t="s">
        <v>86</v>
      </c>
      <c r="R229" s="20" t="s">
        <v>86</v>
      </c>
      <c r="S229" s="20" t="s">
        <v>87</v>
      </c>
      <c r="T229" s="27" t="s">
        <v>117</v>
      </c>
      <c r="U229" s="20" t="s">
        <v>118</v>
      </c>
      <c r="V229" s="20" t="s">
        <v>138</v>
      </c>
      <c r="W229" s="21" t="s">
        <v>299</v>
      </c>
    </row>
    <row r="230" customFormat="false" ht="23.85" hidden="false" customHeight="false" outlineLevel="0" collapsed="false">
      <c r="A230" s="20" t="n">
        <v>229</v>
      </c>
      <c r="B230" s="20" t="s">
        <v>1089</v>
      </c>
      <c r="C230" s="20" t="s">
        <v>4</v>
      </c>
      <c r="D230" s="20" t="s">
        <v>1090</v>
      </c>
      <c r="E230" s="20" t="s">
        <v>28</v>
      </c>
      <c r="F230" s="20" t="s">
        <v>913</v>
      </c>
      <c r="G230" s="21" t="s">
        <v>1091</v>
      </c>
      <c r="H230" s="20" t="s">
        <v>1092</v>
      </c>
      <c r="I230" s="20"/>
      <c r="J230" s="20" t="s">
        <v>1093</v>
      </c>
      <c r="K230" s="22" t="n">
        <v>5</v>
      </c>
      <c r="L230" s="23" t="n">
        <v>1</v>
      </c>
      <c r="M230" s="20" t="s">
        <v>100</v>
      </c>
      <c r="N230" s="24" t="n">
        <v>6.5602461</v>
      </c>
      <c r="O230" s="24" t="n">
        <v>3.3697716</v>
      </c>
      <c r="P230" s="20" t="s">
        <v>125</v>
      </c>
      <c r="Q230" s="20" t="s">
        <v>86</v>
      </c>
      <c r="R230" s="20" t="s">
        <v>86</v>
      </c>
      <c r="S230" s="20" t="s">
        <v>87</v>
      </c>
      <c r="T230" s="26" t="s">
        <v>103</v>
      </c>
      <c r="U230" s="20" t="s">
        <v>104</v>
      </c>
      <c r="V230" s="20" t="s">
        <v>90</v>
      </c>
      <c r="W230" s="21"/>
    </row>
    <row r="231" customFormat="false" ht="23.85" hidden="false" customHeight="false" outlineLevel="0" collapsed="false">
      <c r="A231" s="20" t="n">
        <v>230</v>
      </c>
      <c r="B231" s="20" t="s">
        <v>1094</v>
      </c>
      <c r="C231" s="20" t="s">
        <v>4</v>
      </c>
      <c r="D231" s="20" t="s">
        <v>1024</v>
      </c>
      <c r="E231" s="20" t="s">
        <v>28</v>
      </c>
      <c r="F231" s="20" t="s">
        <v>913</v>
      </c>
      <c r="G231" s="21" t="s">
        <v>1026</v>
      </c>
      <c r="H231" s="20" t="s">
        <v>1095</v>
      </c>
      <c r="I231" s="20"/>
      <c r="J231" s="20" t="s">
        <v>1096</v>
      </c>
      <c r="K231" s="22" t="n">
        <v>5</v>
      </c>
      <c r="L231" s="23" t="n">
        <v>1</v>
      </c>
      <c r="M231" s="20" t="s">
        <v>100</v>
      </c>
      <c r="N231" s="24" t="n">
        <v>6.559201</v>
      </c>
      <c r="O231" s="24" t="n">
        <v>3.3686729</v>
      </c>
      <c r="P231" s="20" t="s">
        <v>125</v>
      </c>
      <c r="Q231" s="20" t="s">
        <v>86</v>
      </c>
      <c r="R231" s="20" t="s">
        <v>86</v>
      </c>
      <c r="S231" s="20" t="s">
        <v>87</v>
      </c>
      <c r="T231" s="26" t="s">
        <v>103</v>
      </c>
      <c r="U231" s="20" t="s">
        <v>104</v>
      </c>
      <c r="V231" s="20" t="s">
        <v>90</v>
      </c>
      <c r="W231" s="21"/>
    </row>
    <row r="232" customFormat="false" ht="23.85" hidden="false" customHeight="false" outlineLevel="0" collapsed="false">
      <c r="A232" s="20" t="n">
        <v>231</v>
      </c>
      <c r="B232" s="20" t="s">
        <v>1097</v>
      </c>
      <c r="C232" s="20" t="s">
        <v>4</v>
      </c>
      <c r="D232" s="20" t="s">
        <v>737</v>
      </c>
      <c r="E232" s="20" t="s">
        <v>28</v>
      </c>
      <c r="F232" s="20" t="s">
        <v>991</v>
      </c>
      <c r="G232" s="21" t="s">
        <v>1098</v>
      </c>
      <c r="H232" s="20" t="s">
        <v>1099</v>
      </c>
      <c r="I232" s="20"/>
      <c r="J232" s="20" t="s">
        <v>1100</v>
      </c>
      <c r="K232" s="22" t="n">
        <v>5</v>
      </c>
      <c r="L232" s="23" t="n">
        <v>1</v>
      </c>
      <c r="M232" s="20" t="s">
        <v>100</v>
      </c>
      <c r="N232" s="24" t="n">
        <v>6.5592445</v>
      </c>
      <c r="O232" s="24" t="n">
        <v>3.3675285</v>
      </c>
      <c r="P232" s="20" t="s">
        <v>125</v>
      </c>
      <c r="Q232" s="20" t="s">
        <v>86</v>
      </c>
      <c r="R232" s="20" t="s">
        <v>86</v>
      </c>
      <c r="S232" s="20" t="s">
        <v>87</v>
      </c>
      <c r="T232" s="26" t="s">
        <v>103</v>
      </c>
      <c r="U232" s="20" t="s">
        <v>104</v>
      </c>
      <c r="V232" s="20" t="s">
        <v>90</v>
      </c>
      <c r="W232" s="21"/>
    </row>
    <row r="233" customFormat="false" ht="15" hidden="false" customHeight="false" outlineLevel="0" collapsed="false">
      <c r="A233" s="20" t="n">
        <v>232</v>
      </c>
      <c r="B233" s="20" t="s">
        <v>1101</v>
      </c>
      <c r="C233" s="20" t="s">
        <v>4</v>
      </c>
      <c r="D233" s="20" t="s">
        <v>1102</v>
      </c>
      <c r="E233" s="20" t="s">
        <v>28</v>
      </c>
      <c r="F233" s="20" t="s">
        <v>918</v>
      </c>
      <c r="G233" s="21" t="s">
        <v>1103</v>
      </c>
      <c r="H233" s="20"/>
      <c r="I233" s="20"/>
      <c r="J233" s="20"/>
      <c r="K233" s="22"/>
      <c r="L233" s="23"/>
      <c r="M233" s="20" t="s">
        <v>84</v>
      </c>
      <c r="N233" s="24"/>
      <c r="O233" s="24"/>
      <c r="P233" s="20" t="s">
        <v>101</v>
      </c>
      <c r="Q233" s="20" t="s">
        <v>86</v>
      </c>
      <c r="R233" s="20" t="s">
        <v>86</v>
      </c>
      <c r="S233" s="20" t="s">
        <v>102</v>
      </c>
      <c r="T233" s="25" t="s">
        <v>88</v>
      </c>
      <c r="U233" s="20" t="s">
        <v>89</v>
      </c>
      <c r="V233" s="20" t="s">
        <v>138</v>
      </c>
      <c r="W233" s="21" t="s">
        <v>920</v>
      </c>
    </row>
    <row r="234" customFormat="false" ht="23.85" hidden="false" customHeight="false" outlineLevel="0" collapsed="false">
      <c r="A234" s="20" t="n">
        <v>233</v>
      </c>
      <c r="B234" s="20" t="s">
        <v>1104</v>
      </c>
      <c r="C234" s="20" t="s">
        <v>4</v>
      </c>
      <c r="D234" s="20" t="s">
        <v>495</v>
      </c>
      <c r="E234" s="20" t="s">
        <v>28</v>
      </c>
      <c r="F234" s="20" t="s">
        <v>934</v>
      </c>
      <c r="G234" s="21" t="s">
        <v>496</v>
      </c>
      <c r="H234" s="20"/>
      <c r="I234" s="20"/>
      <c r="J234" s="20" t="s">
        <v>1105</v>
      </c>
      <c r="K234" s="22"/>
      <c r="L234" s="23"/>
      <c r="M234" s="20" t="s">
        <v>84</v>
      </c>
      <c r="N234" s="24" t="n">
        <v>6.5607566</v>
      </c>
      <c r="O234" s="24" t="n">
        <v>3.3696575</v>
      </c>
      <c r="P234" s="20" t="s">
        <v>125</v>
      </c>
      <c r="Q234" s="20" t="s">
        <v>86</v>
      </c>
      <c r="R234" s="20" t="s">
        <v>86</v>
      </c>
      <c r="S234" s="20" t="s">
        <v>87</v>
      </c>
      <c r="T234" s="25" t="s">
        <v>88</v>
      </c>
      <c r="U234" s="20" t="s">
        <v>89</v>
      </c>
      <c r="V234" s="20" t="s">
        <v>90</v>
      </c>
      <c r="W234" s="21"/>
    </row>
    <row r="235" customFormat="false" ht="23.85" hidden="false" customHeight="false" outlineLevel="0" collapsed="false">
      <c r="A235" s="20" t="n">
        <v>234</v>
      </c>
      <c r="B235" s="20" t="s">
        <v>1106</v>
      </c>
      <c r="C235" s="20" t="s">
        <v>4</v>
      </c>
      <c r="D235" s="20" t="s">
        <v>1107</v>
      </c>
      <c r="E235" s="20" t="s">
        <v>28</v>
      </c>
      <c r="F235" s="20" t="s">
        <v>934</v>
      </c>
      <c r="G235" s="21" t="s">
        <v>1108</v>
      </c>
      <c r="H235" s="20" t="s">
        <v>1109</v>
      </c>
      <c r="I235" s="20"/>
      <c r="J235" s="20" t="s">
        <v>1110</v>
      </c>
      <c r="K235" s="22" t="n">
        <v>4.5</v>
      </c>
      <c r="L235" s="23" t="n">
        <v>2</v>
      </c>
      <c r="M235" s="20" t="s">
        <v>100</v>
      </c>
      <c r="N235" s="24" t="n">
        <v>6.5595556</v>
      </c>
      <c r="O235" s="24" t="n">
        <v>3.36945</v>
      </c>
      <c r="P235" s="20" t="s">
        <v>125</v>
      </c>
      <c r="Q235" s="20" t="s">
        <v>86</v>
      </c>
      <c r="R235" s="20" t="s">
        <v>86</v>
      </c>
      <c r="S235" s="20" t="s">
        <v>87</v>
      </c>
      <c r="T235" s="26" t="s">
        <v>103</v>
      </c>
      <c r="U235" s="20" t="s">
        <v>104</v>
      </c>
      <c r="V235" s="20" t="s">
        <v>90</v>
      </c>
      <c r="W235" s="21"/>
    </row>
    <row r="236" customFormat="false" ht="23.85" hidden="false" customHeight="false" outlineLevel="0" collapsed="false">
      <c r="A236" s="20" t="n">
        <v>235</v>
      </c>
      <c r="B236" s="20" t="s">
        <v>1111</v>
      </c>
      <c r="C236" s="20" t="s">
        <v>4</v>
      </c>
      <c r="D236" s="20" t="s">
        <v>1112</v>
      </c>
      <c r="E236" s="20" t="s">
        <v>28</v>
      </c>
      <c r="F236" s="20" t="s">
        <v>1113</v>
      </c>
      <c r="G236" s="21" t="s">
        <v>1114</v>
      </c>
      <c r="H236" s="20"/>
      <c r="I236" s="20"/>
      <c r="J236" s="20" t="s">
        <v>1115</v>
      </c>
      <c r="K236" s="22" t="n">
        <v>4</v>
      </c>
      <c r="L236" s="23" t="n">
        <v>1</v>
      </c>
      <c r="M236" s="20" t="s">
        <v>84</v>
      </c>
      <c r="N236" s="24" t="n">
        <v>6.5594165</v>
      </c>
      <c r="O236" s="24" t="n">
        <v>3.3691239</v>
      </c>
      <c r="P236" s="20" t="s">
        <v>125</v>
      </c>
      <c r="Q236" s="20" t="s">
        <v>86</v>
      </c>
      <c r="R236" s="20" t="s">
        <v>86</v>
      </c>
      <c r="S236" s="20" t="s">
        <v>87</v>
      </c>
      <c r="T236" s="25" t="s">
        <v>88</v>
      </c>
      <c r="U236" s="20" t="s">
        <v>89</v>
      </c>
      <c r="V236" s="20" t="s">
        <v>90</v>
      </c>
      <c r="W236" s="21"/>
    </row>
    <row r="237" customFormat="false" ht="15" hidden="false" customHeight="false" outlineLevel="0" collapsed="false">
      <c r="A237" s="20" t="n">
        <v>236</v>
      </c>
      <c r="B237" s="20" t="s">
        <v>1116</v>
      </c>
      <c r="C237" s="20" t="s">
        <v>4</v>
      </c>
      <c r="D237" s="20" t="s">
        <v>1117</v>
      </c>
      <c r="E237" s="20" t="s">
        <v>28</v>
      </c>
      <c r="F237" s="20" t="s">
        <v>1118</v>
      </c>
      <c r="G237" s="21" t="s">
        <v>1119</v>
      </c>
      <c r="H237" s="20" t="s">
        <v>1120</v>
      </c>
      <c r="I237" s="20"/>
      <c r="J237" s="20" t="s">
        <v>1121</v>
      </c>
      <c r="K237" s="22" t="n">
        <v>3.5</v>
      </c>
      <c r="L237" s="23" t="n">
        <v>6</v>
      </c>
      <c r="M237" s="20" t="s">
        <v>100</v>
      </c>
      <c r="N237" s="24" t="n">
        <v>6.5583722</v>
      </c>
      <c r="O237" s="24" t="n">
        <v>3.3714277</v>
      </c>
      <c r="P237" s="20" t="s">
        <v>125</v>
      </c>
      <c r="Q237" s="20" t="s">
        <v>86</v>
      </c>
      <c r="R237" s="20" t="s">
        <v>86</v>
      </c>
      <c r="S237" s="20" t="s">
        <v>87</v>
      </c>
      <c r="T237" s="26" t="s">
        <v>103</v>
      </c>
      <c r="U237" s="20" t="s">
        <v>104</v>
      </c>
      <c r="V237" s="20" t="s">
        <v>90</v>
      </c>
      <c r="W237" s="21"/>
    </row>
    <row r="238" customFormat="false" ht="15" hidden="false" customHeight="false" outlineLevel="0" collapsed="false">
      <c r="A238" s="20" t="n">
        <v>237</v>
      </c>
      <c r="B238" s="20" t="s">
        <v>1122</v>
      </c>
      <c r="C238" s="20" t="s">
        <v>4</v>
      </c>
      <c r="D238" s="20" t="s">
        <v>1123</v>
      </c>
      <c r="E238" s="20" t="s">
        <v>28</v>
      </c>
      <c r="F238" s="20" t="s">
        <v>907</v>
      </c>
      <c r="G238" s="21" t="s">
        <v>1124</v>
      </c>
      <c r="H238" s="20" t="s">
        <v>1125</v>
      </c>
      <c r="I238" s="20" t="s">
        <v>1126</v>
      </c>
      <c r="J238" s="20" t="s">
        <v>1127</v>
      </c>
      <c r="K238" s="22" t="n">
        <v>3.8</v>
      </c>
      <c r="L238" s="23" t="n">
        <v>6</v>
      </c>
      <c r="M238" s="20" t="s">
        <v>100</v>
      </c>
      <c r="N238" s="24" t="n">
        <v>6.5539801</v>
      </c>
      <c r="O238" s="24" t="n">
        <v>3.3670779</v>
      </c>
      <c r="P238" s="20" t="s">
        <v>125</v>
      </c>
      <c r="Q238" s="20" t="s">
        <v>86</v>
      </c>
      <c r="R238" s="20" t="s">
        <v>86</v>
      </c>
      <c r="S238" s="20" t="s">
        <v>87</v>
      </c>
      <c r="T238" s="27" t="s">
        <v>117</v>
      </c>
      <c r="U238" s="20" t="s">
        <v>118</v>
      </c>
      <c r="V238" s="20" t="s">
        <v>90</v>
      </c>
      <c r="W238" s="21"/>
    </row>
    <row r="239" customFormat="false" ht="23.85" hidden="false" customHeight="false" outlineLevel="0" collapsed="false">
      <c r="A239" s="20" t="n">
        <v>238</v>
      </c>
      <c r="B239" s="20" t="s">
        <v>1128</v>
      </c>
      <c r="C239" s="20" t="s">
        <v>4</v>
      </c>
      <c r="D239" s="20" t="s">
        <v>1129</v>
      </c>
      <c r="E239" s="20" t="s">
        <v>28</v>
      </c>
      <c r="F239" s="20" t="s">
        <v>934</v>
      </c>
      <c r="G239" s="21" t="s">
        <v>1130</v>
      </c>
      <c r="H239" s="20"/>
      <c r="I239" s="20"/>
      <c r="J239" s="20" t="s">
        <v>1131</v>
      </c>
      <c r="K239" s="22"/>
      <c r="L239" s="23"/>
      <c r="M239" s="20" t="s">
        <v>84</v>
      </c>
      <c r="N239" s="24" t="n">
        <v>6.5595217</v>
      </c>
      <c r="O239" s="24" t="n">
        <v>3.3686051</v>
      </c>
      <c r="P239" s="20" t="s">
        <v>125</v>
      </c>
      <c r="Q239" s="20" t="s">
        <v>86</v>
      </c>
      <c r="R239" s="20" t="s">
        <v>86</v>
      </c>
      <c r="S239" s="20" t="s">
        <v>87</v>
      </c>
      <c r="T239" s="25" t="s">
        <v>88</v>
      </c>
      <c r="U239" s="20" t="s">
        <v>89</v>
      </c>
      <c r="V239" s="20" t="s">
        <v>90</v>
      </c>
      <c r="W239" s="21"/>
    </row>
    <row r="240" customFormat="false" ht="23.85" hidden="false" customHeight="false" outlineLevel="0" collapsed="false">
      <c r="A240" s="20" t="n">
        <v>239</v>
      </c>
      <c r="B240" s="20" t="s">
        <v>1132</v>
      </c>
      <c r="C240" s="20" t="s">
        <v>4</v>
      </c>
      <c r="D240" s="20" t="s">
        <v>943</v>
      </c>
      <c r="E240" s="20" t="s">
        <v>28</v>
      </c>
      <c r="F240" s="20" t="s">
        <v>913</v>
      </c>
      <c r="G240" s="21" t="s">
        <v>1133</v>
      </c>
      <c r="H240" s="20" t="s">
        <v>1134</v>
      </c>
      <c r="I240" s="20" t="s">
        <v>1135</v>
      </c>
      <c r="J240" s="20" t="s">
        <v>1136</v>
      </c>
      <c r="K240" s="22"/>
      <c r="L240" s="23"/>
      <c r="M240" s="20" t="s">
        <v>100</v>
      </c>
      <c r="N240" s="24" t="n">
        <v>6.5592805</v>
      </c>
      <c r="O240" s="24" t="n">
        <v>3.3696124</v>
      </c>
      <c r="P240" s="20" t="s">
        <v>125</v>
      </c>
      <c r="Q240" s="20" t="s">
        <v>86</v>
      </c>
      <c r="R240" s="20" t="s">
        <v>86</v>
      </c>
      <c r="S240" s="20" t="s">
        <v>87</v>
      </c>
      <c r="T240" s="27" t="s">
        <v>117</v>
      </c>
      <c r="U240" s="20" t="s">
        <v>118</v>
      </c>
      <c r="V240" s="20" t="s">
        <v>90</v>
      </c>
      <c r="W240" s="21"/>
    </row>
    <row r="241" customFormat="false" ht="23.85" hidden="false" customHeight="false" outlineLevel="0" collapsed="false">
      <c r="A241" s="20" t="n">
        <v>240</v>
      </c>
      <c r="B241" s="20" t="s">
        <v>1137</v>
      </c>
      <c r="C241" s="20" t="s">
        <v>4</v>
      </c>
      <c r="D241" s="20" t="s">
        <v>1138</v>
      </c>
      <c r="E241" s="20" t="s">
        <v>28</v>
      </c>
      <c r="F241" s="20" t="s">
        <v>1139</v>
      </c>
      <c r="G241" s="21" t="s">
        <v>1140</v>
      </c>
      <c r="H241" s="20"/>
      <c r="I241" s="20"/>
      <c r="J241" s="20" t="s">
        <v>1141</v>
      </c>
      <c r="K241" s="22" t="n">
        <v>5</v>
      </c>
      <c r="L241" s="23" t="n">
        <v>1</v>
      </c>
      <c r="M241" s="20" t="s">
        <v>84</v>
      </c>
      <c r="N241" s="24" t="n">
        <v>6.5570931</v>
      </c>
      <c r="O241" s="24" t="n">
        <v>3.3685365</v>
      </c>
      <c r="P241" s="20" t="s">
        <v>125</v>
      </c>
      <c r="Q241" s="20" t="s">
        <v>86</v>
      </c>
      <c r="R241" s="20" t="s">
        <v>86</v>
      </c>
      <c r="S241" s="20" t="s">
        <v>87</v>
      </c>
      <c r="T241" s="25" t="s">
        <v>88</v>
      </c>
      <c r="U241" s="20" t="s">
        <v>89</v>
      </c>
      <c r="V241" s="20" t="s">
        <v>90</v>
      </c>
      <c r="W241" s="21"/>
    </row>
    <row r="242" customFormat="false" ht="23.85" hidden="false" customHeight="false" outlineLevel="0" collapsed="false">
      <c r="A242" s="20" t="n">
        <v>241</v>
      </c>
      <c r="B242" s="20" t="s">
        <v>1142</v>
      </c>
      <c r="C242" s="20" t="s">
        <v>4</v>
      </c>
      <c r="D242" s="20" t="s">
        <v>1143</v>
      </c>
      <c r="E242" s="20" t="s">
        <v>29</v>
      </c>
      <c r="F242" s="20" t="s">
        <v>1144</v>
      </c>
      <c r="G242" s="21" t="s">
        <v>1145</v>
      </c>
      <c r="H242" s="20"/>
      <c r="I242" s="20"/>
      <c r="J242" s="20"/>
      <c r="K242" s="22"/>
      <c r="L242" s="23"/>
      <c r="M242" s="20" t="s">
        <v>84</v>
      </c>
      <c r="N242" s="24"/>
      <c r="O242" s="24"/>
      <c r="P242" s="20" t="s">
        <v>101</v>
      </c>
      <c r="Q242" s="20" t="s">
        <v>86</v>
      </c>
      <c r="R242" s="20" t="s">
        <v>86</v>
      </c>
      <c r="S242" s="20" t="s">
        <v>102</v>
      </c>
      <c r="T242" s="25" t="s">
        <v>88</v>
      </c>
      <c r="U242" s="20" t="s">
        <v>89</v>
      </c>
      <c r="V242" s="20" t="s">
        <v>138</v>
      </c>
      <c r="W242" s="21" t="s">
        <v>1146</v>
      </c>
    </row>
    <row r="243" customFormat="false" ht="15" hidden="false" customHeight="false" outlineLevel="0" collapsed="false">
      <c r="A243" s="20" t="n">
        <v>242</v>
      </c>
      <c r="B243" s="20" t="s">
        <v>1147</v>
      </c>
      <c r="C243" s="20" t="s">
        <v>4</v>
      </c>
      <c r="D243" s="20" t="s">
        <v>1148</v>
      </c>
      <c r="E243" s="20" t="s">
        <v>29</v>
      </c>
      <c r="F243" s="20" t="s">
        <v>1149</v>
      </c>
      <c r="G243" s="21" t="s">
        <v>1150</v>
      </c>
      <c r="H243" s="20" t="s">
        <v>1151</v>
      </c>
      <c r="I243" s="20"/>
      <c r="J243" s="20"/>
      <c r="K243" s="22"/>
      <c r="L243" s="23"/>
      <c r="M243" s="20" t="s">
        <v>100</v>
      </c>
      <c r="N243" s="24"/>
      <c r="O243" s="24"/>
      <c r="P243" s="20" t="s">
        <v>101</v>
      </c>
      <c r="Q243" s="20" t="s">
        <v>86</v>
      </c>
      <c r="R243" s="20" t="s">
        <v>86</v>
      </c>
      <c r="S243" s="20" t="s">
        <v>102</v>
      </c>
      <c r="T243" s="26" t="s">
        <v>103</v>
      </c>
      <c r="U243" s="20" t="s">
        <v>104</v>
      </c>
      <c r="V243" s="20" t="s">
        <v>90</v>
      </c>
      <c r="W243" s="21"/>
    </row>
    <row r="244" customFormat="false" ht="15" hidden="false" customHeight="false" outlineLevel="0" collapsed="false">
      <c r="A244" s="20" t="n">
        <v>243</v>
      </c>
      <c r="B244" s="20" t="s">
        <v>1152</v>
      </c>
      <c r="C244" s="20" t="s">
        <v>4</v>
      </c>
      <c r="D244" s="20" t="s">
        <v>1153</v>
      </c>
      <c r="E244" s="20" t="s">
        <v>29</v>
      </c>
      <c r="F244" s="20" t="s">
        <v>1144</v>
      </c>
      <c r="G244" s="21" t="s">
        <v>1154</v>
      </c>
      <c r="H244" s="20"/>
      <c r="I244" s="20"/>
      <c r="J244" s="20"/>
      <c r="K244" s="22"/>
      <c r="L244" s="23"/>
      <c r="M244" s="20" t="s">
        <v>84</v>
      </c>
      <c r="N244" s="24"/>
      <c r="O244" s="24"/>
      <c r="P244" s="20" t="s">
        <v>101</v>
      </c>
      <c r="Q244" s="20" t="s">
        <v>86</v>
      </c>
      <c r="R244" s="20" t="s">
        <v>86</v>
      </c>
      <c r="S244" s="20" t="s">
        <v>102</v>
      </c>
      <c r="T244" s="25" t="s">
        <v>88</v>
      </c>
      <c r="U244" s="20" t="s">
        <v>89</v>
      </c>
      <c r="V244" s="20" t="s">
        <v>138</v>
      </c>
      <c r="W244" s="21" t="s">
        <v>538</v>
      </c>
    </row>
    <row r="245" customFormat="false" ht="15" hidden="false" customHeight="false" outlineLevel="0" collapsed="false">
      <c r="A245" s="20" t="n">
        <v>244</v>
      </c>
      <c r="B245" s="20" t="s">
        <v>1155</v>
      </c>
      <c r="C245" s="20" t="s">
        <v>4</v>
      </c>
      <c r="D245" s="20" t="s">
        <v>258</v>
      </c>
      <c r="E245" s="20" t="s">
        <v>29</v>
      </c>
      <c r="F245" s="20" t="s">
        <v>1156</v>
      </c>
      <c r="G245" s="21" t="s">
        <v>1157</v>
      </c>
      <c r="H245" s="20"/>
      <c r="I245" s="20"/>
      <c r="J245" s="20"/>
      <c r="K245" s="22"/>
      <c r="L245" s="23"/>
      <c r="M245" s="20" t="s">
        <v>84</v>
      </c>
      <c r="N245" s="24"/>
      <c r="O245" s="24"/>
      <c r="P245" s="20" t="s">
        <v>101</v>
      </c>
      <c r="Q245" s="20" t="s">
        <v>86</v>
      </c>
      <c r="R245" s="20" t="s">
        <v>86</v>
      </c>
      <c r="S245" s="20" t="s">
        <v>102</v>
      </c>
      <c r="T245" s="25" t="s">
        <v>88</v>
      </c>
      <c r="U245" s="20" t="s">
        <v>89</v>
      </c>
      <c r="V245" s="20" t="s">
        <v>138</v>
      </c>
      <c r="W245" s="21" t="s">
        <v>920</v>
      </c>
    </row>
    <row r="246" customFormat="false" ht="15" hidden="false" customHeight="false" outlineLevel="0" collapsed="false">
      <c r="A246" s="20" t="n">
        <v>245</v>
      </c>
      <c r="B246" s="20" t="s">
        <v>1158</v>
      </c>
      <c r="C246" s="20" t="s">
        <v>4</v>
      </c>
      <c r="D246" s="20" t="s">
        <v>369</v>
      </c>
      <c r="E246" s="20" t="s">
        <v>29</v>
      </c>
      <c r="F246" s="20" t="s">
        <v>1156</v>
      </c>
      <c r="G246" s="21" t="s">
        <v>1159</v>
      </c>
      <c r="H246" s="20" t="s">
        <v>1160</v>
      </c>
      <c r="I246" s="20" t="s">
        <v>1161</v>
      </c>
      <c r="J246" s="20"/>
      <c r="K246" s="22"/>
      <c r="L246" s="23"/>
      <c r="M246" s="20" t="s">
        <v>100</v>
      </c>
      <c r="N246" s="24"/>
      <c r="O246" s="24"/>
      <c r="P246" s="20" t="s">
        <v>101</v>
      </c>
      <c r="Q246" s="20" t="s">
        <v>86</v>
      </c>
      <c r="R246" s="20" t="s">
        <v>86</v>
      </c>
      <c r="S246" s="20" t="s">
        <v>102</v>
      </c>
      <c r="T246" s="27" t="s">
        <v>117</v>
      </c>
      <c r="U246" s="20" t="s">
        <v>118</v>
      </c>
      <c r="V246" s="20" t="s">
        <v>90</v>
      </c>
      <c r="W246" s="21"/>
    </row>
    <row r="247" customFormat="false" ht="23.85" hidden="false" customHeight="false" outlineLevel="0" collapsed="false">
      <c r="A247" s="20" t="n">
        <v>246</v>
      </c>
      <c r="B247" s="20" t="s">
        <v>1162</v>
      </c>
      <c r="C247" s="20" t="s">
        <v>4</v>
      </c>
      <c r="D247" s="20" t="s">
        <v>1163</v>
      </c>
      <c r="E247" s="20" t="s">
        <v>29</v>
      </c>
      <c r="F247" s="20" t="s">
        <v>1164</v>
      </c>
      <c r="G247" s="21" t="s">
        <v>1165</v>
      </c>
      <c r="H247" s="20" t="s">
        <v>1166</v>
      </c>
      <c r="I247" s="20"/>
      <c r="J247" s="20" t="s">
        <v>1167</v>
      </c>
      <c r="K247" s="22"/>
      <c r="L247" s="23"/>
      <c r="M247" s="20" t="s">
        <v>100</v>
      </c>
      <c r="N247" s="24" t="n">
        <v>6.5592295</v>
      </c>
      <c r="O247" s="24" t="n">
        <v>3.368899</v>
      </c>
      <c r="P247" s="20" t="s">
        <v>125</v>
      </c>
      <c r="Q247" s="20" t="s">
        <v>86</v>
      </c>
      <c r="R247" s="20" t="s">
        <v>86</v>
      </c>
      <c r="S247" s="20" t="s">
        <v>87</v>
      </c>
      <c r="T247" s="26" t="s">
        <v>103</v>
      </c>
      <c r="U247" s="20" t="s">
        <v>104</v>
      </c>
      <c r="V247" s="20" t="s">
        <v>90</v>
      </c>
      <c r="W247" s="21"/>
    </row>
    <row r="248" customFormat="false" ht="15" hidden="false" customHeight="false" outlineLevel="0" collapsed="false">
      <c r="A248" s="20" t="n">
        <v>247</v>
      </c>
      <c r="B248" s="20" t="s">
        <v>1168</v>
      </c>
      <c r="C248" s="20" t="s">
        <v>4</v>
      </c>
      <c r="D248" s="20" t="s">
        <v>966</v>
      </c>
      <c r="E248" s="20" t="s">
        <v>29</v>
      </c>
      <c r="F248" s="20" t="s">
        <v>1169</v>
      </c>
      <c r="G248" s="21" t="s">
        <v>967</v>
      </c>
      <c r="H248" s="20"/>
      <c r="I248" s="20"/>
      <c r="J248" s="20"/>
      <c r="K248" s="22"/>
      <c r="L248" s="23"/>
      <c r="M248" s="20" t="s">
        <v>84</v>
      </c>
      <c r="N248" s="24"/>
      <c r="O248" s="24"/>
      <c r="P248" s="20" t="s">
        <v>101</v>
      </c>
      <c r="Q248" s="20" t="s">
        <v>86</v>
      </c>
      <c r="R248" s="20" t="s">
        <v>86</v>
      </c>
      <c r="S248" s="20" t="s">
        <v>102</v>
      </c>
      <c r="T248" s="25" t="s">
        <v>88</v>
      </c>
      <c r="U248" s="20" t="s">
        <v>89</v>
      </c>
      <c r="V248" s="20" t="s">
        <v>138</v>
      </c>
      <c r="W248" s="21" t="s">
        <v>920</v>
      </c>
    </row>
    <row r="249" customFormat="false" ht="15" hidden="false" customHeight="false" outlineLevel="0" collapsed="false">
      <c r="A249" s="20" t="n">
        <v>248</v>
      </c>
      <c r="B249" s="20" t="s">
        <v>1170</v>
      </c>
      <c r="C249" s="20" t="s">
        <v>4</v>
      </c>
      <c r="D249" s="20" t="s">
        <v>1171</v>
      </c>
      <c r="E249" s="20" t="s">
        <v>29</v>
      </c>
      <c r="F249" s="20" t="s">
        <v>1172</v>
      </c>
      <c r="G249" s="21" t="s">
        <v>1173</v>
      </c>
      <c r="H249" s="20" t="s">
        <v>1174</v>
      </c>
      <c r="I249" s="20" t="s">
        <v>1175</v>
      </c>
      <c r="J249" s="20"/>
      <c r="K249" s="22"/>
      <c r="L249" s="23"/>
      <c r="M249" s="20" t="s">
        <v>100</v>
      </c>
      <c r="N249" s="24"/>
      <c r="O249" s="24"/>
      <c r="P249" s="20" t="s">
        <v>101</v>
      </c>
      <c r="Q249" s="20" t="s">
        <v>86</v>
      </c>
      <c r="R249" s="20" t="s">
        <v>86</v>
      </c>
      <c r="S249" s="20" t="s">
        <v>102</v>
      </c>
      <c r="T249" s="27" t="s">
        <v>117</v>
      </c>
      <c r="U249" s="20" t="s">
        <v>118</v>
      </c>
      <c r="V249" s="20" t="s">
        <v>90</v>
      </c>
      <c r="W249" s="21"/>
    </row>
    <row r="250" customFormat="false" ht="15" hidden="false" customHeight="false" outlineLevel="0" collapsed="false">
      <c r="A250" s="20" t="n">
        <v>249</v>
      </c>
      <c r="B250" s="20" t="s">
        <v>1176</v>
      </c>
      <c r="C250" s="20" t="s">
        <v>4</v>
      </c>
      <c r="D250" s="20" t="s">
        <v>490</v>
      </c>
      <c r="E250" s="20" t="s">
        <v>29</v>
      </c>
      <c r="F250" s="20" t="s">
        <v>1172</v>
      </c>
      <c r="G250" s="21" t="s">
        <v>1177</v>
      </c>
      <c r="H250" s="20" t="s">
        <v>1178</v>
      </c>
      <c r="I250" s="20" t="s">
        <v>1161</v>
      </c>
      <c r="J250" s="20"/>
      <c r="K250" s="22"/>
      <c r="L250" s="23"/>
      <c r="M250" s="20" t="s">
        <v>100</v>
      </c>
      <c r="N250" s="24"/>
      <c r="O250" s="24"/>
      <c r="P250" s="20" t="s">
        <v>101</v>
      </c>
      <c r="Q250" s="20" t="s">
        <v>86</v>
      </c>
      <c r="R250" s="20" t="s">
        <v>86</v>
      </c>
      <c r="S250" s="20" t="s">
        <v>102</v>
      </c>
      <c r="T250" s="27" t="s">
        <v>117</v>
      </c>
      <c r="U250" s="20" t="s">
        <v>118</v>
      </c>
      <c r="V250" s="20" t="s">
        <v>90</v>
      </c>
      <c r="W250" s="21"/>
    </row>
    <row r="251" customFormat="false" ht="23.85" hidden="false" customHeight="false" outlineLevel="0" collapsed="false">
      <c r="A251" s="20" t="n">
        <v>250</v>
      </c>
      <c r="B251" s="20" t="s">
        <v>1179</v>
      </c>
      <c r="C251" s="20" t="s">
        <v>4</v>
      </c>
      <c r="D251" s="20" t="s">
        <v>1180</v>
      </c>
      <c r="E251" s="20" t="s">
        <v>29</v>
      </c>
      <c r="F251" s="20" t="s">
        <v>1181</v>
      </c>
      <c r="G251" s="21" t="s">
        <v>1182</v>
      </c>
      <c r="H251" s="20"/>
      <c r="I251" s="20"/>
      <c r="J251" s="20" t="s">
        <v>1183</v>
      </c>
      <c r="K251" s="22" t="n">
        <v>3.6</v>
      </c>
      <c r="L251" s="23" t="n">
        <v>33</v>
      </c>
      <c r="M251" s="20" t="s">
        <v>84</v>
      </c>
      <c r="N251" s="24" t="n">
        <v>6.5602413</v>
      </c>
      <c r="O251" s="24" t="n">
        <v>3.369615</v>
      </c>
      <c r="P251" s="20" t="s">
        <v>125</v>
      </c>
      <c r="Q251" s="20" t="s">
        <v>86</v>
      </c>
      <c r="R251" s="20" t="s">
        <v>86</v>
      </c>
      <c r="S251" s="20" t="s">
        <v>87</v>
      </c>
      <c r="T251" s="25" t="s">
        <v>88</v>
      </c>
      <c r="U251" s="20" t="s">
        <v>89</v>
      </c>
      <c r="V251" s="20" t="s">
        <v>90</v>
      </c>
      <c r="W251" s="21"/>
    </row>
    <row r="252" customFormat="false" ht="15" hidden="false" customHeight="false" outlineLevel="0" collapsed="false">
      <c r="A252" s="20" t="n">
        <v>251</v>
      </c>
      <c r="B252" s="20" t="s">
        <v>1184</v>
      </c>
      <c r="C252" s="20" t="s">
        <v>4</v>
      </c>
      <c r="D252" s="20" t="s">
        <v>1185</v>
      </c>
      <c r="E252" s="20" t="s">
        <v>29</v>
      </c>
      <c r="F252" s="20" t="s">
        <v>1156</v>
      </c>
      <c r="G252" s="21" t="s">
        <v>1186</v>
      </c>
      <c r="H252" s="20"/>
      <c r="I252" s="20"/>
      <c r="J252" s="20"/>
      <c r="K252" s="22"/>
      <c r="L252" s="23"/>
      <c r="M252" s="20" t="s">
        <v>84</v>
      </c>
      <c r="N252" s="24"/>
      <c r="O252" s="24"/>
      <c r="P252" s="20" t="s">
        <v>101</v>
      </c>
      <c r="Q252" s="20" t="s">
        <v>86</v>
      </c>
      <c r="R252" s="20" t="s">
        <v>86</v>
      </c>
      <c r="S252" s="20" t="s">
        <v>102</v>
      </c>
      <c r="T252" s="25" t="s">
        <v>88</v>
      </c>
      <c r="U252" s="20" t="s">
        <v>89</v>
      </c>
      <c r="V252" s="20" t="s">
        <v>138</v>
      </c>
      <c r="W252" s="21" t="s">
        <v>920</v>
      </c>
    </row>
    <row r="253" customFormat="false" ht="23.85" hidden="false" customHeight="false" outlineLevel="0" collapsed="false">
      <c r="A253" s="20" t="n">
        <v>252</v>
      </c>
      <c r="B253" s="20" t="s">
        <v>1187</v>
      </c>
      <c r="C253" s="20" t="s">
        <v>4</v>
      </c>
      <c r="D253" s="20" t="s">
        <v>953</v>
      </c>
      <c r="E253" s="20" t="s">
        <v>29</v>
      </c>
      <c r="F253" s="20" t="s">
        <v>1188</v>
      </c>
      <c r="G253" s="21" t="s">
        <v>1189</v>
      </c>
      <c r="H253" s="20" t="s">
        <v>1190</v>
      </c>
      <c r="I253" s="20"/>
      <c r="J253" s="20" t="s">
        <v>1191</v>
      </c>
      <c r="K253" s="22"/>
      <c r="L253" s="23"/>
      <c r="M253" s="20" t="s">
        <v>100</v>
      </c>
      <c r="N253" s="24" t="n">
        <v>6.5598589</v>
      </c>
      <c r="O253" s="24" t="n">
        <v>3.3701047</v>
      </c>
      <c r="P253" s="20" t="s">
        <v>125</v>
      </c>
      <c r="Q253" s="20" t="s">
        <v>86</v>
      </c>
      <c r="R253" s="20" t="s">
        <v>86</v>
      </c>
      <c r="S253" s="20" t="s">
        <v>87</v>
      </c>
      <c r="T253" s="26" t="s">
        <v>103</v>
      </c>
      <c r="U253" s="20" t="s">
        <v>104</v>
      </c>
      <c r="V253" s="20" t="s">
        <v>90</v>
      </c>
      <c r="W253" s="21"/>
    </row>
    <row r="254" customFormat="false" ht="23.85" hidden="false" customHeight="false" outlineLevel="0" collapsed="false">
      <c r="A254" s="20" t="n">
        <v>253</v>
      </c>
      <c r="B254" s="20" t="s">
        <v>1192</v>
      </c>
      <c r="C254" s="20" t="s">
        <v>4</v>
      </c>
      <c r="D254" s="20" t="s">
        <v>1193</v>
      </c>
      <c r="E254" s="20" t="s">
        <v>29</v>
      </c>
      <c r="F254" s="20" t="s">
        <v>1188</v>
      </c>
      <c r="G254" s="21" t="s">
        <v>1194</v>
      </c>
      <c r="H254" s="20" t="s">
        <v>1195</v>
      </c>
      <c r="I254" s="20"/>
      <c r="J254" s="20" t="s">
        <v>1196</v>
      </c>
      <c r="K254" s="22"/>
      <c r="L254" s="23"/>
      <c r="M254" s="20" t="s">
        <v>100</v>
      </c>
      <c r="N254" s="24" t="n">
        <v>6.5601099</v>
      </c>
      <c r="O254" s="24" t="n">
        <v>3.3700879</v>
      </c>
      <c r="P254" s="20" t="s">
        <v>125</v>
      </c>
      <c r="Q254" s="20" t="s">
        <v>86</v>
      </c>
      <c r="R254" s="20" t="s">
        <v>86</v>
      </c>
      <c r="S254" s="20" t="s">
        <v>87</v>
      </c>
      <c r="T254" s="26" t="s">
        <v>103</v>
      </c>
      <c r="U254" s="20" t="s">
        <v>104</v>
      </c>
      <c r="V254" s="20" t="s">
        <v>90</v>
      </c>
      <c r="W254" s="21"/>
    </row>
    <row r="255" customFormat="false" ht="15" hidden="false" customHeight="false" outlineLevel="0" collapsed="false">
      <c r="A255" s="20" t="n">
        <v>254</v>
      </c>
      <c r="B255" s="20" t="s">
        <v>1197</v>
      </c>
      <c r="C255" s="20" t="s">
        <v>4</v>
      </c>
      <c r="D255" s="20" t="s">
        <v>1198</v>
      </c>
      <c r="E255" s="20" t="s">
        <v>29</v>
      </c>
      <c r="F255" s="20" t="s">
        <v>1199</v>
      </c>
      <c r="G255" s="21" t="s">
        <v>1200</v>
      </c>
      <c r="H255" s="20" t="s">
        <v>1201</v>
      </c>
      <c r="I255" s="20" t="s">
        <v>475</v>
      </c>
      <c r="J255" s="20"/>
      <c r="K255" s="22"/>
      <c r="L255" s="23"/>
      <c r="M255" s="20" t="s">
        <v>100</v>
      </c>
      <c r="N255" s="24"/>
      <c r="O255" s="24"/>
      <c r="P255" s="20" t="s">
        <v>101</v>
      </c>
      <c r="Q255" s="20" t="s">
        <v>86</v>
      </c>
      <c r="R255" s="20" t="s">
        <v>86</v>
      </c>
      <c r="S255" s="20" t="s">
        <v>102</v>
      </c>
      <c r="T255" s="27" t="s">
        <v>117</v>
      </c>
      <c r="U255" s="20" t="s">
        <v>118</v>
      </c>
      <c r="V255" s="20" t="s">
        <v>90</v>
      </c>
      <c r="W255" s="21"/>
    </row>
    <row r="256" customFormat="false" ht="23.85" hidden="false" customHeight="false" outlineLevel="0" collapsed="false">
      <c r="A256" s="20" t="n">
        <v>255</v>
      </c>
      <c r="B256" s="20" t="s">
        <v>1202</v>
      </c>
      <c r="C256" s="20" t="s">
        <v>4</v>
      </c>
      <c r="D256" s="20" t="s">
        <v>547</v>
      </c>
      <c r="E256" s="20" t="s">
        <v>29</v>
      </c>
      <c r="F256" s="20" t="s">
        <v>1188</v>
      </c>
      <c r="G256" s="21" t="s">
        <v>1203</v>
      </c>
      <c r="H256" s="20" t="s">
        <v>1204</v>
      </c>
      <c r="I256" s="20"/>
      <c r="J256" s="20" t="s">
        <v>1205</v>
      </c>
      <c r="K256" s="22"/>
      <c r="L256" s="23"/>
      <c r="M256" s="20" t="s">
        <v>100</v>
      </c>
      <c r="N256" s="24" t="n">
        <v>6.5598706</v>
      </c>
      <c r="O256" s="24" t="n">
        <v>3.368376</v>
      </c>
      <c r="P256" s="20" t="s">
        <v>125</v>
      </c>
      <c r="Q256" s="20" t="s">
        <v>86</v>
      </c>
      <c r="R256" s="20" t="s">
        <v>86</v>
      </c>
      <c r="S256" s="20" t="s">
        <v>87</v>
      </c>
      <c r="T256" s="26" t="s">
        <v>103</v>
      </c>
      <c r="U256" s="20" t="s">
        <v>104</v>
      </c>
      <c r="V256" s="20" t="s">
        <v>90</v>
      </c>
      <c r="W256" s="21"/>
    </row>
    <row r="257" customFormat="false" ht="23.85" hidden="false" customHeight="false" outlineLevel="0" collapsed="false">
      <c r="A257" s="20" t="n">
        <v>256</v>
      </c>
      <c r="B257" s="20" t="s">
        <v>1206</v>
      </c>
      <c r="C257" s="20" t="s">
        <v>4</v>
      </c>
      <c r="D257" s="20" t="s">
        <v>953</v>
      </c>
      <c r="E257" s="20" t="s">
        <v>29</v>
      </c>
      <c r="F257" s="20" t="s">
        <v>1164</v>
      </c>
      <c r="G257" s="21" t="s">
        <v>1207</v>
      </c>
      <c r="H257" s="20" t="s">
        <v>1208</v>
      </c>
      <c r="I257" s="20"/>
      <c r="J257" s="20" t="s">
        <v>1209</v>
      </c>
      <c r="K257" s="22"/>
      <c r="L257" s="23"/>
      <c r="M257" s="20" t="s">
        <v>100</v>
      </c>
      <c r="N257" s="24" t="n">
        <v>6.5597826</v>
      </c>
      <c r="O257" s="24" t="n">
        <v>3.3700682</v>
      </c>
      <c r="P257" s="20" t="s">
        <v>125</v>
      </c>
      <c r="Q257" s="20" t="s">
        <v>86</v>
      </c>
      <c r="R257" s="20" t="s">
        <v>86</v>
      </c>
      <c r="S257" s="20" t="s">
        <v>87</v>
      </c>
      <c r="T257" s="26" t="s">
        <v>103</v>
      </c>
      <c r="U257" s="20" t="s">
        <v>104</v>
      </c>
      <c r="V257" s="20" t="s">
        <v>90</v>
      </c>
      <c r="W257" s="21"/>
    </row>
    <row r="258" customFormat="false" ht="15" hidden="false" customHeight="false" outlineLevel="0" collapsed="false">
      <c r="A258" s="20" t="n">
        <v>257</v>
      </c>
      <c r="B258" s="20" t="s">
        <v>1210</v>
      </c>
      <c r="C258" s="20" t="s">
        <v>4</v>
      </c>
      <c r="D258" s="20" t="s">
        <v>1211</v>
      </c>
      <c r="E258" s="20" t="s">
        <v>29</v>
      </c>
      <c r="F258" s="20" t="s">
        <v>1156</v>
      </c>
      <c r="G258" s="21" t="s">
        <v>1212</v>
      </c>
      <c r="H258" s="20" t="s">
        <v>1213</v>
      </c>
      <c r="I258" s="20"/>
      <c r="J258" s="20"/>
      <c r="K258" s="22"/>
      <c r="L258" s="23"/>
      <c r="M258" s="20" t="s">
        <v>100</v>
      </c>
      <c r="N258" s="24"/>
      <c r="O258" s="24"/>
      <c r="P258" s="20" t="s">
        <v>101</v>
      </c>
      <c r="Q258" s="20" t="s">
        <v>86</v>
      </c>
      <c r="R258" s="20" t="s">
        <v>86</v>
      </c>
      <c r="S258" s="20" t="s">
        <v>102</v>
      </c>
      <c r="T258" s="26" t="s">
        <v>103</v>
      </c>
      <c r="U258" s="20" t="s">
        <v>104</v>
      </c>
      <c r="V258" s="20" t="s">
        <v>138</v>
      </c>
      <c r="W258" s="21" t="s">
        <v>1146</v>
      </c>
    </row>
    <row r="259" customFormat="false" ht="23.85" hidden="false" customHeight="false" outlineLevel="0" collapsed="false">
      <c r="A259" s="20" t="n">
        <v>258</v>
      </c>
      <c r="B259" s="20" t="s">
        <v>1214</v>
      </c>
      <c r="C259" s="20" t="s">
        <v>4</v>
      </c>
      <c r="D259" s="20" t="s">
        <v>1215</v>
      </c>
      <c r="E259" s="20" t="s">
        <v>29</v>
      </c>
      <c r="F259" s="20" t="s">
        <v>1144</v>
      </c>
      <c r="G259" s="21" t="s">
        <v>1216</v>
      </c>
      <c r="H259" s="20" t="s">
        <v>1217</v>
      </c>
      <c r="I259" s="20" t="s">
        <v>1161</v>
      </c>
      <c r="J259" s="20"/>
      <c r="K259" s="22"/>
      <c r="L259" s="23"/>
      <c r="M259" s="20" t="s">
        <v>100</v>
      </c>
      <c r="N259" s="24"/>
      <c r="O259" s="24"/>
      <c r="P259" s="20" t="s">
        <v>101</v>
      </c>
      <c r="Q259" s="20" t="s">
        <v>86</v>
      </c>
      <c r="R259" s="20" t="s">
        <v>86</v>
      </c>
      <c r="S259" s="20" t="s">
        <v>102</v>
      </c>
      <c r="T259" s="27" t="s">
        <v>117</v>
      </c>
      <c r="U259" s="20" t="s">
        <v>118</v>
      </c>
      <c r="V259" s="20" t="s">
        <v>90</v>
      </c>
      <c r="W259" s="21"/>
    </row>
    <row r="260" customFormat="false" ht="15" hidden="false" customHeight="false" outlineLevel="0" collapsed="false">
      <c r="A260" s="20" t="n">
        <v>259</v>
      </c>
      <c r="B260" s="20" t="s">
        <v>1218</v>
      </c>
      <c r="C260" s="20" t="s">
        <v>4</v>
      </c>
      <c r="D260" s="20" t="s">
        <v>1219</v>
      </c>
      <c r="E260" s="20" t="s">
        <v>29</v>
      </c>
      <c r="F260" s="20" t="s">
        <v>1156</v>
      </c>
      <c r="G260" s="21" t="s">
        <v>1220</v>
      </c>
      <c r="H260" s="20" t="s">
        <v>1221</v>
      </c>
      <c r="I260" s="20" t="s">
        <v>1161</v>
      </c>
      <c r="J260" s="20"/>
      <c r="K260" s="22"/>
      <c r="L260" s="23"/>
      <c r="M260" s="20" t="s">
        <v>100</v>
      </c>
      <c r="N260" s="24"/>
      <c r="O260" s="24"/>
      <c r="P260" s="20" t="s">
        <v>101</v>
      </c>
      <c r="Q260" s="20" t="s">
        <v>86</v>
      </c>
      <c r="R260" s="20" t="s">
        <v>86</v>
      </c>
      <c r="S260" s="20" t="s">
        <v>102</v>
      </c>
      <c r="T260" s="27" t="s">
        <v>117</v>
      </c>
      <c r="U260" s="20" t="s">
        <v>118</v>
      </c>
      <c r="V260" s="20" t="s">
        <v>90</v>
      </c>
      <c r="W260" s="21"/>
    </row>
    <row r="261" customFormat="false" ht="23.85" hidden="false" customHeight="false" outlineLevel="0" collapsed="false">
      <c r="A261" s="20" t="n">
        <v>260</v>
      </c>
      <c r="B261" s="20" t="s">
        <v>1222</v>
      </c>
      <c r="C261" s="20" t="s">
        <v>4</v>
      </c>
      <c r="D261" s="20" t="s">
        <v>281</v>
      </c>
      <c r="E261" s="20" t="s">
        <v>29</v>
      </c>
      <c r="F261" s="20" t="s">
        <v>1149</v>
      </c>
      <c r="G261" s="21" t="s">
        <v>1223</v>
      </c>
      <c r="H261" s="20" t="s">
        <v>1224</v>
      </c>
      <c r="I261" s="20"/>
      <c r="J261" s="20"/>
      <c r="K261" s="22"/>
      <c r="L261" s="23"/>
      <c r="M261" s="20" t="s">
        <v>100</v>
      </c>
      <c r="N261" s="24"/>
      <c r="O261" s="24"/>
      <c r="P261" s="20" t="s">
        <v>101</v>
      </c>
      <c r="Q261" s="20" t="s">
        <v>86</v>
      </c>
      <c r="R261" s="20" t="s">
        <v>86</v>
      </c>
      <c r="S261" s="20" t="s">
        <v>102</v>
      </c>
      <c r="T261" s="26" t="s">
        <v>103</v>
      </c>
      <c r="U261" s="20" t="s">
        <v>104</v>
      </c>
      <c r="V261" s="20" t="s">
        <v>90</v>
      </c>
      <c r="W261" s="21"/>
    </row>
    <row r="262" customFormat="false" ht="15" hidden="false" customHeight="false" outlineLevel="0" collapsed="false">
      <c r="A262" s="20" t="n">
        <v>261</v>
      </c>
      <c r="B262" s="20" t="s">
        <v>1225</v>
      </c>
      <c r="C262" s="20" t="s">
        <v>4</v>
      </c>
      <c r="D262" s="20" t="s">
        <v>1226</v>
      </c>
      <c r="E262" s="20" t="s">
        <v>29</v>
      </c>
      <c r="F262" s="20" t="s">
        <v>1156</v>
      </c>
      <c r="G262" s="21" t="s">
        <v>1227</v>
      </c>
      <c r="H262" s="20"/>
      <c r="I262" s="20"/>
      <c r="J262" s="20"/>
      <c r="K262" s="22"/>
      <c r="L262" s="23"/>
      <c r="M262" s="20" t="s">
        <v>84</v>
      </c>
      <c r="N262" s="24"/>
      <c r="O262" s="24"/>
      <c r="P262" s="20" t="s">
        <v>101</v>
      </c>
      <c r="Q262" s="20" t="s">
        <v>86</v>
      </c>
      <c r="R262" s="20" t="s">
        <v>86</v>
      </c>
      <c r="S262" s="20" t="s">
        <v>102</v>
      </c>
      <c r="T262" s="25" t="s">
        <v>88</v>
      </c>
      <c r="U262" s="20" t="s">
        <v>89</v>
      </c>
      <c r="V262" s="20" t="s">
        <v>138</v>
      </c>
      <c r="W262" s="21" t="s">
        <v>920</v>
      </c>
    </row>
    <row r="263" customFormat="false" ht="23.85" hidden="false" customHeight="false" outlineLevel="0" collapsed="false">
      <c r="A263" s="20" t="n">
        <v>262</v>
      </c>
      <c r="B263" s="20" t="s">
        <v>1228</v>
      </c>
      <c r="C263" s="20" t="s">
        <v>4</v>
      </c>
      <c r="D263" s="20" t="s">
        <v>542</v>
      </c>
      <c r="E263" s="20" t="s">
        <v>29</v>
      </c>
      <c r="F263" s="20" t="s">
        <v>1229</v>
      </c>
      <c r="G263" s="21" t="s">
        <v>543</v>
      </c>
      <c r="H263" s="20"/>
      <c r="I263" s="20"/>
      <c r="J263" s="20" t="s">
        <v>1230</v>
      </c>
      <c r="K263" s="22"/>
      <c r="L263" s="23"/>
      <c r="M263" s="20" t="s">
        <v>84</v>
      </c>
      <c r="N263" s="24" t="n">
        <v>6.5598762</v>
      </c>
      <c r="O263" s="24" t="n">
        <v>3.3701296</v>
      </c>
      <c r="P263" s="20" t="s">
        <v>125</v>
      </c>
      <c r="Q263" s="20" t="s">
        <v>86</v>
      </c>
      <c r="R263" s="20" t="s">
        <v>86</v>
      </c>
      <c r="S263" s="20" t="s">
        <v>87</v>
      </c>
      <c r="T263" s="25" t="s">
        <v>88</v>
      </c>
      <c r="U263" s="20" t="s">
        <v>89</v>
      </c>
      <c r="V263" s="20" t="s">
        <v>90</v>
      </c>
      <c r="W263" s="21"/>
    </row>
    <row r="264" customFormat="false" ht="23.85" hidden="false" customHeight="false" outlineLevel="0" collapsed="false">
      <c r="A264" s="20" t="n">
        <v>263</v>
      </c>
      <c r="B264" s="20" t="s">
        <v>1231</v>
      </c>
      <c r="C264" s="20" t="s">
        <v>4</v>
      </c>
      <c r="D264" s="20" t="s">
        <v>206</v>
      </c>
      <c r="E264" s="20" t="s">
        <v>29</v>
      </c>
      <c r="F264" s="20" t="s">
        <v>1164</v>
      </c>
      <c r="G264" s="21" t="s">
        <v>1232</v>
      </c>
      <c r="H264" s="20" t="s">
        <v>1233</v>
      </c>
      <c r="I264" s="20"/>
      <c r="J264" s="20" t="s">
        <v>1234</v>
      </c>
      <c r="K264" s="22" t="n">
        <v>2.5</v>
      </c>
      <c r="L264" s="23" t="n">
        <v>2</v>
      </c>
      <c r="M264" s="20" t="s">
        <v>100</v>
      </c>
      <c r="N264" s="24" t="n">
        <v>6.559453</v>
      </c>
      <c r="O264" s="24" t="n">
        <v>3.3693809</v>
      </c>
      <c r="P264" s="20" t="s">
        <v>125</v>
      </c>
      <c r="Q264" s="20" t="s">
        <v>86</v>
      </c>
      <c r="R264" s="20" t="s">
        <v>86</v>
      </c>
      <c r="S264" s="20" t="s">
        <v>87</v>
      </c>
      <c r="T264" s="26" t="s">
        <v>103</v>
      </c>
      <c r="U264" s="20" t="s">
        <v>104</v>
      </c>
      <c r="V264" s="20" t="s">
        <v>90</v>
      </c>
      <c r="W264" s="21"/>
    </row>
    <row r="265" customFormat="false" ht="15" hidden="false" customHeight="false" outlineLevel="0" collapsed="false">
      <c r="A265" s="20" t="n">
        <v>264</v>
      </c>
      <c r="B265" s="20" t="s">
        <v>1235</v>
      </c>
      <c r="C265" s="20" t="s">
        <v>4</v>
      </c>
      <c r="D265" s="20" t="s">
        <v>346</v>
      </c>
      <c r="E265" s="20" t="s">
        <v>29</v>
      </c>
      <c r="F265" s="20" t="s">
        <v>1229</v>
      </c>
      <c r="G265" s="21" t="s">
        <v>1236</v>
      </c>
      <c r="H265" s="20" t="s">
        <v>1237</v>
      </c>
      <c r="I265" s="20"/>
      <c r="J265" s="20" t="s">
        <v>1238</v>
      </c>
      <c r="K265" s="22"/>
      <c r="L265" s="23"/>
      <c r="M265" s="20" t="s">
        <v>100</v>
      </c>
      <c r="N265" s="24" t="n">
        <v>6.5591018</v>
      </c>
      <c r="O265" s="24" t="n">
        <v>3.3700038</v>
      </c>
      <c r="P265" s="20" t="s">
        <v>125</v>
      </c>
      <c r="Q265" s="20" t="s">
        <v>86</v>
      </c>
      <c r="R265" s="20" t="s">
        <v>86</v>
      </c>
      <c r="S265" s="20" t="s">
        <v>87</v>
      </c>
      <c r="T265" s="26" t="s">
        <v>103</v>
      </c>
      <c r="U265" s="20" t="s">
        <v>104</v>
      </c>
      <c r="V265" s="20" t="s">
        <v>90</v>
      </c>
      <c r="W265" s="21"/>
    </row>
    <row r="266" customFormat="false" ht="23.85" hidden="false" customHeight="false" outlineLevel="0" collapsed="false">
      <c r="A266" s="20" t="n">
        <v>265</v>
      </c>
      <c r="B266" s="20" t="s">
        <v>1239</v>
      </c>
      <c r="C266" s="20" t="s">
        <v>4</v>
      </c>
      <c r="D266" s="20" t="s">
        <v>1240</v>
      </c>
      <c r="E266" s="20" t="s">
        <v>29</v>
      </c>
      <c r="F266" s="20" t="s">
        <v>1149</v>
      </c>
      <c r="G266" s="21" t="s">
        <v>1241</v>
      </c>
      <c r="H266" s="20" t="s">
        <v>1242</v>
      </c>
      <c r="I266" s="20"/>
      <c r="J266" s="20"/>
      <c r="K266" s="22"/>
      <c r="L266" s="23"/>
      <c r="M266" s="20" t="s">
        <v>100</v>
      </c>
      <c r="N266" s="24"/>
      <c r="O266" s="24"/>
      <c r="P266" s="20" t="s">
        <v>101</v>
      </c>
      <c r="Q266" s="20" t="s">
        <v>86</v>
      </c>
      <c r="R266" s="20" t="s">
        <v>86</v>
      </c>
      <c r="S266" s="20" t="s">
        <v>102</v>
      </c>
      <c r="T266" s="26" t="s">
        <v>103</v>
      </c>
      <c r="U266" s="20" t="s">
        <v>104</v>
      </c>
      <c r="V266" s="20" t="s">
        <v>90</v>
      </c>
      <c r="W266" s="21"/>
    </row>
    <row r="267" customFormat="false" ht="23.85" hidden="false" customHeight="false" outlineLevel="0" collapsed="false">
      <c r="A267" s="20" t="n">
        <v>266</v>
      </c>
      <c r="B267" s="20" t="s">
        <v>1243</v>
      </c>
      <c r="C267" s="20" t="s">
        <v>4</v>
      </c>
      <c r="D267" s="20" t="s">
        <v>206</v>
      </c>
      <c r="E267" s="20" t="s">
        <v>29</v>
      </c>
      <c r="F267" s="20" t="s">
        <v>1164</v>
      </c>
      <c r="G267" s="21" t="s">
        <v>1244</v>
      </c>
      <c r="H267" s="20" t="s">
        <v>1245</v>
      </c>
      <c r="I267" s="20"/>
      <c r="J267" s="20" t="s">
        <v>1246</v>
      </c>
      <c r="K267" s="22"/>
      <c r="L267" s="23"/>
      <c r="M267" s="20" t="s">
        <v>100</v>
      </c>
      <c r="N267" s="24" t="n">
        <v>6.559453</v>
      </c>
      <c r="O267" s="24" t="n">
        <v>3.3693809</v>
      </c>
      <c r="P267" s="20" t="s">
        <v>125</v>
      </c>
      <c r="Q267" s="20" t="s">
        <v>86</v>
      </c>
      <c r="R267" s="20" t="s">
        <v>86</v>
      </c>
      <c r="S267" s="20" t="s">
        <v>87</v>
      </c>
      <c r="T267" s="26" t="s">
        <v>103</v>
      </c>
      <c r="U267" s="20" t="s">
        <v>104</v>
      </c>
      <c r="V267" s="20" t="s">
        <v>90</v>
      </c>
      <c r="W267" s="21"/>
    </row>
    <row r="268" customFormat="false" ht="23.85" hidden="false" customHeight="false" outlineLevel="0" collapsed="false">
      <c r="A268" s="20" t="n">
        <v>267</v>
      </c>
      <c r="B268" s="20" t="s">
        <v>1247</v>
      </c>
      <c r="C268" s="20" t="s">
        <v>4</v>
      </c>
      <c r="D268" s="20" t="s">
        <v>525</v>
      </c>
      <c r="E268" s="20" t="s">
        <v>29</v>
      </c>
      <c r="F268" s="20" t="s">
        <v>1188</v>
      </c>
      <c r="G268" s="21" t="s">
        <v>526</v>
      </c>
      <c r="H268" s="20" t="s">
        <v>1248</v>
      </c>
      <c r="I268" s="20"/>
      <c r="J268" s="20" t="s">
        <v>1249</v>
      </c>
      <c r="K268" s="22" t="n">
        <v>3</v>
      </c>
      <c r="L268" s="23" t="n">
        <v>1</v>
      </c>
      <c r="M268" s="20" t="s">
        <v>100</v>
      </c>
      <c r="N268" s="24" t="n">
        <v>6.5605343</v>
      </c>
      <c r="O268" s="24" t="n">
        <v>3.3689203</v>
      </c>
      <c r="P268" s="20" t="s">
        <v>125</v>
      </c>
      <c r="Q268" s="20" t="s">
        <v>86</v>
      </c>
      <c r="R268" s="20" t="s">
        <v>86</v>
      </c>
      <c r="S268" s="20" t="s">
        <v>87</v>
      </c>
      <c r="T268" s="26" t="s">
        <v>103</v>
      </c>
      <c r="U268" s="20" t="s">
        <v>104</v>
      </c>
      <c r="V268" s="20" t="s">
        <v>90</v>
      </c>
      <c r="W268" s="21"/>
    </row>
    <row r="269" customFormat="false" ht="15" hidden="false" customHeight="false" outlineLevel="0" collapsed="false">
      <c r="A269" s="20" t="n">
        <v>268</v>
      </c>
      <c r="B269" s="20" t="s">
        <v>1250</v>
      </c>
      <c r="C269" s="20" t="s">
        <v>4</v>
      </c>
      <c r="D269" s="20" t="s">
        <v>1251</v>
      </c>
      <c r="E269" s="20" t="s">
        <v>29</v>
      </c>
      <c r="F269" s="20" t="s">
        <v>1149</v>
      </c>
      <c r="G269" s="21" t="s">
        <v>1252</v>
      </c>
      <c r="H269" s="20" t="s">
        <v>1253</v>
      </c>
      <c r="I269" s="20"/>
      <c r="J269" s="20"/>
      <c r="K269" s="22"/>
      <c r="L269" s="23"/>
      <c r="M269" s="20" t="s">
        <v>100</v>
      </c>
      <c r="N269" s="24"/>
      <c r="O269" s="24"/>
      <c r="P269" s="20" t="s">
        <v>101</v>
      </c>
      <c r="Q269" s="20" t="s">
        <v>86</v>
      </c>
      <c r="R269" s="20" t="s">
        <v>86</v>
      </c>
      <c r="S269" s="20" t="s">
        <v>102</v>
      </c>
      <c r="T269" s="26" t="s">
        <v>103</v>
      </c>
      <c r="U269" s="20" t="s">
        <v>104</v>
      </c>
      <c r="V269" s="20" t="s">
        <v>90</v>
      </c>
      <c r="W269" s="21"/>
    </row>
    <row r="270" customFormat="false" ht="15" hidden="false" customHeight="false" outlineLevel="0" collapsed="false">
      <c r="A270" s="20" t="n">
        <v>269</v>
      </c>
      <c r="B270" s="20" t="s">
        <v>1254</v>
      </c>
      <c r="C270" s="20" t="s">
        <v>4</v>
      </c>
      <c r="D270" s="20" t="s">
        <v>1255</v>
      </c>
      <c r="E270" s="20" t="s">
        <v>29</v>
      </c>
      <c r="F270" s="20" t="s">
        <v>1149</v>
      </c>
      <c r="G270" s="21" t="s">
        <v>1256</v>
      </c>
      <c r="H270" s="20" t="s">
        <v>1257</v>
      </c>
      <c r="I270" s="20"/>
      <c r="J270" s="20" t="s">
        <v>1258</v>
      </c>
      <c r="K270" s="22" t="n">
        <v>4.4</v>
      </c>
      <c r="L270" s="23" t="n">
        <v>10</v>
      </c>
      <c r="M270" s="20" t="s">
        <v>100</v>
      </c>
      <c r="N270" s="24" t="n">
        <v>6.5602621</v>
      </c>
      <c r="O270" s="24" t="n">
        <v>3.3679812</v>
      </c>
      <c r="P270" s="20" t="s">
        <v>110</v>
      </c>
      <c r="Q270" s="20" t="s">
        <v>86</v>
      </c>
      <c r="R270" s="20" t="s">
        <v>86</v>
      </c>
      <c r="S270" s="20" t="s">
        <v>87</v>
      </c>
      <c r="T270" s="27" t="s">
        <v>117</v>
      </c>
      <c r="U270" s="20" t="s">
        <v>118</v>
      </c>
      <c r="V270" s="20" t="s">
        <v>90</v>
      </c>
      <c r="W270" s="21"/>
    </row>
    <row r="271" customFormat="false" ht="15" hidden="false" customHeight="false" outlineLevel="0" collapsed="false">
      <c r="A271" s="20" t="n">
        <v>270</v>
      </c>
      <c r="B271" s="20" t="s">
        <v>1259</v>
      </c>
      <c r="C271" s="20" t="s">
        <v>4</v>
      </c>
      <c r="D271" s="20" t="s">
        <v>1260</v>
      </c>
      <c r="E271" s="20" t="s">
        <v>29</v>
      </c>
      <c r="F271" s="20" t="s">
        <v>1144</v>
      </c>
      <c r="G271" s="21" t="s">
        <v>1261</v>
      </c>
      <c r="H271" s="20"/>
      <c r="I271" s="20"/>
      <c r="J271" s="20"/>
      <c r="K271" s="22"/>
      <c r="L271" s="23"/>
      <c r="M271" s="20" t="s">
        <v>84</v>
      </c>
      <c r="N271" s="24"/>
      <c r="O271" s="24"/>
      <c r="P271" s="20" t="s">
        <v>101</v>
      </c>
      <c r="Q271" s="20" t="s">
        <v>86</v>
      </c>
      <c r="R271" s="20" t="s">
        <v>86</v>
      </c>
      <c r="S271" s="20" t="s">
        <v>102</v>
      </c>
      <c r="T271" s="25" t="s">
        <v>88</v>
      </c>
      <c r="U271" s="20" t="s">
        <v>89</v>
      </c>
      <c r="V271" s="20" t="s">
        <v>138</v>
      </c>
      <c r="W271" s="21" t="s">
        <v>168</v>
      </c>
    </row>
    <row r="272" customFormat="false" ht="15" hidden="false" customHeight="false" outlineLevel="0" collapsed="false">
      <c r="A272" s="20" t="n">
        <v>271</v>
      </c>
      <c r="B272" s="20" t="s">
        <v>1262</v>
      </c>
      <c r="C272" s="20" t="s">
        <v>4</v>
      </c>
      <c r="D272" s="20" t="s">
        <v>1263</v>
      </c>
      <c r="E272" s="20" t="s">
        <v>29</v>
      </c>
      <c r="F272" s="20" t="s">
        <v>1144</v>
      </c>
      <c r="G272" s="21" t="s">
        <v>1264</v>
      </c>
      <c r="H272" s="20" t="s">
        <v>1265</v>
      </c>
      <c r="I272" s="20" t="s">
        <v>1266</v>
      </c>
      <c r="J272" s="20" t="s">
        <v>1267</v>
      </c>
      <c r="K272" s="22" t="n">
        <v>4.4</v>
      </c>
      <c r="L272" s="23" t="n">
        <v>240</v>
      </c>
      <c r="M272" s="20" t="s">
        <v>100</v>
      </c>
      <c r="N272" s="24" t="n">
        <v>6.5605398</v>
      </c>
      <c r="O272" s="24" t="n">
        <v>3.3713147</v>
      </c>
      <c r="P272" s="20" t="s">
        <v>110</v>
      </c>
      <c r="Q272" s="20" t="s">
        <v>86</v>
      </c>
      <c r="R272" s="20" t="s">
        <v>86</v>
      </c>
      <c r="S272" s="20" t="s">
        <v>87</v>
      </c>
      <c r="T272" s="27" t="s">
        <v>117</v>
      </c>
      <c r="U272" s="20" t="s">
        <v>118</v>
      </c>
      <c r="V272" s="20" t="s">
        <v>138</v>
      </c>
      <c r="W272" s="21" t="s">
        <v>538</v>
      </c>
    </row>
    <row r="273" customFormat="false" ht="23.85" hidden="false" customHeight="false" outlineLevel="0" collapsed="false">
      <c r="A273" s="20" t="n">
        <v>272</v>
      </c>
      <c r="B273" s="20" t="s">
        <v>1268</v>
      </c>
      <c r="C273" s="20" t="s">
        <v>4</v>
      </c>
      <c r="D273" s="20" t="s">
        <v>1269</v>
      </c>
      <c r="E273" s="20" t="s">
        <v>29</v>
      </c>
      <c r="F273" s="20" t="s">
        <v>1164</v>
      </c>
      <c r="G273" s="21" t="s">
        <v>1270</v>
      </c>
      <c r="H273" s="20" t="s">
        <v>1271</v>
      </c>
      <c r="I273" s="20" t="s">
        <v>1272</v>
      </c>
      <c r="J273" s="20" t="s">
        <v>1273</v>
      </c>
      <c r="K273" s="22" t="n">
        <v>4.7</v>
      </c>
      <c r="L273" s="23" t="n">
        <v>47</v>
      </c>
      <c r="M273" s="20" t="s">
        <v>100</v>
      </c>
      <c r="N273" s="24" t="n">
        <v>6.5630188</v>
      </c>
      <c r="O273" s="24" t="n">
        <v>3.3687089</v>
      </c>
      <c r="P273" s="20" t="s">
        <v>125</v>
      </c>
      <c r="Q273" s="20" t="s">
        <v>86</v>
      </c>
      <c r="R273" s="20" t="s">
        <v>86</v>
      </c>
      <c r="S273" s="20" t="s">
        <v>87</v>
      </c>
      <c r="T273" s="27" t="s">
        <v>117</v>
      </c>
      <c r="U273" s="20" t="s">
        <v>118</v>
      </c>
      <c r="V273" s="20" t="s">
        <v>90</v>
      </c>
      <c r="W273" s="21"/>
    </row>
    <row r="274" customFormat="false" ht="23.85" hidden="false" customHeight="false" outlineLevel="0" collapsed="false">
      <c r="A274" s="20" t="n">
        <v>273</v>
      </c>
      <c r="B274" s="20" t="s">
        <v>1274</v>
      </c>
      <c r="C274" s="20" t="s">
        <v>4</v>
      </c>
      <c r="D274" s="20" t="s">
        <v>1275</v>
      </c>
      <c r="E274" s="20" t="s">
        <v>29</v>
      </c>
      <c r="F274" s="20" t="s">
        <v>1164</v>
      </c>
      <c r="G274" s="21" t="s">
        <v>1276</v>
      </c>
      <c r="H274" s="20" t="s">
        <v>1277</v>
      </c>
      <c r="I274" s="20"/>
      <c r="J274" s="20" t="s">
        <v>1278</v>
      </c>
      <c r="K274" s="22"/>
      <c r="L274" s="23"/>
      <c r="M274" s="20" t="s">
        <v>100</v>
      </c>
      <c r="N274" s="24" t="n">
        <v>6.5585218</v>
      </c>
      <c r="O274" s="24" t="n">
        <v>3.3681429</v>
      </c>
      <c r="P274" s="20" t="s">
        <v>125</v>
      </c>
      <c r="Q274" s="20" t="s">
        <v>86</v>
      </c>
      <c r="R274" s="20" t="s">
        <v>86</v>
      </c>
      <c r="S274" s="20" t="s">
        <v>87</v>
      </c>
      <c r="T274" s="26" t="s">
        <v>103</v>
      </c>
      <c r="U274" s="20" t="s">
        <v>104</v>
      </c>
      <c r="V274" s="20" t="s">
        <v>90</v>
      </c>
      <c r="W274" s="21"/>
    </row>
    <row r="275" customFormat="false" ht="15" hidden="false" customHeight="false" outlineLevel="0" collapsed="false">
      <c r="A275" s="20" t="n">
        <v>274</v>
      </c>
      <c r="B275" s="20" t="s">
        <v>1279</v>
      </c>
      <c r="C275" s="20" t="s">
        <v>4</v>
      </c>
      <c r="D275" s="20" t="s">
        <v>1280</v>
      </c>
      <c r="E275" s="20" t="s">
        <v>29</v>
      </c>
      <c r="F275" s="20" t="s">
        <v>1156</v>
      </c>
      <c r="G275" s="21" t="s">
        <v>1281</v>
      </c>
      <c r="H275" s="20"/>
      <c r="I275" s="20"/>
      <c r="J275" s="20"/>
      <c r="K275" s="22"/>
      <c r="L275" s="23"/>
      <c r="M275" s="20" t="s">
        <v>84</v>
      </c>
      <c r="N275" s="24"/>
      <c r="O275" s="24"/>
      <c r="P275" s="20" t="s">
        <v>101</v>
      </c>
      <c r="Q275" s="20" t="s">
        <v>86</v>
      </c>
      <c r="R275" s="20" t="s">
        <v>86</v>
      </c>
      <c r="S275" s="20" t="s">
        <v>102</v>
      </c>
      <c r="T275" s="25" t="s">
        <v>88</v>
      </c>
      <c r="U275" s="20" t="s">
        <v>89</v>
      </c>
      <c r="V275" s="20" t="s">
        <v>138</v>
      </c>
      <c r="W275" s="21" t="s">
        <v>920</v>
      </c>
    </row>
    <row r="276" customFormat="false" ht="15" hidden="false" customHeight="false" outlineLevel="0" collapsed="false">
      <c r="A276" s="20" t="n">
        <v>275</v>
      </c>
      <c r="B276" s="20" t="s">
        <v>1282</v>
      </c>
      <c r="C276" s="20" t="s">
        <v>4</v>
      </c>
      <c r="D276" s="20" t="s">
        <v>1283</v>
      </c>
      <c r="E276" s="20" t="s">
        <v>29</v>
      </c>
      <c r="F276" s="20" t="s">
        <v>1188</v>
      </c>
      <c r="G276" s="21" t="s">
        <v>1283</v>
      </c>
      <c r="H276" s="20"/>
      <c r="I276" s="20"/>
      <c r="J276" s="20"/>
      <c r="K276" s="22" t="n">
        <v>3.4</v>
      </c>
      <c r="L276" s="23" t="n">
        <v>9</v>
      </c>
      <c r="M276" s="20" t="s">
        <v>84</v>
      </c>
      <c r="N276" s="24" t="n">
        <v>6.57332</v>
      </c>
      <c r="O276" s="24" t="n">
        <v>3.36466</v>
      </c>
      <c r="P276" s="20" t="s">
        <v>85</v>
      </c>
      <c r="Q276" s="20" t="s">
        <v>86</v>
      </c>
      <c r="R276" s="20" t="s">
        <v>86</v>
      </c>
      <c r="S276" s="20" t="s">
        <v>87</v>
      </c>
      <c r="T276" s="25" t="s">
        <v>88</v>
      </c>
      <c r="U276" s="20" t="s">
        <v>89</v>
      </c>
      <c r="V276" s="20" t="s">
        <v>90</v>
      </c>
      <c r="W276" s="21"/>
    </row>
    <row r="277" customFormat="false" ht="15" hidden="false" customHeight="false" outlineLevel="0" collapsed="false">
      <c r="A277" s="20" t="n">
        <v>276</v>
      </c>
      <c r="B277" s="20" t="s">
        <v>1284</v>
      </c>
      <c r="C277" s="20" t="s">
        <v>4</v>
      </c>
      <c r="D277" s="20" t="s">
        <v>1285</v>
      </c>
      <c r="E277" s="20" t="s">
        <v>29</v>
      </c>
      <c r="F277" s="20" t="s">
        <v>1156</v>
      </c>
      <c r="G277" s="21" t="s">
        <v>1286</v>
      </c>
      <c r="H277" s="20"/>
      <c r="I277" s="20"/>
      <c r="J277" s="20"/>
      <c r="K277" s="22"/>
      <c r="L277" s="23"/>
      <c r="M277" s="20" t="s">
        <v>84</v>
      </c>
      <c r="N277" s="24"/>
      <c r="O277" s="24"/>
      <c r="P277" s="20" t="s">
        <v>101</v>
      </c>
      <c r="Q277" s="20" t="s">
        <v>86</v>
      </c>
      <c r="R277" s="20" t="s">
        <v>86</v>
      </c>
      <c r="S277" s="20" t="s">
        <v>102</v>
      </c>
      <c r="T277" s="25" t="s">
        <v>88</v>
      </c>
      <c r="U277" s="20" t="s">
        <v>89</v>
      </c>
      <c r="V277" s="20" t="s">
        <v>138</v>
      </c>
      <c r="W277" s="21" t="s">
        <v>920</v>
      </c>
    </row>
    <row r="278" customFormat="false" ht="23.85" hidden="false" customHeight="false" outlineLevel="0" collapsed="false">
      <c r="A278" s="20" t="n">
        <v>277</v>
      </c>
      <c r="B278" s="20" t="s">
        <v>1287</v>
      </c>
      <c r="C278" s="20" t="s">
        <v>4</v>
      </c>
      <c r="D278" s="20" t="s">
        <v>1288</v>
      </c>
      <c r="E278" s="20" t="s">
        <v>29</v>
      </c>
      <c r="F278" s="20" t="s">
        <v>1289</v>
      </c>
      <c r="G278" s="21" t="s">
        <v>1290</v>
      </c>
      <c r="H278" s="20" t="s">
        <v>1291</v>
      </c>
      <c r="I278" s="20" t="s">
        <v>1292</v>
      </c>
      <c r="J278" s="20" t="s">
        <v>1293</v>
      </c>
      <c r="K278" s="22"/>
      <c r="L278" s="23"/>
      <c r="M278" s="20" t="s">
        <v>100</v>
      </c>
      <c r="N278" s="24" t="n">
        <v>6.557858</v>
      </c>
      <c r="O278" s="24" t="n">
        <v>3.3673719</v>
      </c>
      <c r="P278" s="20" t="s">
        <v>125</v>
      </c>
      <c r="Q278" s="20" t="s">
        <v>86</v>
      </c>
      <c r="R278" s="20" t="s">
        <v>86</v>
      </c>
      <c r="S278" s="20" t="s">
        <v>87</v>
      </c>
      <c r="T278" s="27" t="s">
        <v>117</v>
      </c>
      <c r="U278" s="20" t="s">
        <v>118</v>
      </c>
      <c r="V278" s="20" t="s">
        <v>90</v>
      </c>
      <c r="W278" s="21"/>
    </row>
    <row r="279" customFormat="false" ht="23.85" hidden="false" customHeight="false" outlineLevel="0" collapsed="false">
      <c r="A279" s="20" t="n">
        <v>278</v>
      </c>
      <c r="B279" s="20" t="s">
        <v>1294</v>
      </c>
      <c r="C279" s="20" t="s">
        <v>4</v>
      </c>
      <c r="D279" s="20" t="s">
        <v>747</v>
      </c>
      <c r="E279" s="20" t="s">
        <v>29</v>
      </c>
      <c r="F279" s="20" t="s">
        <v>1188</v>
      </c>
      <c r="G279" s="21" t="s">
        <v>1295</v>
      </c>
      <c r="H279" s="20" t="s">
        <v>1296</v>
      </c>
      <c r="I279" s="20"/>
      <c r="J279" s="20" t="s">
        <v>1297</v>
      </c>
      <c r="K279" s="22"/>
      <c r="L279" s="23"/>
      <c r="M279" s="20" t="s">
        <v>100</v>
      </c>
      <c r="N279" s="24" t="n">
        <v>6.5587986</v>
      </c>
      <c r="O279" s="24" t="n">
        <v>3.3695698</v>
      </c>
      <c r="P279" s="20" t="s">
        <v>125</v>
      </c>
      <c r="Q279" s="20" t="s">
        <v>86</v>
      </c>
      <c r="R279" s="20" t="s">
        <v>86</v>
      </c>
      <c r="S279" s="20" t="s">
        <v>87</v>
      </c>
      <c r="T279" s="26" t="s">
        <v>103</v>
      </c>
      <c r="U279" s="20" t="s">
        <v>104</v>
      </c>
      <c r="V279" s="20" t="s">
        <v>90</v>
      </c>
      <c r="W279" s="21"/>
    </row>
    <row r="280" customFormat="false" ht="23.85" hidden="false" customHeight="false" outlineLevel="0" collapsed="false">
      <c r="A280" s="20" t="n">
        <v>279</v>
      </c>
      <c r="B280" s="20" t="s">
        <v>1298</v>
      </c>
      <c r="C280" s="20" t="s">
        <v>4</v>
      </c>
      <c r="D280" s="20" t="s">
        <v>1299</v>
      </c>
      <c r="E280" s="20" t="s">
        <v>29</v>
      </c>
      <c r="F280" s="20" t="s">
        <v>1300</v>
      </c>
      <c r="G280" s="21" t="s">
        <v>1301</v>
      </c>
      <c r="H280" s="20" t="s">
        <v>1302</v>
      </c>
      <c r="I280" s="20" t="s">
        <v>475</v>
      </c>
      <c r="J280" s="20"/>
      <c r="K280" s="22"/>
      <c r="L280" s="23"/>
      <c r="M280" s="20" t="s">
        <v>100</v>
      </c>
      <c r="N280" s="24"/>
      <c r="O280" s="24"/>
      <c r="P280" s="20" t="s">
        <v>101</v>
      </c>
      <c r="Q280" s="20" t="s">
        <v>86</v>
      </c>
      <c r="R280" s="20" t="s">
        <v>86</v>
      </c>
      <c r="S280" s="20" t="s">
        <v>102</v>
      </c>
      <c r="T280" s="27" t="s">
        <v>117</v>
      </c>
      <c r="U280" s="20" t="s">
        <v>118</v>
      </c>
      <c r="V280" s="20" t="s">
        <v>90</v>
      </c>
      <c r="W280" s="21"/>
    </row>
    <row r="281" customFormat="false" ht="15" hidden="false" customHeight="false" outlineLevel="0" collapsed="false">
      <c r="A281" s="20" t="n">
        <v>280</v>
      </c>
      <c r="B281" s="20" t="s">
        <v>1303</v>
      </c>
      <c r="C281" s="20" t="s">
        <v>4</v>
      </c>
      <c r="D281" s="20" t="s">
        <v>584</v>
      </c>
      <c r="E281" s="20" t="s">
        <v>29</v>
      </c>
      <c r="F281" s="20" t="s">
        <v>1149</v>
      </c>
      <c r="G281" s="21" t="s">
        <v>1304</v>
      </c>
      <c r="H281" s="20" t="s">
        <v>1305</v>
      </c>
      <c r="I281" s="20"/>
      <c r="J281" s="20"/>
      <c r="K281" s="22"/>
      <c r="L281" s="23"/>
      <c r="M281" s="20" t="s">
        <v>100</v>
      </c>
      <c r="N281" s="24"/>
      <c r="O281" s="24"/>
      <c r="P281" s="20" t="s">
        <v>101</v>
      </c>
      <c r="Q281" s="20" t="s">
        <v>86</v>
      </c>
      <c r="R281" s="20" t="s">
        <v>86</v>
      </c>
      <c r="S281" s="20" t="s">
        <v>102</v>
      </c>
      <c r="T281" s="26" t="s">
        <v>103</v>
      </c>
      <c r="U281" s="20" t="s">
        <v>104</v>
      </c>
      <c r="V281" s="20" t="s">
        <v>90</v>
      </c>
      <c r="W281" s="21"/>
    </row>
    <row r="282" customFormat="false" ht="23.85" hidden="false" customHeight="false" outlineLevel="0" collapsed="false">
      <c r="A282" s="20" t="n">
        <v>281</v>
      </c>
      <c r="B282" s="20" t="s">
        <v>1306</v>
      </c>
      <c r="C282" s="20" t="s">
        <v>4</v>
      </c>
      <c r="D282" s="20" t="s">
        <v>480</v>
      </c>
      <c r="E282" s="20" t="s">
        <v>29</v>
      </c>
      <c r="F282" s="20" t="s">
        <v>1188</v>
      </c>
      <c r="G282" s="21" t="s">
        <v>1307</v>
      </c>
      <c r="H282" s="20" t="s">
        <v>1308</v>
      </c>
      <c r="I282" s="20" t="s">
        <v>1309</v>
      </c>
      <c r="J282" s="20" t="s">
        <v>1310</v>
      </c>
      <c r="K282" s="22" t="n">
        <v>5</v>
      </c>
      <c r="L282" s="23" t="n">
        <v>1</v>
      </c>
      <c r="M282" s="20" t="s">
        <v>100</v>
      </c>
      <c r="N282" s="24" t="n">
        <v>6.5599609</v>
      </c>
      <c r="O282" s="24" t="n">
        <v>3.369028</v>
      </c>
      <c r="P282" s="20" t="s">
        <v>125</v>
      </c>
      <c r="Q282" s="20" t="s">
        <v>86</v>
      </c>
      <c r="R282" s="20" t="s">
        <v>86</v>
      </c>
      <c r="S282" s="20" t="s">
        <v>87</v>
      </c>
      <c r="T282" s="27" t="s">
        <v>117</v>
      </c>
      <c r="U282" s="20" t="s">
        <v>118</v>
      </c>
      <c r="V282" s="20" t="s">
        <v>90</v>
      </c>
      <c r="W282" s="21"/>
    </row>
    <row r="283" customFormat="false" ht="15" hidden="false" customHeight="false" outlineLevel="0" collapsed="false">
      <c r="A283" s="20" t="n">
        <v>282</v>
      </c>
      <c r="B283" s="20" t="s">
        <v>1311</v>
      </c>
      <c r="C283" s="20" t="s">
        <v>4</v>
      </c>
      <c r="D283" s="20" t="s">
        <v>346</v>
      </c>
      <c r="E283" s="20" t="s">
        <v>29</v>
      </c>
      <c r="F283" s="20" t="s">
        <v>1312</v>
      </c>
      <c r="G283" s="21" t="s">
        <v>1313</v>
      </c>
      <c r="H283" s="20" t="s">
        <v>1314</v>
      </c>
      <c r="I283" s="20"/>
      <c r="J283" s="20" t="s">
        <v>1315</v>
      </c>
      <c r="K283" s="22" t="n">
        <v>2.5</v>
      </c>
      <c r="L283" s="23" t="n">
        <v>2</v>
      </c>
      <c r="M283" s="20" t="s">
        <v>100</v>
      </c>
      <c r="N283" s="24" t="n">
        <v>6.5597746</v>
      </c>
      <c r="O283" s="24" t="n">
        <v>3.3703429</v>
      </c>
      <c r="P283" s="20" t="s">
        <v>125</v>
      </c>
      <c r="Q283" s="20" t="s">
        <v>86</v>
      </c>
      <c r="R283" s="20" t="s">
        <v>86</v>
      </c>
      <c r="S283" s="20" t="s">
        <v>87</v>
      </c>
      <c r="T283" s="26" t="s">
        <v>103</v>
      </c>
      <c r="U283" s="20" t="s">
        <v>104</v>
      </c>
      <c r="V283" s="20" t="s">
        <v>90</v>
      </c>
      <c r="W283" s="21"/>
    </row>
    <row r="284" customFormat="false" ht="15" hidden="false" customHeight="false" outlineLevel="0" collapsed="false">
      <c r="A284" s="20" t="n">
        <v>283</v>
      </c>
      <c r="B284" s="20" t="s">
        <v>1316</v>
      </c>
      <c r="C284" s="20" t="s">
        <v>4</v>
      </c>
      <c r="D284" s="20" t="s">
        <v>1317</v>
      </c>
      <c r="E284" s="20" t="s">
        <v>29</v>
      </c>
      <c r="F284" s="20" t="s">
        <v>1149</v>
      </c>
      <c r="G284" s="21" t="s">
        <v>1318</v>
      </c>
      <c r="H284" s="20" t="s">
        <v>1319</v>
      </c>
      <c r="I284" s="20"/>
      <c r="J284" s="20"/>
      <c r="K284" s="22"/>
      <c r="L284" s="23"/>
      <c r="M284" s="20" t="s">
        <v>100</v>
      </c>
      <c r="N284" s="24"/>
      <c r="O284" s="24"/>
      <c r="P284" s="20" t="s">
        <v>101</v>
      </c>
      <c r="Q284" s="20" t="s">
        <v>86</v>
      </c>
      <c r="R284" s="20" t="s">
        <v>86</v>
      </c>
      <c r="S284" s="20" t="s">
        <v>102</v>
      </c>
      <c r="T284" s="26" t="s">
        <v>103</v>
      </c>
      <c r="U284" s="20" t="s">
        <v>104</v>
      </c>
      <c r="V284" s="20" t="s">
        <v>90</v>
      </c>
      <c r="W284" s="21"/>
    </row>
    <row r="285" customFormat="false" ht="15" hidden="false" customHeight="false" outlineLevel="0" collapsed="false">
      <c r="A285" s="20" t="n">
        <v>284</v>
      </c>
      <c r="B285" s="20" t="s">
        <v>1320</v>
      </c>
      <c r="C285" s="20" t="s">
        <v>4</v>
      </c>
      <c r="D285" s="20" t="s">
        <v>1321</v>
      </c>
      <c r="E285" s="20" t="s">
        <v>30</v>
      </c>
      <c r="F285" s="20" t="s">
        <v>1322</v>
      </c>
      <c r="G285" s="21" t="s">
        <v>1321</v>
      </c>
      <c r="H285" s="20" t="s">
        <v>1323</v>
      </c>
      <c r="I285" s="20"/>
      <c r="J285" s="20"/>
      <c r="K285" s="22"/>
      <c r="L285" s="23"/>
      <c r="M285" s="20" t="s">
        <v>100</v>
      </c>
      <c r="N285" s="24" t="n">
        <v>6.56216</v>
      </c>
      <c r="O285" s="24" t="n">
        <v>3.37059</v>
      </c>
      <c r="P285" s="20" t="s">
        <v>85</v>
      </c>
      <c r="Q285" s="20" t="s">
        <v>86</v>
      </c>
      <c r="R285" s="20" t="s">
        <v>86</v>
      </c>
      <c r="S285" s="20" t="s">
        <v>87</v>
      </c>
      <c r="T285" s="26" t="s">
        <v>103</v>
      </c>
      <c r="U285" s="20" t="s">
        <v>104</v>
      </c>
      <c r="V285" s="20" t="s">
        <v>90</v>
      </c>
      <c r="W285" s="21"/>
    </row>
    <row r="286" customFormat="false" ht="15" hidden="false" customHeight="false" outlineLevel="0" collapsed="false">
      <c r="A286" s="20" t="n">
        <v>285</v>
      </c>
      <c r="B286" s="20" t="s">
        <v>1324</v>
      </c>
      <c r="C286" s="20" t="s">
        <v>4</v>
      </c>
      <c r="D286" s="20" t="s">
        <v>1325</v>
      </c>
      <c r="E286" s="20" t="s">
        <v>30</v>
      </c>
      <c r="F286" s="20" t="s">
        <v>1326</v>
      </c>
      <c r="G286" s="21" t="s">
        <v>1327</v>
      </c>
      <c r="H286" s="20" t="s">
        <v>1328</v>
      </c>
      <c r="I286" s="20"/>
      <c r="J286" s="20"/>
      <c r="K286" s="22"/>
      <c r="L286" s="23"/>
      <c r="M286" s="20" t="s">
        <v>100</v>
      </c>
      <c r="N286" s="24"/>
      <c r="O286" s="24"/>
      <c r="P286" s="20" t="s">
        <v>101</v>
      </c>
      <c r="Q286" s="20" t="s">
        <v>86</v>
      </c>
      <c r="R286" s="20" t="s">
        <v>86</v>
      </c>
      <c r="S286" s="20" t="s">
        <v>102</v>
      </c>
      <c r="T286" s="26" t="s">
        <v>103</v>
      </c>
      <c r="U286" s="20" t="s">
        <v>104</v>
      </c>
      <c r="V286" s="20" t="s">
        <v>90</v>
      </c>
      <c r="W286" s="21"/>
    </row>
    <row r="287" customFormat="false" ht="23.85" hidden="false" customHeight="false" outlineLevel="0" collapsed="false">
      <c r="A287" s="20" t="n">
        <v>286</v>
      </c>
      <c r="B287" s="20" t="s">
        <v>1329</v>
      </c>
      <c r="C287" s="20" t="s">
        <v>4</v>
      </c>
      <c r="D287" s="20" t="s">
        <v>495</v>
      </c>
      <c r="E287" s="20" t="s">
        <v>30</v>
      </c>
      <c r="F287" s="20" t="s">
        <v>1330</v>
      </c>
      <c r="G287" s="21" t="s">
        <v>1331</v>
      </c>
      <c r="H287" s="20" t="s">
        <v>1332</v>
      </c>
      <c r="I287" s="20"/>
      <c r="J287" s="20" t="s">
        <v>1333</v>
      </c>
      <c r="K287" s="22"/>
      <c r="L287" s="23"/>
      <c r="M287" s="20" t="s">
        <v>100</v>
      </c>
      <c r="N287" s="24" t="n">
        <v>6.5607566</v>
      </c>
      <c r="O287" s="24" t="n">
        <v>3.3696575</v>
      </c>
      <c r="P287" s="20" t="s">
        <v>125</v>
      </c>
      <c r="Q287" s="20" t="s">
        <v>86</v>
      </c>
      <c r="R287" s="20" t="s">
        <v>86</v>
      </c>
      <c r="S287" s="20" t="s">
        <v>87</v>
      </c>
      <c r="T287" s="26" t="s">
        <v>103</v>
      </c>
      <c r="U287" s="20" t="s">
        <v>104</v>
      </c>
      <c r="V287" s="20" t="s">
        <v>90</v>
      </c>
      <c r="W287" s="21"/>
    </row>
    <row r="288" customFormat="false" ht="15" hidden="false" customHeight="false" outlineLevel="0" collapsed="false">
      <c r="A288" s="20" t="n">
        <v>287</v>
      </c>
      <c r="B288" s="20" t="s">
        <v>1334</v>
      </c>
      <c r="C288" s="20" t="s">
        <v>4</v>
      </c>
      <c r="D288" s="20" t="s">
        <v>1335</v>
      </c>
      <c r="E288" s="20" t="s">
        <v>30</v>
      </c>
      <c r="F288" s="20" t="s">
        <v>1336</v>
      </c>
      <c r="G288" s="21" t="s">
        <v>1337</v>
      </c>
      <c r="H288" s="20" t="s">
        <v>1338</v>
      </c>
      <c r="I288" s="20"/>
      <c r="J288" s="20" t="s">
        <v>1339</v>
      </c>
      <c r="K288" s="22"/>
      <c r="L288" s="23"/>
      <c r="M288" s="20" t="s">
        <v>100</v>
      </c>
      <c r="N288" s="24" t="n">
        <v>6.5525604</v>
      </c>
      <c r="O288" s="24" t="n">
        <v>3.3721168</v>
      </c>
      <c r="P288" s="20" t="s">
        <v>125</v>
      </c>
      <c r="Q288" s="20" t="s">
        <v>86</v>
      </c>
      <c r="R288" s="20" t="s">
        <v>86</v>
      </c>
      <c r="S288" s="20" t="s">
        <v>87</v>
      </c>
      <c r="T288" s="26" t="s">
        <v>103</v>
      </c>
      <c r="U288" s="20" t="s">
        <v>104</v>
      </c>
      <c r="V288" s="20" t="s">
        <v>90</v>
      </c>
      <c r="W288" s="21"/>
    </row>
    <row r="289" customFormat="false" ht="15" hidden="false" customHeight="false" outlineLevel="0" collapsed="false">
      <c r="A289" s="20" t="n">
        <v>288</v>
      </c>
      <c r="B289" s="20" t="s">
        <v>1340</v>
      </c>
      <c r="C289" s="20" t="s">
        <v>4</v>
      </c>
      <c r="D289" s="20" t="s">
        <v>1341</v>
      </c>
      <c r="E289" s="20" t="s">
        <v>30</v>
      </c>
      <c r="F289" s="20" t="s">
        <v>1342</v>
      </c>
      <c r="G289" s="21" t="s">
        <v>1343</v>
      </c>
      <c r="H289" s="20"/>
      <c r="I289" s="20"/>
      <c r="J289" s="20"/>
      <c r="K289" s="22"/>
      <c r="L289" s="23"/>
      <c r="M289" s="20" t="s">
        <v>84</v>
      </c>
      <c r="N289" s="24"/>
      <c r="O289" s="24"/>
      <c r="P289" s="20" t="s">
        <v>101</v>
      </c>
      <c r="Q289" s="20" t="s">
        <v>86</v>
      </c>
      <c r="R289" s="20" t="s">
        <v>86</v>
      </c>
      <c r="S289" s="20" t="s">
        <v>102</v>
      </c>
      <c r="T289" s="25" t="s">
        <v>88</v>
      </c>
      <c r="U289" s="20" t="s">
        <v>89</v>
      </c>
      <c r="V289" s="20" t="s">
        <v>138</v>
      </c>
      <c r="W289" s="21" t="s">
        <v>168</v>
      </c>
    </row>
    <row r="290" customFormat="false" ht="15" hidden="false" customHeight="false" outlineLevel="0" collapsed="false">
      <c r="A290" s="20" t="n">
        <v>289</v>
      </c>
      <c r="B290" s="20" t="s">
        <v>1344</v>
      </c>
      <c r="C290" s="20" t="s">
        <v>4</v>
      </c>
      <c r="D290" s="20" t="s">
        <v>1345</v>
      </c>
      <c r="E290" s="20" t="s">
        <v>30</v>
      </c>
      <c r="F290" s="20" t="s">
        <v>1346</v>
      </c>
      <c r="G290" s="21" t="s">
        <v>1347</v>
      </c>
      <c r="H290" s="20" t="s">
        <v>1348</v>
      </c>
      <c r="I290" s="20"/>
      <c r="J290" s="20"/>
      <c r="K290" s="22" t="n">
        <v>5</v>
      </c>
      <c r="L290" s="23" t="n">
        <v>1</v>
      </c>
      <c r="M290" s="20" t="s">
        <v>100</v>
      </c>
      <c r="N290" s="24"/>
      <c r="O290" s="24"/>
      <c r="P290" s="20" t="s">
        <v>101</v>
      </c>
      <c r="Q290" s="20" t="s">
        <v>86</v>
      </c>
      <c r="R290" s="20" t="s">
        <v>86</v>
      </c>
      <c r="S290" s="20" t="s">
        <v>102</v>
      </c>
      <c r="T290" s="26" t="s">
        <v>103</v>
      </c>
      <c r="U290" s="20" t="s">
        <v>104</v>
      </c>
      <c r="V290" s="20" t="s">
        <v>90</v>
      </c>
      <c r="W290" s="21"/>
    </row>
    <row r="291" customFormat="false" ht="23.85" hidden="false" customHeight="false" outlineLevel="0" collapsed="false">
      <c r="A291" s="20" t="n">
        <v>290</v>
      </c>
      <c r="B291" s="20" t="s">
        <v>1349</v>
      </c>
      <c r="C291" s="20" t="s">
        <v>4</v>
      </c>
      <c r="D291" s="20" t="s">
        <v>1350</v>
      </c>
      <c r="E291" s="20" t="s">
        <v>30</v>
      </c>
      <c r="F291" s="20" t="s">
        <v>1351</v>
      </c>
      <c r="G291" s="21" t="s">
        <v>1352</v>
      </c>
      <c r="H291" s="20" t="s">
        <v>1353</v>
      </c>
      <c r="I291" s="20" t="s">
        <v>1354</v>
      </c>
      <c r="J291" s="20"/>
      <c r="K291" s="22"/>
      <c r="L291" s="23"/>
      <c r="M291" s="20" t="s">
        <v>100</v>
      </c>
      <c r="N291" s="24"/>
      <c r="O291" s="24"/>
      <c r="P291" s="20" t="s">
        <v>101</v>
      </c>
      <c r="Q291" s="20" t="s">
        <v>86</v>
      </c>
      <c r="R291" s="20" t="s">
        <v>86</v>
      </c>
      <c r="S291" s="20" t="s">
        <v>102</v>
      </c>
      <c r="T291" s="27" t="s">
        <v>117</v>
      </c>
      <c r="U291" s="20" t="s">
        <v>118</v>
      </c>
      <c r="V291" s="20" t="s">
        <v>1355</v>
      </c>
      <c r="W291" s="21" t="s">
        <v>1356</v>
      </c>
    </row>
    <row r="292" customFormat="false" ht="15" hidden="false" customHeight="false" outlineLevel="0" collapsed="false">
      <c r="A292" s="20" t="n">
        <v>291</v>
      </c>
      <c r="B292" s="20" t="s">
        <v>1357</v>
      </c>
      <c r="C292" s="20" t="s">
        <v>4</v>
      </c>
      <c r="D292" s="20" t="s">
        <v>1358</v>
      </c>
      <c r="E292" s="20" t="s">
        <v>30</v>
      </c>
      <c r="F292" s="20" t="s">
        <v>1322</v>
      </c>
      <c r="G292" s="21" t="s">
        <v>1359</v>
      </c>
      <c r="H292" s="20" t="s">
        <v>1360</v>
      </c>
      <c r="I292" s="20"/>
      <c r="J292" s="20"/>
      <c r="K292" s="22" t="n">
        <v>3</v>
      </c>
      <c r="L292" s="23" t="n">
        <v>1</v>
      </c>
      <c r="M292" s="20" t="s">
        <v>100</v>
      </c>
      <c r="N292" s="24" t="n">
        <v>6.56408</v>
      </c>
      <c r="O292" s="24" t="n">
        <v>3.36966</v>
      </c>
      <c r="P292" s="20" t="s">
        <v>85</v>
      </c>
      <c r="Q292" s="20" t="s">
        <v>86</v>
      </c>
      <c r="R292" s="20" t="s">
        <v>86</v>
      </c>
      <c r="S292" s="20" t="s">
        <v>87</v>
      </c>
      <c r="T292" s="26" t="s">
        <v>103</v>
      </c>
      <c r="U292" s="20" t="s">
        <v>104</v>
      </c>
      <c r="V292" s="20" t="s">
        <v>90</v>
      </c>
      <c r="W292" s="21"/>
    </row>
    <row r="293" customFormat="false" ht="15" hidden="false" customHeight="false" outlineLevel="0" collapsed="false">
      <c r="A293" s="20" t="n">
        <v>292</v>
      </c>
      <c r="B293" s="20" t="s">
        <v>1361</v>
      </c>
      <c r="C293" s="20" t="s">
        <v>4</v>
      </c>
      <c r="D293" s="20" t="s">
        <v>1362</v>
      </c>
      <c r="E293" s="20" t="s">
        <v>30</v>
      </c>
      <c r="F293" s="20" t="s">
        <v>1322</v>
      </c>
      <c r="G293" s="21" t="s">
        <v>1363</v>
      </c>
      <c r="H293" s="20" t="s">
        <v>1364</v>
      </c>
      <c r="I293" s="20"/>
      <c r="J293" s="20" t="s">
        <v>1365</v>
      </c>
      <c r="K293" s="22"/>
      <c r="L293" s="23"/>
      <c r="M293" s="20" t="s">
        <v>100</v>
      </c>
      <c r="N293" s="24" t="n">
        <v>6.5591522</v>
      </c>
      <c r="O293" s="24" t="n">
        <v>3.3694267</v>
      </c>
      <c r="P293" s="20" t="s">
        <v>125</v>
      </c>
      <c r="Q293" s="20" t="s">
        <v>86</v>
      </c>
      <c r="R293" s="20" t="s">
        <v>86</v>
      </c>
      <c r="S293" s="20" t="s">
        <v>87</v>
      </c>
      <c r="T293" s="26" t="s">
        <v>103</v>
      </c>
      <c r="U293" s="20" t="s">
        <v>104</v>
      </c>
      <c r="V293" s="20" t="s">
        <v>90</v>
      </c>
      <c r="W293" s="21"/>
    </row>
    <row r="294" customFormat="false" ht="23.85" hidden="false" customHeight="false" outlineLevel="0" collapsed="false">
      <c r="A294" s="20" t="n">
        <v>293</v>
      </c>
      <c r="B294" s="20" t="s">
        <v>1366</v>
      </c>
      <c r="C294" s="20" t="s">
        <v>4</v>
      </c>
      <c r="D294" s="20" t="s">
        <v>1367</v>
      </c>
      <c r="E294" s="20" t="s">
        <v>30</v>
      </c>
      <c r="F294" s="20" t="s">
        <v>1368</v>
      </c>
      <c r="G294" s="21" t="s">
        <v>1369</v>
      </c>
      <c r="H294" s="20" t="s">
        <v>1370</v>
      </c>
      <c r="I294" s="20"/>
      <c r="J294" s="20"/>
      <c r="K294" s="22"/>
      <c r="L294" s="23"/>
      <c r="M294" s="20" t="s">
        <v>100</v>
      </c>
      <c r="N294" s="24"/>
      <c r="O294" s="24"/>
      <c r="P294" s="20" t="s">
        <v>101</v>
      </c>
      <c r="Q294" s="20" t="s">
        <v>86</v>
      </c>
      <c r="R294" s="20" t="s">
        <v>86</v>
      </c>
      <c r="S294" s="20" t="s">
        <v>102</v>
      </c>
      <c r="T294" s="26" t="s">
        <v>103</v>
      </c>
      <c r="U294" s="20" t="s">
        <v>104</v>
      </c>
      <c r="V294" s="20" t="s">
        <v>138</v>
      </c>
      <c r="W294" s="21" t="s">
        <v>1146</v>
      </c>
    </row>
    <row r="295" customFormat="false" ht="15" hidden="false" customHeight="false" outlineLevel="0" collapsed="false">
      <c r="A295" s="20" t="n">
        <v>294</v>
      </c>
      <c r="B295" s="20" t="s">
        <v>1371</v>
      </c>
      <c r="C295" s="20" t="s">
        <v>4</v>
      </c>
      <c r="D295" s="20" t="s">
        <v>1372</v>
      </c>
      <c r="E295" s="20" t="s">
        <v>30</v>
      </c>
      <c r="F295" s="20" t="s">
        <v>1326</v>
      </c>
      <c r="G295" s="21" t="s">
        <v>1373</v>
      </c>
      <c r="H295" s="20" t="s">
        <v>1374</v>
      </c>
      <c r="I295" s="20"/>
      <c r="J295" s="20"/>
      <c r="K295" s="22"/>
      <c r="L295" s="23"/>
      <c r="M295" s="20" t="s">
        <v>100</v>
      </c>
      <c r="N295" s="24"/>
      <c r="O295" s="24"/>
      <c r="P295" s="20" t="s">
        <v>101</v>
      </c>
      <c r="Q295" s="20" t="s">
        <v>86</v>
      </c>
      <c r="R295" s="20" t="s">
        <v>86</v>
      </c>
      <c r="S295" s="20" t="s">
        <v>102</v>
      </c>
      <c r="T295" s="26" t="s">
        <v>103</v>
      </c>
      <c r="U295" s="20" t="s">
        <v>104</v>
      </c>
      <c r="V295" s="20" t="s">
        <v>90</v>
      </c>
      <c r="W295" s="21"/>
    </row>
    <row r="296" customFormat="false" ht="23.85" hidden="false" customHeight="false" outlineLevel="0" collapsed="false">
      <c r="A296" s="20" t="n">
        <v>295</v>
      </c>
      <c r="B296" s="20" t="s">
        <v>1375</v>
      </c>
      <c r="C296" s="20" t="s">
        <v>4</v>
      </c>
      <c r="D296" s="20" t="s">
        <v>1376</v>
      </c>
      <c r="E296" s="20" t="s">
        <v>30</v>
      </c>
      <c r="F296" s="20" t="s">
        <v>1377</v>
      </c>
      <c r="G296" s="21" t="s">
        <v>1378</v>
      </c>
      <c r="H296" s="20" t="s">
        <v>1379</v>
      </c>
      <c r="I296" s="20" t="s">
        <v>1380</v>
      </c>
      <c r="J296" s="20" t="s">
        <v>1381</v>
      </c>
      <c r="K296" s="22"/>
      <c r="L296" s="23"/>
      <c r="M296" s="20" t="s">
        <v>100</v>
      </c>
      <c r="N296" s="24" t="n">
        <v>6.562169</v>
      </c>
      <c r="O296" s="24" t="n">
        <v>3.3725057</v>
      </c>
      <c r="P296" s="20" t="s">
        <v>125</v>
      </c>
      <c r="Q296" s="20" t="s">
        <v>86</v>
      </c>
      <c r="R296" s="20" t="s">
        <v>86</v>
      </c>
      <c r="S296" s="20" t="s">
        <v>87</v>
      </c>
      <c r="T296" s="27" t="s">
        <v>117</v>
      </c>
      <c r="U296" s="20" t="s">
        <v>118</v>
      </c>
      <c r="V296" s="20" t="s">
        <v>90</v>
      </c>
      <c r="W296" s="21"/>
    </row>
    <row r="297" customFormat="false" ht="15" hidden="false" customHeight="false" outlineLevel="0" collapsed="false">
      <c r="A297" s="20" t="n">
        <v>296</v>
      </c>
      <c r="B297" s="20" t="s">
        <v>1382</v>
      </c>
      <c r="C297" s="20" t="s">
        <v>4</v>
      </c>
      <c r="D297" s="20" t="s">
        <v>1383</v>
      </c>
      <c r="E297" s="20" t="s">
        <v>30</v>
      </c>
      <c r="F297" s="20" t="s">
        <v>1384</v>
      </c>
      <c r="G297" s="21" t="s">
        <v>1385</v>
      </c>
      <c r="H297" s="20" t="s">
        <v>1386</v>
      </c>
      <c r="I297" s="20"/>
      <c r="J297" s="20"/>
      <c r="K297" s="22" t="n">
        <v>4.5</v>
      </c>
      <c r="L297" s="23" t="n">
        <v>4</v>
      </c>
      <c r="M297" s="20" t="s">
        <v>100</v>
      </c>
      <c r="N297" s="24"/>
      <c r="O297" s="24"/>
      <c r="P297" s="20" t="s">
        <v>101</v>
      </c>
      <c r="Q297" s="20" t="s">
        <v>86</v>
      </c>
      <c r="R297" s="20" t="s">
        <v>86</v>
      </c>
      <c r="S297" s="20" t="s">
        <v>102</v>
      </c>
      <c r="T297" s="26" t="s">
        <v>103</v>
      </c>
      <c r="U297" s="20" t="s">
        <v>104</v>
      </c>
      <c r="V297" s="20" t="s">
        <v>138</v>
      </c>
      <c r="W297" s="21" t="s">
        <v>299</v>
      </c>
    </row>
    <row r="298" customFormat="false" ht="23.85" hidden="false" customHeight="false" outlineLevel="0" collapsed="false">
      <c r="A298" s="20" t="n">
        <v>297</v>
      </c>
      <c r="B298" s="20" t="s">
        <v>1387</v>
      </c>
      <c r="C298" s="20" t="s">
        <v>4</v>
      </c>
      <c r="D298" s="20" t="s">
        <v>1388</v>
      </c>
      <c r="E298" s="20" t="s">
        <v>30</v>
      </c>
      <c r="F298" s="20" t="s">
        <v>1389</v>
      </c>
      <c r="G298" s="21" t="s">
        <v>1390</v>
      </c>
      <c r="H298" s="20" t="s">
        <v>1391</v>
      </c>
      <c r="I298" s="20" t="s">
        <v>1392</v>
      </c>
      <c r="J298" s="20" t="s">
        <v>1393</v>
      </c>
      <c r="K298" s="22" t="n">
        <v>4</v>
      </c>
      <c r="L298" s="23" t="n">
        <v>1</v>
      </c>
      <c r="M298" s="20" t="s">
        <v>100</v>
      </c>
      <c r="N298" s="24" t="n">
        <v>6.5591029</v>
      </c>
      <c r="O298" s="24" t="n">
        <v>3.3680019</v>
      </c>
      <c r="P298" s="20" t="s">
        <v>125</v>
      </c>
      <c r="Q298" s="20" t="s">
        <v>86</v>
      </c>
      <c r="R298" s="20" t="s">
        <v>86</v>
      </c>
      <c r="S298" s="20" t="s">
        <v>87</v>
      </c>
      <c r="T298" s="27" t="s">
        <v>117</v>
      </c>
      <c r="U298" s="20" t="s">
        <v>118</v>
      </c>
      <c r="V298" s="20" t="s">
        <v>90</v>
      </c>
      <c r="W298" s="21"/>
    </row>
    <row r="299" customFormat="false" ht="15" hidden="false" customHeight="false" outlineLevel="0" collapsed="false">
      <c r="A299" s="20" t="n">
        <v>298</v>
      </c>
      <c r="B299" s="20" t="s">
        <v>1394</v>
      </c>
      <c r="C299" s="20" t="s">
        <v>4</v>
      </c>
      <c r="D299" s="20" t="s">
        <v>1395</v>
      </c>
      <c r="E299" s="20" t="s">
        <v>30</v>
      </c>
      <c r="F299" s="20" t="s">
        <v>1326</v>
      </c>
      <c r="G299" s="21" t="s">
        <v>1396</v>
      </c>
      <c r="H299" s="20" t="s">
        <v>1397</v>
      </c>
      <c r="I299" s="20"/>
      <c r="J299" s="20"/>
      <c r="K299" s="22"/>
      <c r="L299" s="23"/>
      <c r="M299" s="20" t="s">
        <v>100</v>
      </c>
      <c r="N299" s="24"/>
      <c r="O299" s="24"/>
      <c r="P299" s="20" t="s">
        <v>101</v>
      </c>
      <c r="Q299" s="20" t="s">
        <v>86</v>
      </c>
      <c r="R299" s="20" t="s">
        <v>86</v>
      </c>
      <c r="S299" s="20" t="s">
        <v>102</v>
      </c>
      <c r="T299" s="26" t="s">
        <v>103</v>
      </c>
      <c r="U299" s="20" t="s">
        <v>104</v>
      </c>
      <c r="V299" s="20" t="s">
        <v>90</v>
      </c>
      <c r="W299" s="21"/>
    </row>
    <row r="300" customFormat="false" ht="23.85" hidden="false" customHeight="false" outlineLevel="0" collapsed="false">
      <c r="A300" s="20" t="n">
        <v>299</v>
      </c>
      <c r="B300" s="20" t="s">
        <v>1398</v>
      </c>
      <c r="C300" s="20" t="s">
        <v>4</v>
      </c>
      <c r="D300" s="20" t="s">
        <v>1024</v>
      </c>
      <c r="E300" s="20" t="s">
        <v>30</v>
      </c>
      <c r="F300" s="20" t="s">
        <v>1399</v>
      </c>
      <c r="G300" s="21" t="s">
        <v>1400</v>
      </c>
      <c r="H300" s="20" t="s">
        <v>1401</v>
      </c>
      <c r="I300" s="20"/>
      <c r="J300" s="20" t="s">
        <v>1402</v>
      </c>
      <c r="K300" s="22"/>
      <c r="L300" s="23"/>
      <c r="M300" s="20" t="s">
        <v>100</v>
      </c>
      <c r="N300" s="24" t="n">
        <v>6.559201</v>
      </c>
      <c r="O300" s="24" t="n">
        <v>3.3686729</v>
      </c>
      <c r="P300" s="20" t="s">
        <v>125</v>
      </c>
      <c r="Q300" s="20" t="s">
        <v>86</v>
      </c>
      <c r="R300" s="20" t="s">
        <v>86</v>
      </c>
      <c r="S300" s="20" t="s">
        <v>87</v>
      </c>
      <c r="T300" s="26" t="s">
        <v>103</v>
      </c>
      <c r="U300" s="20" t="s">
        <v>104</v>
      </c>
      <c r="V300" s="20" t="s">
        <v>90</v>
      </c>
      <c r="W300" s="21"/>
    </row>
    <row r="301" customFormat="false" ht="23.85" hidden="false" customHeight="false" outlineLevel="0" collapsed="false">
      <c r="A301" s="20" t="n">
        <v>300</v>
      </c>
      <c r="B301" s="20" t="s">
        <v>1403</v>
      </c>
      <c r="C301" s="20" t="s">
        <v>4</v>
      </c>
      <c r="D301" s="20" t="s">
        <v>396</v>
      </c>
      <c r="E301" s="20" t="s">
        <v>30</v>
      </c>
      <c r="F301" s="20" t="s">
        <v>1326</v>
      </c>
      <c r="G301" s="21" t="s">
        <v>1404</v>
      </c>
      <c r="H301" s="20" t="s">
        <v>1405</v>
      </c>
      <c r="I301" s="20"/>
      <c r="J301" s="20"/>
      <c r="K301" s="22"/>
      <c r="L301" s="23"/>
      <c r="M301" s="20" t="s">
        <v>100</v>
      </c>
      <c r="N301" s="24"/>
      <c r="O301" s="24"/>
      <c r="P301" s="20" t="s">
        <v>101</v>
      </c>
      <c r="Q301" s="20" t="s">
        <v>86</v>
      </c>
      <c r="R301" s="20" t="s">
        <v>86</v>
      </c>
      <c r="S301" s="20" t="s">
        <v>102</v>
      </c>
      <c r="T301" s="26" t="s">
        <v>103</v>
      </c>
      <c r="U301" s="20" t="s">
        <v>104</v>
      </c>
      <c r="V301" s="20" t="s">
        <v>90</v>
      </c>
      <c r="W301" s="21"/>
    </row>
    <row r="302" customFormat="false" ht="23.85" hidden="false" customHeight="false" outlineLevel="0" collapsed="false">
      <c r="A302" s="20" t="n">
        <v>301</v>
      </c>
      <c r="B302" s="20" t="s">
        <v>1406</v>
      </c>
      <c r="C302" s="20" t="s">
        <v>4</v>
      </c>
      <c r="D302" s="20" t="s">
        <v>1407</v>
      </c>
      <c r="E302" s="20" t="s">
        <v>30</v>
      </c>
      <c r="F302" s="20" t="s">
        <v>1326</v>
      </c>
      <c r="G302" s="21" t="s">
        <v>1408</v>
      </c>
      <c r="H302" s="20" t="s">
        <v>1409</v>
      </c>
      <c r="I302" s="20"/>
      <c r="J302" s="20"/>
      <c r="K302" s="22" t="n">
        <v>4.5</v>
      </c>
      <c r="L302" s="23" t="n">
        <v>2</v>
      </c>
      <c r="M302" s="20" t="s">
        <v>100</v>
      </c>
      <c r="N302" s="24"/>
      <c r="O302" s="24"/>
      <c r="P302" s="20" t="s">
        <v>101</v>
      </c>
      <c r="Q302" s="20" t="s">
        <v>86</v>
      </c>
      <c r="R302" s="20" t="s">
        <v>86</v>
      </c>
      <c r="S302" s="20" t="s">
        <v>102</v>
      </c>
      <c r="T302" s="26" t="s">
        <v>103</v>
      </c>
      <c r="U302" s="20" t="s">
        <v>104</v>
      </c>
      <c r="V302" s="20" t="s">
        <v>90</v>
      </c>
      <c r="W302" s="21"/>
    </row>
    <row r="303" customFormat="false" ht="15" hidden="false" customHeight="false" outlineLevel="0" collapsed="false">
      <c r="A303" s="20" t="n">
        <v>302</v>
      </c>
      <c r="B303" s="20" t="s">
        <v>1410</v>
      </c>
      <c r="C303" s="20" t="s">
        <v>4</v>
      </c>
      <c r="D303" s="20" t="s">
        <v>1411</v>
      </c>
      <c r="E303" s="20" t="s">
        <v>30</v>
      </c>
      <c r="F303" s="20" t="s">
        <v>1412</v>
      </c>
      <c r="G303" s="21" t="s">
        <v>1411</v>
      </c>
      <c r="H303" s="20"/>
      <c r="I303" s="20"/>
      <c r="J303" s="20"/>
      <c r="K303" s="22" t="n">
        <v>4.9</v>
      </c>
      <c r="L303" s="23" t="n">
        <v>15</v>
      </c>
      <c r="M303" s="20" t="s">
        <v>84</v>
      </c>
      <c r="N303" s="24" t="n">
        <v>6.56218</v>
      </c>
      <c r="O303" s="24" t="n">
        <v>3.37029</v>
      </c>
      <c r="P303" s="20" t="s">
        <v>85</v>
      </c>
      <c r="Q303" s="20" t="s">
        <v>86</v>
      </c>
      <c r="R303" s="20" t="s">
        <v>86</v>
      </c>
      <c r="S303" s="20" t="s">
        <v>87</v>
      </c>
      <c r="T303" s="25" t="s">
        <v>88</v>
      </c>
      <c r="U303" s="20" t="s">
        <v>89</v>
      </c>
      <c r="V303" s="20" t="s">
        <v>90</v>
      </c>
      <c r="W303" s="21"/>
    </row>
    <row r="304" customFormat="false" ht="23.85" hidden="false" customHeight="false" outlineLevel="0" collapsed="false">
      <c r="A304" s="20" t="n">
        <v>303</v>
      </c>
      <c r="B304" s="20" t="s">
        <v>1413</v>
      </c>
      <c r="C304" s="20" t="s">
        <v>4</v>
      </c>
      <c r="D304" s="20" t="s">
        <v>400</v>
      </c>
      <c r="E304" s="20" t="s">
        <v>30</v>
      </c>
      <c r="F304" s="20" t="s">
        <v>1322</v>
      </c>
      <c r="G304" s="21" t="s">
        <v>401</v>
      </c>
      <c r="H304" s="20" t="s">
        <v>1414</v>
      </c>
      <c r="I304" s="20"/>
      <c r="J304" s="20" t="s">
        <v>1415</v>
      </c>
      <c r="K304" s="22"/>
      <c r="L304" s="23"/>
      <c r="M304" s="20" t="s">
        <v>100</v>
      </c>
      <c r="N304" s="24" t="n">
        <v>6.5599172</v>
      </c>
      <c r="O304" s="24" t="n">
        <v>3.3696366</v>
      </c>
      <c r="P304" s="20" t="s">
        <v>125</v>
      </c>
      <c r="Q304" s="20" t="s">
        <v>86</v>
      </c>
      <c r="R304" s="20" t="s">
        <v>86</v>
      </c>
      <c r="S304" s="20" t="s">
        <v>87</v>
      </c>
      <c r="T304" s="26" t="s">
        <v>103</v>
      </c>
      <c r="U304" s="20" t="s">
        <v>104</v>
      </c>
      <c r="V304" s="20" t="s">
        <v>90</v>
      </c>
      <c r="W304" s="21"/>
    </row>
    <row r="305" customFormat="false" ht="15" hidden="false" customHeight="false" outlineLevel="0" collapsed="false">
      <c r="A305" s="20" t="n">
        <v>304</v>
      </c>
      <c r="B305" s="20" t="s">
        <v>1416</v>
      </c>
      <c r="C305" s="20" t="s">
        <v>4</v>
      </c>
      <c r="D305" s="20" t="s">
        <v>301</v>
      </c>
      <c r="E305" s="20" t="s">
        <v>30</v>
      </c>
      <c r="F305" s="20" t="s">
        <v>1417</v>
      </c>
      <c r="G305" s="21" t="s">
        <v>303</v>
      </c>
      <c r="H305" s="20" t="s">
        <v>1418</v>
      </c>
      <c r="I305" s="20"/>
      <c r="J305" s="20" t="s">
        <v>1419</v>
      </c>
      <c r="K305" s="22"/>
      <c r="L305" s="23"/>
      <c r="M305" s="20" t="s">
        <v>100</v>
      </c>
      <c r="N305" s="24" t="n">
        <v>6.5584713</v>
      </c>
      <c r="O305" s="24" t="n">
        <v>3.3695743</v>
      </c>
      <c r="P305" s="20" t="s">
        <v>125</v>
      </c>
      <c r="Q305" s="20" t="s">
        <v>86</v>
      </c>
      <c r="R305" s="20" t="s">
        <v>86</v>
      </c>
      <c r="S305" s="20" t="s">
        <v>87</v>
      </c>
      <c r="T305" s="26" t="s">
        <v>103</v>
      </c>
      <c r="U305" s="20" t="s">
        <v>104</v>
      </c>
      <c r="V305" s="20" t="s">
        <v>90</v>
      </c>
      <c r="W305" s="21"/>
    </row>
    <row r="306" customFormat="false" ht="15" hidden="false" customHeight="false" outlineLevel="0" collapsed="false">
      <c r="A306" s="20" t="n">
        <v>305</v>
      </c>
      <c r="B306" s="20" t="s">
        <v>1420</v>
      </c>
      <c r="C306" s="20" t="s">
        <v>4</v>
      </c>
      <c r="D306" s="20" t="s">
        <v>1421</v>
      </c>
      <c r="E306" s="20" t="s">
        <v>30</v>
      </c>
      <c r="F306" s="20" t="s">
        <v>1346</v>
      </c>
      <c r="G306" s="21" t="s">
        <v>1422</v>
      </c>
      <c r="H306" s="20" t="s">
        <v>1423</v>
      </c>
      <c r="I306" s="20"/>
      <c r="J306" s="20"/>
      <c r="K306" s="22"/>
      <c r="L306" s="23"/>
      <c r="M306" s="20" t="s">
        <v>100</v>
      </c>
      <c r="N306" s="24"/>
      <c r="O306" s="24"/>
      <c r="P306" s="20" t="s">
        <v>101</v>
      </c>
      <c r="Q306" s="20" t="s">
        <v>86</v>
      </c>
      <c r="R306" s="20" t="s">
        <v>86</v>
      </c>
      <c r="S306" s="20" t="s">
        <v>102</v>
      </c>
      <c r="T306" s="26" t="s">
        <v>103</v>
      </c>
      <c r="U306" s="20" t="s">
        <v>104</v>
      </c>
      <c r="V306" s="20" t="s">
        <v>90</v>
      </c>
      <c r="W306" s="21"/>
    </row>
    <row r="307" customFormat="false" ht="23.85" hidden="false" customHeight="false" outlineLevel="0" collapsed="false">
      <c r="A307" s="20" t="n">
        <v>306</v>
      </c>
      <c r="B307" s="20" t="s">
        <v>1424</v>
      </c>
      <c r="C307" s="20" t="s">
        <v>4</v>
      </c>
      <c r="D307" s="20" t="s">
        <v>1425</v>
      </c>
      <c r="E307" s="20" t="s">
        <v>30</v>
      </c>
      <c r="F307" s="20" t="s">
        <v>1346</v>
      </c>
      <c r="G307" s="21" t="s">
        <v>1426</v>
      </c>
      <c r="H307" s="20" t="s">
        <v>1427</v>
      </c>
      <c r="I307" s="20"/>
      <c r="J307" s="20"/>
      <c r="K307" s="22"/>
      <c r="L307" s="23"/>
      <c r="M307" s="20" t="s">
        <v>100</v>
      </c>
      <c r="N307" s="24"/>
      <c r="O307" s="24"/>
      <c r="P307" s="20" t="s">
        <v>101</v>
      </c>
      <c r="Q307" s="20" t="s">
        <v>86</v>
      </c>
      <c r="R307" s="20" t="s">
        <v>86</v>
      </c>
      <c r="S307" s="20" t="s">
        <v>102</v>
      </c>
      <c r="T307" s="26" t="s">
        <v>103</v>
      </c>
      <c r="U307" s="20" t="s">
        <v>104</v>
      </c>
      <c r="V307" s="20" t="s">
        <v>90</v>
      </c>
      <c r="W307" s="21"/>
    </row>
    <row r="308" customFormat="false" ht="15" hidden="false" customHeight="false" outlineLevel="0" collapsed="false">
      <c r="A308" s="20" t="n">
        <v>307</v>
      </c>
      <c r="B308" s="20" t="s">
        <v>1428</v>
      </c>
      <c r="C308" s="20" t="s">
        <v>4</v>
      </c>
      <c r="D308" s="20" t="s">
        <v>1153</v>
      </c>
      <c r="E308" s="20" t="s">
        <v>30</v>
      </c>
      <c r="F308" s="20" t="s">
        <v>1429</v>
      </c>
      <c r="G308" s="21" t="s">
        <v>1430</v>
      </c>
      <c r="H308" s="20" t="s">
        <v>1431</v>
      </c>
      <c r="I308" s="20"/>
      <c r="J308" s="20" t="s">
        <v>1432</v>
      </c>
      <c r="K308" s="22" t="n">
        <v>5</v>
      </c>
      <c r="L308" s="23" t="n">
        <v>1</v>
      </c>
      <c r="M308" s="20" t="s">
        <v>100</v>
      </c>
      <c r="N308" s="24" t="n">
        <v>6.5576513</v>
      </c>
      <c r="O308" s="24" t="n">
        <v>3.370717</v>
      </c>
      <c r="P308" s="20" t="s">
        <v>110</v>
      </c>
      <c r="Q308" s="20" t="s">
        <v>86</v>
      </c>
      <c r="R308" s="20" t="s">
        <v>86</v>
      </c>
      <c r="S308" s="20" t="s">
        <v>87</v>
      </c>
      <c r="T308" s="26" t="s">
        <v>103</v>
      </c>
      <c r="U308" s="20" t="s">
        <v>104</v>
      </c>
      <c r="V308" s="20" t="s">
        <v>90</v>
      </c>
      <c r="W308" s="21"/>
    </row>
    <row r="309" customFormat="false" ht="15" hidden="false" customHeight="false" outlineLevel="0" collapsed="false">
      <c r="A309" s="20" t="n">
        <v>308</v>
      </c>
      <c r="B309" s="20" t="s">
        <v>1433</v>
      </c>
      <c r="C309" s="20" t="s">
        <v>4</v>
      </c>
      <c r="D309" s="20" t="s">
        <v>1434</v>
      </c>
      <c r="E309" s="20" t="s">
        <v>30</v>
      </c>
      <c r="F309" s="20" t="s">
        <v>1346</v>
      </c>
      <c r="G309" s="21" t="s">
        <v>1435</v>
      </c>
      <c r="H309" s="20" t="s">
        <v>1436</v>
      </c>
      <c r="I309" s="20"/>
      <c r="J309" s="20"/>
      <c r="K309" s="22"/>
      <c r="L309" s="23"/>
      <c r="M309" s="20" t="s">
        <v>100</v>
      </c>
      <c r="N309" s="24"/>
      <c r="O309" s="24"/>
      <c r="P309" s="20" t="s">
        <v>101</v>
      </c>
      <c r="Q309" s="20" t="s">
        <v>86</v>
      </c>
      <c r="R309" s="20" t="s">
        <v>86</v>
      </c>
      <c r="S309" s="20" t="s">
        <v>102</v>
      </c>
      <c r="T309" s="26" t="s">
        <v>103</v>
      </c>
      <c r="U309" s="20" t="s">
        <v>104</v>
      </c>
      <c r="V309" s="20" t="s">
        <v>90</v>
      </c>
      <c r="W309" s="21"/>
    </row>
    <row r="310" customFormat="false" ht="15" hidden="false" customHeight="false" outlineLevel="0" collapsed="false">
      <c r="A310" s="20" t="n">
        <v>309</v>
      </c>
      <c r="B310" s="20" t="s">
        <v>1437</v>
      </c>
      <c r="C310" s="20" t="s">
        <v>4</v>
      </c>
      <c r="D310" s="20" t="s">
        <v>1438</v>
      </c>
      <c r="E310" s="20" t="s">
        <v>30</v>
      </c>
      <c r="F310" s="20" t="s">
        <v>1322</v>
      </c>
      <c r="G310" s="21" t="s">
        <v>1438</v>
      </c>
      <c r="H310" s="20" t="s">
        <v>1439</v>
      </c>
      <c r="I310" s="20"/>
      <c r="J310" s="20"/>
      <c r="K310" s="22"/>
      <c r="L310" s="23"/>
      <c r="M310" s="20" t="s">
        <v>100</v>
      </c>
      <c r="N310" s="24" t="n">
        <v>6.56373</v>
      </c>
      <c r="O310" s="24" t="n">
        <v>3.36799</v>
      </c>
      <c r="P310" s="20" t="s">
        <v>85</v>
      </c>
      <c r="Q310" s="20" t="s">
        <v>86</v>
      </c>
      <c r="R310" s="20" t="s">
        <v>86</v>
      </c>
      <c r="S310" s="20" t="s">
        <v>87</v>
      </c>
      <c r="T310" s="26" t="s">
        <v>103</v>
      </c>
      <c r="U310" s="20" t="s">
        <v>104</v>
      </c>
      <c r="V310" s="20" t="s">
        <v>90</v>
      </c>
      <c r="W310" s="21"/>
    </row>
    <row r="311" customFormat="false" ht="15" hidden="false" customHeight="false" outlineLevel="0" collapsed="false">
      <c r="A311" s="20" t="n">
        <v>310</v>
      </c>
      <c r="B311" s="20" t="s">
        <v>1440</v>
      </c>
      <c r="C311" s="20" t="s">
        <v>4</v>
      </c>
      <c r="D311" s="20" t="s">
        <v>1441</v>
      </c>
      <c r="E311" s="20" t="s">
        <v>30</v>
      </c>
      <c r="F311" s="20" t="s">
        <v>1442</v>
      </c>
      <c r="G311" s="21" t="s">
        <v>1443</v>
      </c>
      <c r="H311" s="20"/>
      <c r="I311" s="20" t="s">
        <v>1444</v>
      </c>
      <c r="J311" s="20" t="s">
        <v>1445</v>
      </c>
      <c r="K311" s="22" t="n">
        <v>4.5</v>
      </c>
      <c r="L311" s="23" t="n">
        <v>17</v>
      </c>
      <c r="M311" s="20" t="s">
        <v>84</v>
      </c>
      <c r="N311" s="24" t="n">
        <v>6.5604953</v>
      </c>
      <c r="O311" s="24" t="n">
        <v>3.3698959</v>
      </c>
      <c r="P311" s="20" t="s">
        <v>125</v>
      </c>
      <c r="Q311" s="20" t="s">
        <v>86</v>
      </c>
      <c r="R311" s="20" t="s">
        <v>86</v>
      </c>
      <c r="S311" s="20" t="s">
        <v>87</v>
      </c>
      <c r="T311" s="25" t="s">
        <v>88</v>
      </c>
      <c r="U311" s="20" t="s">
        <v>89</v>
      </c>
      <c r="V311" s="20" t="s">
        <v>90</v>
      </c>
      <c r="W311" s="21"/>
    </row>
    <row r="312" customFormat="false" ht="15" hidden="false" customHeight="false" outlineLevel="0" collapsed="false">
      <c r="A312" s="20" t="n">
        <v>311</v>
      </c>
      <c r="B312" s="20" t="s">
        <v>1446</v>
      </c>
      <c r="C312" s="20" t="s">
        <v>4</v>
      </c>
      <c r="D312" s="20" t="s">
        <v>338</v>
      </c>
      <c r="E312" s="20" t="s">
        <v>30</v>
      </c>
      <c r="F312" s="20" t="s">
        <v>1346</v>
      </c>
      <c r="G312" s="21" t="s">
        <v>1447</v>
      </c>
      <c r="H312" s="20" t="s">
        <v>1448</v>
      </c>
      <c r="I312" s="20"/>
      <c r="J312" s="20"/>
      <c r="K312" s="22"/>
      <c r="L312" s="23"/>
      <c r="M312" s="20" t="s">
        <v>100</v>
      </c>
      <c r="N312" s="24"/>
      <c r="O312" s="24"/>
      <c r="P312" s="20" t="s">
        <v>101</v>
      </c>
      <c r="Q312" s="20" t="s">
        <v>86</v>
      </c>
      <c r="R312" s="20" t="s">
        <v>86</v>
      </c>
      <c r="S312" s="20" t="s">
        <v>102</v>
      </c>
      <c r="T312" s="26" t="s">
        <v>103</v>
      </c>
      <c r="U312" s="20" t="s">
        <v>104</v>
      </c>
      <c r="V312" s="20" t="s">
        <v>90</v>
      </c>
      <c r="W312" s="21"/>
    </row>
    <row r="313" customFormat="false" ht="23.85" hidden="false" customHeight="false" outlineLevel="0" collapsed="false">
      <c r="A313" s="20" t="n">
        <v>312</v>
      </c>
      <c r="B313" s="20" t="s">
        <v>1449</v>
      </c>
      <c r="C313" s="20" t="s">
        <v>4</v>
      </c>
      <c r="D313" s="20" t="s">
        <v>346</v>
      </c>
      <c r="E313" s="20" t="s">
        <v>30</v>
      </c>
      <c r="F313" s="20" t="s">
        <v>1322</v>
      </c>
      <c r="G313" s="21" t="s">
        <v>751</v>
      </c>
      <c r="H313" s="20" t="s">
        <v>1450</v>
      </c>
      <c r="I313" s="20"/>
      <c r="J313" s="20" t="s">
        <v>1451</v>
      </c>
      <c r="K313" s="22"/>
      <c r="L313" s="23"/>
      <c r="M313" s="20" t="s">
        <v>100</v>
      </c>
      <c r="N313" s="24" t="n">
        <v>6.5599016</v>
      </c>
      <c r="O313" s="24" t="n">
        <v>3.3700333</v>
      </c>
      <c r="P313" s="20" t="s">
        <v>125</v>
      </c>
      <c r="Q313" s="20" t="s">
        <v>86</v>
      </c>
      <c r="R313" s="20" t="s">
        <v>86</v>
      </c>
      <c r="S313" s="20" t="s">
        <v>87</v>
      </c>
      <c r="T313" s="26" t="s">
        <v>103</v>
      </c>
      <c r="U313" s="20" t="s">
        <v>104</v>
      </c>
      <c r="V313" s="20" t="s">
        <v>90</v>
      </c>
      <c r="W313" s="21"/>
    </row>
    <row r="314" customFormat="false" ht="15" hidden="false" customHeight="false" outlineLevel="0" collapsed="false">
      <c r="A314" s="20" t="n">
        <v>313</v>
      </c>
      <c r="B314" s="20" t="s">
        <v>1452</v>
      </c>
      <c r="C314" s="20" t="s">
        <v>4</v>
      </c>
      <c r="D314" s="20" t="s">
        <v>1453</v>
      </c>
      <c r="E314" s="20" t="s">
        <v>30</v>
      </c>
      <c r="F314" s="20" t="s">
        <v>710</v>
      </c>
      <c r="G314" s="21" t="s">
        <v>1454</v>
      </c>
      <c r="H314" s="20" t="s">
        <v>1455</v>
      </c>
      <c r="I314" s="20"/>
      <c r="J314" s="20"/>
      <c r="K314" s="22"/>
      <c r="L314" s="23"/>
      <c r="M314" s="20" t="s">
        <v>100</v>
      </c>
      <c r="N314" s="24"/>
      <c r="O314" s="24"/>
      <c r="P314" s="20" t="s">
        <v>101</v>
      </c>
      <c r="Q314" s="20" t="s">
        <v>86</v>
      </c>
      <c r="R314" s="20" t="s">
        <v>86</v>
      </c>
      <c r="S314" s="20" t="s">
        <v>102</v>
      </c>
      <c r="T314" s="26" t="s">
        <v>103</v>
      </c>
      <c r="U314" s="20" t="s">
        <v>104</v>
      </c>
      <c r="V314" s="20" t="s">
        <v>90</v>
      </c>
      <c r="W314" s="21"/>
    </row>
    <row r="315" customFormat="false" ht="15" hidden="false" customHeight="false" outlineLevel="0" collapsed="false">
      <c r="A315" s="20" t="n">
        <v>314</v>
      </c>
      <c r="B315" s="20" t="s">
        <v>1456</v>
      </c>
      <c r="C315" s="20" t="s">
        <v>4</v>
      </c>
      <c r="D315" s="20" t="s">
        <v>1457</v>
      </c>
      <c r="E315" s="20" t="s">
        <v>30</v>
      </c>
      <c r="F315" s="20" t="s">
        <v>1458</v>
      </c>
      <c r="G315" s="21" t="s">
        <v>1459</v>
      </c>
      <c r="H315" s="20" t="s">
        <v>1460</v>
      </c>
      <c r="I315" s="20" t="s">
        <v>1461</v>
      </c>
      <c r="J315" s="20" t="s">
        <v>1462</v>
      </c>
      <c r="K315" s="22" t="n">
        <v>4.3</v>
      </c>
      <c r="L315" s="23" t="n">
        <v>29</v>
      </c>
      <c r="M315" s="20" t="s">
        <v>100</v>
      </c>
      <c r="N315" s="24" t="n">
        <v>6.5602701</v>
      </c>
      <c r="O315" s="24" t="n">
        <v>3.3687015</v>
      </c>
      <c r="P315" s="20" t="s">
        <v>110</v>
      </c>
      <c r="Q315" s="20" t="s">
        <v>86</v>
      </c>
      <c r="R315" s="20" t="s">
        <v>86</v>
      </c>
      <c r="S315" s="20" t="s">
        <v>87</v>
      </c>
      <c r="T315" s="27" t="s">
        <v>117</v>
      </c>
      <c r="U315" s="20" t="s">
        <v>118</v>
      </c>
      <c r="V315" s="20" t="s">
        <v>90</v>
      </c>
      <c r="W315" s="21"/>
    </row>
    <row r="316" customFormat="false" ht="23.85" hidden="false" customHeight="false" outlineLevel="0" collapsed="false">
      <c r="A316" s="20" t="n">
        <v>315</v>
      </c>
      <c r="B316" s="20" t="s">
        <v>1463</v>
      </c>
      <c r="C316" s="20" t="s">
        <v>4</v>
      </c>
      <c r="D316" s="20" t="s">
        <v>1464</v>
      </c>
      <c r="E316" s="20" t="s">
        <v>30</v>
      </c>
      <c r="F316" s="20" t="s">
        <v>1326</v>
      </c>
      <c r="G316" s="21" t="s">
        <v>1465</v>
      </c>
      <c r="H316" s="20" t="s">
        <v>1466</v>
      </c>
      <c r="I316" s="20"/>
      <c r="J316" s="20"/>
      <c r="K316" s="22"/>
      <c r="L316" s="23"/>
      <c r="M316" s="20" t="s">
        <v>100</v>
      </c>
      <c r="N316" s="24"/>
      <c r="O316" s="24"/>
      <c r="P316" s="20" t="s">
        <v>101</v>
      </c>
      <c r="Q316" s="20" t="s">
        <v>86</v>
      </c>
      <c r="R316" s="20" t="s">
        <v>86</v>
      </c>
      <c r="S316" s="20" t="s">
        <v>102</v>
      </c>
      <c r="T316" s="26" t="s">
        <v>103</v>
      </c>
      <c r="U316" s="20" t="s">
        <v>104</v>
      </c>
      <c r="V316" s="20" t="s">
        <v>90</v>
      </c>
      <c r="W316" s="21"/>
    </row>
    <row r="317" customFormat="false" ht="23.85" hidden="false" customHeight="false" outlineLevel="0" collapsed="false">
      <c r="A317" s="20" t="n">
        <v>316</v>
      </c>
      <c r="B317" s="20" t="s">
        <v>1467</v>
      </c>
      <c r="C317" s="20" t="s">
        <v>4</v>
      </c>
      <c r="D317" s="20" t="s">
        <v>1024</v>
      </c>
      <c r="E317" s="20" t="s">
        <v>30</v>
      </c>
      <c r="F317" s="20" t="s">
        <v>1399</v>
      </c>
      <c r="G317" s="21" t="s">
        <v>1468</v>
      </c>
      <c r="H317" s="20" t="s">
        <v>1469</v>
      </c>
      <c r="I317" s="20"/>
      <c r="J317" s="20" t="s">
        <v>1470</v>
      </c>
      <c r="K317" s="22" t="n">
        <v>4.6</v>
      </c>
      <c r="L317" s="23" t="n">
        <v>7</v>
      </c>
      <c r="M317" s="20" t="s">
        <v>100</v>
      </c>
      <c r="N317" s="24" t="n">
        <v>6.5592183</v>
      </c>
      <c r="O317" s="24" t="n">
        <v>3.368699</v>
      </c>
      <c r="P317" s="20" t="s">
        <v>125</v>
      </c>
      <c r="Q317" s="20" t="s">
        <v>86</v>
      </c>
      <c r="R317" s="20" t="s">
        <v>86</v>
      </c>
      <c r="S317" s="20" t="s">
        <v>87</v>
      </c>
      <c r="T317" s="26" t="s">
        <v>103</v>
      </c>
      <c r="U317" s="20" t="s">
        <v>104</v>
      </c>
      <c r="V317" s="20" t="s">
        <v>90</v>
      </c>
      <c r="W317" s="21"/>
    </row>
    <row r="318" customFormat="false" ht="23.85" hidden="false" customHeight="false" outlineLevel="0" collapsed="false">
      <c r="A318" s="20" t="n">
        <v>317</v>
      </c>
      <c r="B318" s="20" t="s">
        <v>1471</v>
      </c>
      <c r="C318" s="20" t="s">
        <v>4</v>
      </c>
      <c r="D318" s="20" t="s">
        <v>1472</v>
      </c>
      <c r="E318" s="20" t="s">
        <v>30</v>
      </c>
      <c r="F318" s="20" t="s">
        <v>1473</v>
      </c>
      <c r="G318" s="21" t="s">
        <v>1474</v>
      </c>
      <c r="H318" s="20" t="s">
        <v>1475</v>
      </c>
      <c r="I318" s="20"/>
      <c r="J318" s="20" t="s">
        <v>1476</v>
      </c>
      <c r="K318" s="22"/>
      <c r="L318" s="23"/>
      <c r="M318" s="20" t="s">
        <v>100</v>
      </c>
      <c r="N318" s="24" t="n">
        <v>6.5534611</v>
      </c>
      <c r="O318" s="24" t="n">
        <v>3.3681397</v>
      </c>
      <c r="P318" s="20" t="s">
        <v>125</v>
      </c>
      <c r="Q318" s="20" t="s">
        <v>86</v>
      </c>
      <c r="R318" s="20" t="s">
        <v>86</v>
      </c>
      <c r="S318" s="20" t="s">
        <v>87</v>
      </c>
      <c r="T318" s="26" t="s">
        <v>103</v>
      </c>
      <c r="U318" s="20" t="s">
        <v>104</v>
      </c>
      <c r="V318" s="20" t="s">
        <v>90</v>
      </c>
      <c r="W318" s="21"/>
    </row>
    <row r="319" customFormat="false" ht="23.85" hidden="false" customHeight="false" outlineLevel="0" collapsed="false">
      <c r="A319" s="20" t="n">
        <v>318</v>
      </c>
      <c r="B319" s="20" t="s">
        <v>1477</v>
      </c>
      <c r="C319" s="20" t="s">
        <v>4</v>
      </c>
      <c r="D319" s="20" t="s">
        <v>1478</v>
      </c>
      <c r="E319" s="20" t="s">
        <v>30</v>
      </c>
      <c r="F319" s="20" t="s">
        <v>1479</v>
      </c>
      <c r="G319" s="21" t="s">
        <v>1480</v>
      </c>
      <c r="H319" s="20" t="s">
        <v>1481</v>
      </c>
      <c r="I319" s="20"/>
      <c r="J319" s="20" t="s">
        <v>1482</v>
      </c>
      <c r="K319" s="22" t="n">
        <v>5</v>
      </c>
      <c r="L319" s="23" t="n">
        <v>2</v>
      </c>
      <c r="M319" s="20" t="s">
        <v>100</v>
      </c>
      <c r="N319" s="24" t="n">
        <v>6.5570138</v>
      </c>
      <c r="O319" s="24" t="n">
        <v>3.3699421</v>
      </c>
      <c r="P319" s="20" t="s">
        <v>125</v>
      </c>
      <c r="Q319" s="20" t="s">
        <v>86</v>
      </c>
      <c r="R319" s="20" t="s">
        <v>86</v>
      </c>
      <c r="S319" s="20" t="s">
        <v>87</v>
      </c>
      <c r="T319" s="26" t="s">
        <v>103</v>
      </c>
      <c r="U319" s="20" t="s">
        <v>104</v>
      </c>
      <c r="V319" s="20" t="s">
        <v>90</v>
      </c>
      <c r="W319" s="21"/>
    </row>
    <row r="320" customFormat="false" ht="15" hidden="false" customHeight="false" outlineLevel="0" collapsed="false">
      <c r="A320" s="20" t="n">
        <v>319</v>
      </c>
      <c r="B320" s="20" t="s">
        <v>1483</v>
      </c>
      <c r="C320" s="20" t="s">
        <v>4</v>
      </c>
      <c r="D320" s="20" t="s">
        <v>1484</v>
      </c>
      <c r="E320" s="20" t="s">
        <v>30</v>
      </c>
      <c r="F320" s="20" t="s">
        <v>1384</v>
      </c>
      <c r="G320" s="21" t="s">
        <v>1485</v>
      </c>
      <c r="H320" s="20" t="s">
        <v>1486</v>
      </c>
      <c r="I320" s="20"/>
      <c r="J320" s="20"/>
      <c r="K320" s="22" t="n">
        <v>5</v>
      </c>
      <c r="L320" s="23" t="n">
        <v>2</v>
      </c>
      <c r="M320" s="20" t="s">
        <v>100</v>
      </c>
      <c r="N320" s="24"/>
      <c r="O320" s="24"/>
      <c r="P320" s="20" t="s">
        <v>101</v>
      </c>
      <c r="Q320" s="20" t="s">
        <v>86</v>
      </c>
      <c r="R320" s="20" t="s">
        <v>86</v>
      </c>
      <c r="S320" s="20" t="s">
        <v>102</v>
      </c>
      <c r="T320" s="26" t="s">
        <v>103</v>
      </c>
      <c r="U320" s="20" t="s">
        <v>104</v>
      </c>
      <c r="V320" s="20" t="s">
        <v>138</v>
      </c>
      <c r="W320" s="21" t="s">
        <v>299</v>
      </c>
    </row>
    <row r="321" customFormat="false" ht="23.85" hidden="false" customHeight="false" outlineLevel="0" collapsed="false">
      <c r="A321" s="20" t="n">
        <v>320</v>
      </c>
      <c r="B321" s="20" t="s">
        <v>1487</v>
      </c>
      <c r="C321" s="20" t="s">
        <v>4</v>
      </c>
      <c r="D321" s="20" t="s">
        <v>1488</v>
      </c>
      <c r="E321" s="20" t="s">
        <v>30</v>
      </c>
      <c r="F321" s="20" t="s">
        <v>1489</v>
      </c>
      <c r="G321" s="21" t="s">
        <v>1490</v>
      </c>
      <c r="H321" s="20" t="s">
        <v>1491</v>
      </c>
      <c r="I321" s="20" t="s">
        <v>1492</v>
      </c>
      <c r="J321" s="20" t="s">
        <v>1493</v>
      </c>
      <c r="K321" s="22" t="n">
        <v>4.7</v>
      </c>
      <c r="L321" s="23" t="n">
        <v>22</v>
      </c>
      <c r="M321" s="20" t="s">
        <v>100</v>
      </c>
      <c r="N321" s="24" t="n">
        <v>6.556829</v>
      </c>
      <c r="O321" s="24" t="n">
        <v>3.3699968</v>
      </c>
      <c r="P321" s="20" t="s">
        <v>110</v>
      </c>
      <c r="Q321" s="20" t="s">
        <v>86</v>
      </c>
      <c r="R321" s="20" t="s">
        <v>86</v>
      </c>
      <c r="S321" s="20" t="s">
        <v>87</v>
      </c>
      <c r="T321" s="27" t="s">
        <v>117</v>
      </c>
      <c r="U321" s="20" t="s">
        <v>118</v>
      </c>
      <c r="V321" s="20" t="s">
        <v>90</v>
      </c>
      <c r="W321" s="21"/>
    </row>
    <row r="322" customFormat="false" ht="15" hidden="false" customHeight="false" outlineLevel="0" collapsed="false">
      <c r="A322" s="20" t="n">
        <v>321</v>
      </c>
      <c r="B322" s="20" t="s">
        <v>1494</v>
      </c>
      <c r="C322" s="20" t="s">
        <v>4</v>
      </c>
      <c r="D322" s="20" t="s">
        <v>1495</v>
      </c>
      <c r="E322" s="20" t="s">
        <v>30</v>
      </c>
      <c r="F322" s="20" t="s">
        <v>1326</v>
      </c>
      <c r="G322" s="21" t="s">
        <v>1496</v>
      </c>
      <c r="H322" s="20" t="s">
        <v>1497</v>
      </c>
      <c r="I322" s="20"/>
      <c r="J322" s="20"/>
      <c r="K322" s="22" t="n">
        <v>5</v>
      </c>
      <c r="L322" s="23" t="n">
        <v>2</v>
      </c>
      <c r="M322" s="20" t="s">
        <v>100</v>
      </c>
      <c r="N322" s="24" t="n">
        <v>6.5638</v>
      </c>
      <c r="O322" s="24" t="n">
        <v>3.36731</v>
      </c>
      <c r="P322" s="20" t="s">
        <v>110</v>
      </c>
      <c r="Q322" s="20" t="s">
        <v>86</v>
      </c>
      <c r="R322" s="20" t="s">
        <v>86</v>
      </c>
      <c r="S322" s="20" t="s">
        <v>87</v>
      </c>
      <c r="T322" s="26" t="s">
        <v>103</v>
      </c>
      <c r="U322" s="20" t="s">
        <v>104</v>
      </c>
      <c r="V322" s="20" t="s">
        <v>90</v>
      </c>
      <c r="W322" s="21"/>
    </row>
    <row r="323" customFormat="false" ht="15" hidden="false" customHeight="false" outlineLevel="0" collapsed="false">
      <c r="A323" s="20" t="n">
        <v>322</v>
      </c>
      <c r="B323" s="20" t="s">
        <v>1498</v>
      </c>
      <c r="C323" s="20" t="s">
        <v>4</v>
      </c>
      <c r="D323" s="20" t="s">
        <v>1499</v>
      </c>
      <c r="E323" s="20" t="s">
        <v>30</v>
      </c>
      <c r="F323" s="20" t="s">
        <v>1346</v>
      </c>
      <c r="G323" s="21" t="s">
        <v>1500</v>
      </c>
      <c r="H323" s="20" t="s">
        <v>1501</v>
      </c>
      <c r="I323" s="20"/>
      <c r="J323" s="20"/>
      <c r="K323" s="22"/>
      <c r="L323" s="23"/>
      <c r="M323" s="20" t="s">
        <v>100</v>
      </c>
      <c r="N323" s="24"/>
      <c r="O323" s="24"/>
      <c r="P323" s="20" t="s">
        <v>101</v>
      </c>
      <c r="Q323" s="20" t="s">
        <v>86</v>
      </c>
      <c r="R323" s="20" t="s">
        <v>86</v>
      </c>
      <c r="S323" s="20" t="s">
        <v>102</v>
      </c>
      <c r="T323" s="26" t="s">
        <v>103</v>
      </c>
      <c r="U323" s="20" t="s">
        <v>104</v>
      </c>
      <c r="V323" s="20" t="s">
        <v>90</v>
      </c>
      <c r="W323" s="21"/>
    </row>
    <row r="324" customFormat="false" ht="15" hidden="false" customHeight="false" outlineLevel="0" collapsed="false">
      <c r="A324" s="20" t="n">
        <v>323</v>
      </c>
      <c r="B324" s="20" t="s">
        <v>1502</v>
      </c>
      <c r="C324" s="20" t="s">
        <v>4</v>
      </c>
      <c r="D324" s="20" t="s">
        <v>166</v>
      </c>
      <c r="E324" s="20" t="s">
        <v>30</v>
      </c>
      <c r="F324" s="20" t="s">
        <v>1503</v>
      </c>
      <c r="G324" s="21" t="s">
        <v>167</v>
      </c>
      <c r="H324" s="20"/>
      <c r="I324" s="20"/>
      <c r="J324" s="20"/>
      <c r="K324" s="22"/>
      <c r="L324" s="23"/>
      <c r="M324" s="20" t="s">
        <v>84</v>
      </c>
      <c r="N324" s="24"/>
      <c r="O324" s="24"/>
      <c r="P324" s="20" t="s">
        <v>101</v>
      </c>
      <c r="Q324" s="20" t="s">
        <v>86</v>
      </c>
      <c r="R324" s="20" t="s">
        <v>86</v>
      </c>
      <c r="S324" s="20" t="s">
        <v>102</v>
      </c>
      <c r="T324" s="25" t="s">
        <v>88</v>
      </c>
      <c r="U324" s="20" t="s">
        <v>89</v>
      </c>
      <c r="V324" s="20" t="s">
        <v>138</v>
      </c>
      <c r="W324" s="21" t="s">
        <v>168</v>
      </c>
    </row>
    <row r="325" customFormat="false" ht="23.85" hidden="false" customHeight="false" outlineLevel="0" collapsed="false">
      <c r="A325" s="20" t="n">
        <v>324</v>
      </c>
      <c r="B325" s="20" t="s">
        <v>1504</v>
      </c>
      <c r="C325" s="20" t="s">
        <v>4</v>
      </c>
      <c r="D325" s="20" t="s">
        <v>1505</v>
      </c>
      <c r="E325" s="20" t="s">
        <v>30</v>
      </c>
      <c r="F325" s="20" t="s">
        <v>1322</v>
      </c>
      <c r="G325" s="21" t="s">
        <v>1506</v>
      </c>
      <c r="H325" s="20" t="s">
        <v>1507</v>
      </c>
      <c r="I325" s="20" t="s">
        <v>1508</v>
      </c>
      <c r="J325" s="20" t="s">
        <v>1509</v>
      </c>
      <c r="K325" s="22" t="n">
        <v>5</v>
      </c>
      <c r="L325" s="23" t="n">
        <v>1</v>
      </c>
      <c r="M325" s="20" t="s">
        <v>100</v>
      </c>
      <c r="N325" s="24" t="n">
        <v>6.5589174</v>
      </c>
      <c r="O325" s="24" t="n">
        <v>3.3702427</v>
      </c>
      <c r="P325" s="20" t="s">
        <v>125</v>
      </c>
      <c r="Q325" s="20" t="s">
        <v>86</v>
      </c>
      <c r="R325" s="20" t="s">
        <v>86</v>
      </c>
      <c r="S325" s="20" t="s">
        <v>87</v>
      </c>
      <c r="T325" s="27" t="s">
        <v>117</v>
      </c>
      <c r="U325" s="20" t="s">
        <v>118</v>
      </c>
      <c r="V325" s="20" t="s">
        <v>90</v>
      </c>
      <c r="W325" s="21"/>
    </row>
    <row r="326" customFormat="false" ht="15" hidden="false" customHeight="false" outlineLevel="0" collapsed="false">
      <c r="A326" s="20" t="n">
        <v>325</v>
      </c>
      <c r="B326" s="20" t="s">
        <v>1510</v>
      </c>
      <c r="C326" s="20" t="s">
        <v>4</v>
      </c>
      <c r="D326" s="20" t="s">
        <v>1511</v>
      </c>
      <c r="E326" s="20" t="s">
        <v>31</v>
      </c>
      <c r="F326" s="20" t="s">
        <v>1512</v>
      </c>
      <c r="G326" s="21" t="s">
        <v>1513</v>
      </c>
      <c r="H326" s="20" t="s">
        <v>1514</v>
      </c>
      <c r="I326" s="20"/>
      <c r="J326" s="20" t="s">
        <v>1515</v>
      </c>
      <c r="K326" s="22" t="n">
        <v>4.3</v>
      </c>
      <c r="L326" s="23" t="n">
        <v>52</v>
      </c>
      <c r="M326" s="20" t="s">
        <v>100</v>
      </c>
      <c r="N326" s="24" t="n">
        <v>6.561013</v>
      </c>
      <c r="O326" s="24" t="n">
        <v>3.367377</v>
      </c>
      <c r="P326" s="20" t="s">
        <v>125</v>
      </c>
      <c r="Q326" s="20" t="s">
        <v>86</v>
      </c>
      <c r="R326" s="20" t="s">
        <v>86</v>
      </c>
      <c r="S326" s="20" t="s">
        <v>87</v>
      </c>
      <c r="T326" s="27" t="s">
        <v>117</v>
      </c>
      <c r="U326" s="20" t="s">
        <v>118</v>
      </c>
      <c r="V326" s="20" t="s">
        <v>90</v>
      </c>
      <c r="W326" s="21"/>
    </row>
    <row r="327" customFormat="false" ht="23.85" hidden="false" customHeight="false" outlineLevel="0" collapsed="false">
      <c r="A327" s="20" t="n">
        <v>326</v>
      </c>
      <c r="B327" s="20" t="s">
        <v>1516</v>
      </c>
      <c r="C327" s="20" t="s">
        <v>4</v>
      </c>
      <c r="D327" s="20" t="s">
        <v>1517</v>
      </c>
      <c r="E327" s="20" t="s">
        <v>31</v>
      </c>
      <c r="F327" s="20" t="s">
        <v>31</v>
      </c>
      <c r="G327" s="21" t="s">
        <v>1518</v>
      </c>
      <c r="H327" s="20" t="s">
        <v>1519</v>
      </c>
      <c r="I327" s="20"/>
      <c r="J327" s="20"/>
      <c r="K327" s="22"/>
      <c r="L327" s="23"/>
      <c r="M327" s="20" t="s">
        <v>100</v>
      </c>
      <c r="N327" s="24"/>
      <c r="O327" s="24"/>
      <c r="P327" s="20" t="s">
        <v>101</v>
      </c>
      <c r="Q327" s="20" t="s">
        <v>86</v>
      </c>
      <c r="R327" s="20" t="s">
        <v>86</v>
      </c>
      <c r="S327" s="20" t="s">
        <v>102</v>
      </c>
      <c r="T327" s="26" t="s">
        <v>103</v>
      </c>
      <c r="U327" s="20" t="s">
        <v>104</v>
      </c>
      <c r="V327" s="20" t="s">
        <v>90</v>
      </c>
      <c r="W327" s="21"/>
    </row>
    <row r="328" customFormat="false" ht="23.85" hidden="false" customHeight="false" outlineLevel="0" collapsed="false">
      <c r="A328" s="20" t="n">
        <v>327</v>
      </c>
      <c r="B328" s="20" t="s">
        <v>1520</v>
      </c>
      <c r="C328" s="20" t="s">
        <v>4</v>
      </c>
      <c r="D328" s="20" t="s">
        <v>1521</v>
      </c>
      <c r="E328" s="20" t="s">
        <v>31</v>
      </c>
      <c r="F328" s="20" t="s">
        <v>1522</v>
      </c>
      <c r="G328" s="21" t="s">
        <v>1523</v>
      </c>
      <c r="H328" s="20"/>
      <c r="I328" s="20"/>
      <c r="J328" s="20" t="s">
        <v>1524</v>
      </c>
      <c r="K328" s="22"/>
      <c r="L328" s="23"/>
      <c r="M328" s="20" t="s">
        <v>84</v>
      </c>
      <c r="N328" s="24" t="n">
        <v>6.5578051</v>
      </c>
      <c r="O328" s="24" t="n">
        <v>3.3673086</v>
      </c>
      <c r="P328" s="20" t="s">
        <v>125</v>
      </c>
      <c r="Q328" s="20" t="s">
        <v>86</v>
      </c>
      <c r="R328" s="20" t="s">
        <v>86</v>
      </c>
      <c r="S328" s="20" t="s">
        <v>87</v>
      </c>
      <c r="T328" s="25" t="s">
        <v>88</v>
      </c>
      <c r="U328" s="20" t="s">
        <v>89</v>
      </c>
      <c r="V328" s="20" t="s">
        <v>90</v>
      </c>
      <c r="W328" s="21"/>
    </row>
    <row r="329" customFormat="false" ht="23.85" hidden="false" customHeight="false" outlineLevel="0" collapsed="false">
      <c r="A329" s="20" t="n">
        <v>328</v>
      </c>
      <c r="B329" s="20" t="s">
        <v>1525</v>
      </c>
      <c r="C329" s="20" t="s">
        <v>4</v>
      </c>
      <c r="D329" s="20" t="s">
        <v>1526</v>
      </c>
      <c r="E329" s="20" t="s">
        <v>31</v>
      </c>
      <c r="F329" s="20" t="s">
        <v>1522</v>
      </c>
      <c r="G329" s="21" t="s">
        <v>1527</v>
      </c>
      <c r="H329" s="20"/>
      <c r="I329" s="20"/>
      <c r="J329" s="20" t="s">
        <v>1528</v>
      </c>
      <c r="K329" s="22"/>
      <c r="L329" s="23"/>
      <c r="M329" s="20" t="s">
        <v>84</v>
      </c>
      <c r="N329" s="24" t="n">
        <v>6.5590985</v>
      </c>
      <c r="O329" s="24" t="n">
        <v>3.3678272</v>
      </c>
      <c r="P329" s="20" t="s">
        <v>125</v>
      </c>
      <c r="Q329" s="20" t="s">
        <v>86</v>
      </c>
      <c r="R329" s="20" t="s">
        <v>86</v>
      </c>
      <c r="S329" s="20" t="s">
        <v>87</v>
      </c>
      <c r="T329" s="25" t="s">
        <v>88</v>
      </c>
      <c r="U329" s="20" t="s">
        <v>89</v>
      </c>
      <c r="V329" s="20" t="s">
        <v>90</v>
      </c>
      <c r="W329" s="21"/>
    </row>
    <row r="330" customFormat="false" ht="23.85" hidden="false" customHeight="false" outlineLevel="0" collapsed="false">
      <c r="A330" s="20" t="n">
        <v>329</v>
      </c>
      <c r="B330" s="20" t="s">
        <v>1529</v>
      </c>
      <c r="C330" s="20" t="s">
        <v>4</v>
      </c>
      <c r="D330" s="20" t="s">
        <v>1530</v>
      </c>
      <c r="E330" s="20" t="s">
        <v>31</v>
      </c>
      <c r="F330" s="20" t="s">
        <v>1531</v>
      </c>
      <c r="G330" s="21" t="s">
        <v>1532</v>
      </c>
      <c r="H330" s="20" t="s">
        <v>1533</v>
      </c>
      <c r="I330" s="20"/>
      <c r="J330" s="20" t="s">
        <v>1534</v>
      </c>
      <c r="K330" s="22" t="n">
        <v>5</v>
      </c>
      <c r="L330" s="23" t="n">
        <v>1</v>
      </c>
      <c r="M330" s="20" t="s">
        <v>100</v>
      </c>
      <c r="N330" s="24" t="n">
        <v>6.5589864</v>
      </c>
      <c r="O330" s="24" t="n">
        <v>3.3701392</v>
      </c>
      <c r="P330" s="20" t="s">
        <v>125</v>
      </c>
      <c r="Q330" s="20" t="s">
        <v>86</v>
      </c>
      <c r="R330" s="20" t="s">
        <v>86</v>
      </c>
      <c r="S330" s="20" t="s">
        <v>87</v>
      </c>
      <c r="T330" s="26" t="s">
        <v>103</v>
      </c>
      <c r="U330" s="20" t="s">
        <v>104</v>
      </c>
      <c r="V330" s="20" t="s">
        <v>90</v>
      </c>
      <c r="W330" s="21"/>
    </row>
    <row r="331" customFormat="false" ht="23.85" hidden="false" customHeight="false" outlineLevel="0" collapsed="false">
      <c r="A331" s="20" t="n">
        <v>330</v>
      </c>
      <c r="B331" s="20" t="s">
        <v>1535</v>
      </c>
      <c r="C331" s="20" t="s">
        <v>4</v>
      </c>
      <c r="D331" s="20" t="s">
        <v>1536</v>
      </c>
      <c r="E331" s="20" t="s">
        <v>31</v>
      </c>
      <c r="F331" s="20" t="s">
        <v>1522</v>
      </c>
      <c r="G331" s="21" t="s">
        <v>1537</v>
      </c>
      <c r="H331" s="20" t="s">
        <v>1538</v>
      </c>
      <c r="I331" s="20" t="s">
        <v>1539</v>
      </c>
      <c r="J331" s="20" t="s">
        <v>1540</v>
      </c>
      <c r="K331" s="22"/>
      <c r="L331" s="23"/>
      <c r="M331" s="20" t="s">
        <v>100</v>
      </c>
      <c r="N331" s="24" t="n">
        <v>6.5602204</v>
      </c>
      <c r="O331" s="24" t="n">
        <v>3.3689827</v>
      </c>
      <c r="P331" s="20" t="s">
        <v>125</v>
      </c>
      <c r="Q331" s="20" t="s">
        <v>86</v>
      </c>
      <c r="R331" s="20" t="s">
        <v>86</v>
      </c>
      <c r="S331" s="20" t="s">
        <v>87</v>
      </c>
      <c r="T331" s="27" t="s">
        <v>117</v>
      </c>
      <c r="U331" s="20" t="s">
        <v>118</v>
      </c>
      <c r="V331" s="20" t="s">
        <v>90</v>
      </c>
      <c r="W331" s="21"/>
    </row>
    <row r="332" customFormat="false" ht="23.85" hidden="false" customHeight="false" outlineLevel="0" collapsed="false">
      <c r="A332" s="20" t="n">
        <v>331</v>
      </c>
      <c r="B332" s="20" t="s">
        <v>1541</v>
      </c>
      <c r="C332" s="20" t="s">
        <v>4</v>
      </c>
      <c r="D332" s="20" t="s">
        <v>135</v>
      </c>
      <c r="E332" s="20" t="s">
        <v>31</v>
      </c>
      <c r="F332" s="20" t="s">
        <v>1542</v>
      </c>
      <c r="G332" s="21" t="s">
        <v>1543</v>
      </c>
      <c r="H332" s="20" t="s">
        <v>1544</v>
      </c>
      <c r="I332" s="20"/>
      <c r="J332" s="20" t="s">
        <v>1545</v>
      </c>
      <c r="K332" s="22"/>
      <c r="L332" s="23"/>
      <c r="M332" s="20" t="s">
        <v>100</v>
      </c>
      <c r="N332" s="24" t="n">
        <v>6.5594281</v>
      </c>
      <c r="O332" s="24" t="n">
        <v>3.3703472</v>
      </c>
      <c r="P332" s="20" t="s">
        <v>125</v>
      </c>
      <c r="Q332" s="20" t="s">
        <v>86</v>
      </c>
      <c r="R332" s="20" t="s">
        <v>86</v>
      </c>
      <c r="S332" s="20" t="s">
        <v>87</v>
      </c>
      <c r="T332" s="26" t="s">
        <v>103</v>
      </c>
      <c r="U332" s="20" t="s">
        <v>104</v>
      </c>
      <c r="V332" s="20" t="s">
        <v>90</v>
      </c>
      <c r="W332" s="21"/>
    </row>
    <row r="333" customFormat="false" ht="15" hidden="false" customHeight="false" outlineLevel="0" collapsed="false">
      <c r="A333" s="20" t="n">
        <v>332</v>
      </c>
      <c r="B333" s="20" t="s">
        <v>1546</v>
      </c>
      <c r="C333" s="20" t="s">
        <v>4</v>
      </c>
      <c r="D333" s="20" t="s">
        <v>1547</v>
      </c>
      <c r="E333" s="20" t="s">
        <v>31</v>
      </c>
      <c r="F333" s="20" t="s">
        <v>1548</v>
      </c>
      <c r="G333" s="21" t="s">
        <v>1547</v>
      </c>
      <c r="H333" s="20" t="s">
        <v>1549</v>
      </c>
      <c r="I333" s="20"/>
      <c r="J333" s="20"/>
      <c r="K333" s="22"/>
      <c r="L333" s="23"/>
      <c r="M333" s="20" t="s">
        <v>100</v>
      </c>
      <c r="N333" s="24" t="n">
        <v>6.57264</v>
      </c>
      <c r="O333" s="24" t="n">
        <v>3.36415</v>
      </c>
      <c r="P333" s="20" t="s">
        <v>85</v>
      </c>
      <c r="Q333" s="20" t="s">
        <v>86</v>
      </c>
      <c r="R333" s="20" t="s">
        <v>86</v>
      </c>
      <c r="S333" s="20" t="s">
        <v>87</v>
      </c>
      <c r="T333" s="26" t="s">
        <v>103</v>
      </c>
      <c r="U333" s="20" t="s">
        <v>104</v>
      </c>
      <c r="V333" s="20" t="s">
        <v>90</v>
      </c>
      <c r="W333" s="21"/>
    </row>
    <row r="334" customFormat="false" ht="23.85" hidden="false" customHeight="false" outlineLevel="0" collapsed="false">
      <c r="A334" s="20" t="n">
        <v>333</v>
      </c>
      <c r="B334" s="20" t="s">
        <v>1550</v>
      </c>
      <c r="C334" s="20" t="s">
        <v>4</v>
      </c>
      <c r="D334" s="20" t="s">
        <v>1551</v>
      </c>
      <c r="E334" s="20" t="s">
        <v>31</v>
      </c>
      <c r="F334" s="20" t="s">
        <v>1552</v>
      </c>
      <c r="G334" s="21" t="s">
        <v>1553</v>
      </c>
      <c r="H334" s="20" t="s">
        <v>1554</v>
      </c>
      <c r="I334" s="20"/>
      <c r="J334" s="20" t="s">
        <v>1555</v>
      </c>
      <c r="K334" s="22"/>
      <c r="L334" s="23"/>
      <c r="M334" s="20" t="s">
        <v>100</v>
      </c>
      <c r="N334" s="24" t="n">
        <v>6.5610132</v>
      </c>
      <c r="O334" s="24" t="n">
        <v>3.3673773</v>
      </c>
      <c r="P334" s="20" t="s">
        <v>125</v>
      </c>
      <c r="Q334" s="20" t="s">
        <v>86</v>
      </c>
      <c r="R334" s="20" t="s">
        <v>86</v>
      </c>
      <c r="S334" s="20" t="s">
        <v>87</v>
      </c>
      <c r="T334" s="26" t="s">
        <v>103</v>
      </c>
      <c r="U334" s="20" t="s">
        <v>104</v>
      </c>
      <c r="V334" s="20" t="s">
        <v>90</v>
      </c>
      <c r="W334" s="21"/>
    </row>
    <row r="335" customFormat="false" ht="23.85" hidden="false" customHeight="false" outlineLevel="0" collapsed="false">
      <c r="A335" s="20" t="n">
        <v>334</v>
      </c>
      <c r="B335" s="20" t="s">
        <v>1556</v>
      </c>
      <c r="C335" s="20" t="s">
        <v>4</v>
      </c>
      <c r="D335" s="20" t="s">
        <v>1557</v>
      </c>
      <c r="E335" s="20" t="s">
        <v>31</v>
      </c>
      <c r="F335" s="20" t="s">
        <v>1558</v>
      </c>
      <c r="G335" s="21" t="s">
        <v>1559</v>
      </c>
      <c r="H335" s="20" t="s">
        <v>1560</v>
      </c>
      <c r="I335" s="20"/>
      <c r="J335" s="20" t="s">
        <v>1561</v>
      </c>
      <c r="K335" s="22"/>
      <c r="L335" s="23"/>
      <c r="M335" s="20" t="s">
        <v>100</v>
      </c>
      <c r="N335" s="24" t="n">
        <v>6.5610132</v>
      </c>
      <c r="O335" s="24" t="n">
        <v>3.3673773</v>
      </c>
      <c r="P335" s="20" t="s">
        <v>125</v>
      </c>
      <c r="Q335" s="20" t="s">
        <v>86</v>
      </c>
      <c r="R335" s="20" t="s">
        <v>86</v>
      </c>
      <c r="S335" s="20" t="s">
        <v>87</v>
      </c>
      <c r="T335" s="26" t="s">
        <v>103</v>
      </c>
      <c r="U335" s="20" t="s">
        <v>104</v>
      </c>
      <c r="V335" s="20" t="s">
        <v>90</v>
      </c>
      <c r="W335" s="21"/>
    </row>
    <row r="336" customFormat="false" ht="23.85" hidden="false" customHeight="false" outlineLevel="0" collapsed="false">
      <c r="A336" s="20" t="n">
        <v>335</v>
      </c>
      <c r="B336" s="20" t="s">
        <v>1562</v>
      </c>
      <c r="C336" s="20" t="s">
        <v>4</v>
      </c>
      <c r="D336" s="20" t="s">
        <v>1563</v>
      </c>
      <c r="E336" s="20" t="s">
        <v>31</v>
      </c>
      <c r="F336" s="20" t="s">
        <v>1522</v>
      </c>
      <c r="G336" s="21" t="s">
        <v>1564</v>
      </c>
      <c r="H336" s="20" t="s">
        <v>1565</v>
      </c>
      <c r="I336" s="20"/>
      <c r="J336" s="20" t="s">
        <v>1566</v>
      </c>
      <c r="K336" s="22"/>
      <c r="L336" s="23"/>
      <c r="M336" s="20" t="s">
        <v>100</v>
      </c>
      <c r="N336" s="24" t="n">
        <v>6.558914</v>
      </c>
      <c r="O336" s="24" t="n">
        <v>3.369334</v>
      </c>
      <c r="P336" s="20" t="s">
        <v>125</v>
      </c>
      <c r="Q336" s="20" t="s">
        <v>86</v>
      </c>
      <c r="R336" s="20" t="s">
        <v>86</v>
      </c>
      <c r="S336" s="20" t="s">
        <v>87</v>
      </c>
      <c r="T336" s="26" t="s">
        <v>103</v>
      </c>
      <c r="U336" s="20" t="s">
        <v>104</v>
      </c>
      <c r="V336" s="20" t="s">
        <v>90</v>
      </c>
      <c r="W336" s="21"/>
    </row>
    <row r="337" customFormat="false" ht="23.85" hidden="false" customHeight="false" outlineLevel="0" collapsed="false">
      <c r="A337" s="20" t="n">
        <v>336</v>
      </c>
      <c r="B337" s="20" t="s">
        <v>1567</v>
      </c>
      <c r="C337" s="20" t="s">
        <v>4</v>
      </c>
      <c r="D337" s="20" t="s">
        <v>1568</v>
      </c>
      <c r="E337" s="20" t="s">
        <v>31</v>
      </c>
      <c r="F337" s="20" t="s">
        <v>1522</v>
      </c>
      <c r="G337" s="21" t="s">
        <v>1569</v>
      </c>
      <c r="H337" s="20" t="s">
        <v>1570</v>
      </c>
      <c r="I337" s="20"/>
      <c r="J337" s="20" t="s">
        <v>1571</v>
      </c>
      <c r="K337" s="22"/>
      <c r="L337" s="23"/>
      <c r="M337" s="20" t="s">
        <v>100</v>
      </c>
      <c r="N337" s="24" t="n">
        <v>6.5610132</v>
      </c>
      <c r="O337" s="24" t="n">
        <v>3.3673773</v>
      </c>
      <c r="P337" s="20" t="s">
        <v>125</v>
      </c>
      <c r="Q337" s="20" t="s">
        <v>86</v>
      </c>
      <c r="R337" s="20" t="s">
        <v>86</v>
      </c>
      <c r="S337" s="20" t="s">
        <v>87</v>
      </c>
      <c r="T337" s="26" t="s">
        <v>103</v>
      </c>
      <c r="U337" s="20" t="s">
        <v>104</v>
      </c>
      <c r="V337" s="20" t="s">
        <v>90</v>
      </c>
      <c r="W337" s="21"/>
    </row>
    <row r="338" customFormat="false" ht="23.85" hidden="false" customHeight="false" outlineLevel="0" collapsed="false">
      <c r="A338" s="20" t="n">
        <v>337</v>
      </c>
      <c r="B338" s="20" t="s">
        <v>1572</v>
      </c>
      <c r="C338" s="20" t="s">
        <v>4</v>
      </c>
      <c r="D338" s="20" t="s">
        <v>1573</v>
      </c>
      <c r="E338" s="20" t="s">
        <v>31</v>
      </c>
      <c r="F338" s="20" t="s">
        <v>1522</v>
      </c>
      <c r="G338" s="21" t="s">
        <v>1574</v>
      </c>
      <c r="H338" s="20" t="s">
        <v>1575</v>
      </c>
      <c r="I338" s="20" t="s">
        <v>1576</v>
      </c>
      <c r="J338" s="20" t="s">
        <v>1577</v>
      </c>
      <c r="K338" s="22" t="n">
        <v>5</v>
      </c>
      <c r="L338" s="23" t="n">
        <v>1</v>
      </c>
      <c r="M338" s="20" t="s">
        <v>100</v>
      </c>
      <c r="N338" s="24" t="n">
        <v>6.5594779</v>
      </c>
      <c r="O338" s="24" t="n">
        <v>3.3678653</v>
      </c>
      <c r="P338" s="20" t="s">
        <v>125</v>
      </c>
      <c r="Q338" s="20" t="s">
        <v>86</v>
      </c>
      <c r="R338" s="20" t="s">
        <v>86</v>
      </c>
      <c r="S338" s="20" t="s">
        <v>87</v>
      </c>
      <c r="T338" s="27" t="s">
        <v>117</v>
      </c>
      <c r="U338" s="20" t="s">
        <v>118</v>
      </c>
      <c r="V338" s="20" t="s">
        <v>90</v>
      </c>
      <c r="W338" s="21"/>
    </row>
    <row r="339" customFormat="false" ht="23.85" hidden="false" customHeight="false" outlineLevel="0" collapsed="false">
      <c r="A339" s="20" t="n">
        <v>338</v>
      </c>
      <c r="B339" s="20" t="s">
        <v>1578</v>
      </c>
      <c r="C339" s="20" t="s">
        <v>4</v>
      </c>
      <c r="D339" s="20" t="s">
        <v>535</v>
      </c>
      <c r="E339" s="20" t="s">
        <v>31</v>
      </c>
      <c r="F339" s="20" t="s">
        <v>1542</v>
      </c>
      <c r="G339" s="21" t="s">
        <v>1579</v>
      </c>
      <c r="H339" s="20" t="s">
        <v>1580</v>
      </c>
      <c r="I339" s="20" t="s">
        <v>1581</v>
      </c>
      <c r="J339" s="20" t="s">
        <v>1582</v>
      </c>
      <c r="K339" s="22" t="n">
        <v>5</v>
      </c>
      <c r="L339" s="23" t="n">
        <v>2</v>
      </c>
      <c r="M339" s="20" t="s">
        <v>100</v>
      </c>
      <c r="N339" s="24" t="n">
        <v>6.5602581</v>
      </c>
      <c r="O339" s="24" t="n">
        <v>3.3702537</v>
      </c>
      <c r="P339" s="20" t="s">
        <v>125</v>
      </c>
      <c r="Q339" s="20" t="s">
        <v>86</v>
      </c>
      <c r="R339" s="20" t="s">
        <v>86</v>
      </c>
      <c r="S339" s="20" t="s">
        <v>87</v>
      </c>
      <c r="T339" s="27" t="s">
        <v>117</v>
      </c>
      <c r="U339" s="20" t="s">
        <v>118</v>
      </c>
      <c r="V339" s="20" t="s">
        <v>90</v>
      </c>
      <c r="W339" s="21"/>
    </row>
    <row r="340" customFormat="false" ht="23.85" hidden="false" customHeight="false" outlineLevel="0" collapsed="false">
      <c r="A340" s="20" t="n">
        <v>339</v>
      </c>
      <c r="B340" s="20" t="s">
        <v>1583</v>
      </c>
      <c r="C340" s="20" t="s">
        <v>4</v>
      </c>
      <c r="D340" s="20" t="s">
        <v>1584</v>
      </c>
      <c r="E340" s="20" t="s">
        <v>31</v>
      </c>
      <c r="F340" s="20" t="s">
        <v>1522</v>
      </c>
      <c r="G340" s="21" t="s">
        <v>1585</v>
      </c>
      <c r="H340" s="20" t="s">
        <v>1586</v>
      </c>
      <c r="I340" s="20"/>
      <c r="J340" s="20" t="s">
        <v>1587</v>
      </c>
      <c r="K340" s="22"/>
      <c r="L340" s="23"/>
      <c r="M340" s="20" t="s">
        <v>100</v>
      </c>
      <c r="N340" s="24" t="n">
        <v>6.560595</v>
      </c>
      <c r="O340" s="24" t="n">
        <v>3.3695838</v>
      </c>
      <c r="P340" s="20" t="s">
        <v>125</v>
      </c>
      <c r="Q340" s="20" t="s">
        <v>86</v>
      </c>
      <c r="R340" s="20" t="s">
        <v>86</v>
      </c>
      <c r="S340" s="20" t="s">
        <v>87</v>
      </c>
      <c r="T340" s="26" t="s">
        <v>103</v>
      </c>
      <c r="U340" s="20" t="s">
        <v>104</v>
      </c>
      <c r="V340" s="20" t="s">
        <v>90</v>
      </c>
      <c r="W340" s="21"/>
    </row>
    <row r="341" customFormat="false" ht="35.05" hidden="false" customHeight="false" outlineLevel="0" collapsed="false">
      <c r="A341" s="20" t="n">
        <v>340</v>
      </c>
      <c r="B341" s="20" t="s">
        <v>1588</v>
      </c>
      <c r="C341" s="20" t="s">
        <v>4</v>
      </c>
      <c r="D341" s="20" t="s">
        <v>1589</v>
      </c>
      <c r="E341" s="20" t="s">
        <v>31</v>
      </c>
      <c r="F341" s="20" t="s">
        <v>1552</v>
      </c>
      <c r="G341" s="21" t="s">
        <v>1590</v>
      </c>
      <c r="H341" s="20" t="s">
        <v>1591</v>
      </c>
      <c r="I341" s="20"/>
      <c r="J341" s="20" t="s">
        <v>1592</v>
      </c>
      <c r="K341" s="22" t="n">
        <v>5</v>
      </c>
      <c r="L341" s="23" t="n">
        <v>1</v>
      </c>
      <c r="M341" s="20" t="s">
        <v>100</v>
      </c>
      <c r="N341" s="24" t="n">
        <v>6.5610327</v>
      </c>
      <c r="O341" s="24" t="n">
        <v>3.3672262</v>
      </c>
      <c r="P341" s="20" t="s">
        <v>125</v>
      </c>
      <c r="Q341" s="20" t="s">
        <v>86</v>
      </c>
      <c r="R341" s="20" t="s">
        <v>86</v>
      </c>
      <c r="S341" s="20" t="s">
        <v>87</v>
      </c>
      <c r="T341" s="26" t="s">
        <v>103</v>
      </c>
      <c r="U341" s="20" t="s">
        <v>104</v>
      </c>
      <c r="V341" s="20" t="s">
        <v>90</v>
      </c>
      <c r="W341" s="21"/>
    </row>
    <row r="342" customFormat="false" ht="35.05" hidden="false" customHeight="false" outlineLevel="0" collapsed="false">
      <c r="A342" s="20" t="n">
        <v>341</v>
      </c>
      <c r="B342" s="20" t="s">
        <v>1593</v>
      </c>
      <c r="C342" s="20" t="s">
        <v>4</v>
      </c>
      <c r="D342" s="20" t="s">
        <v>1594</v>
      </c>
      <c r="E342" s="20" t="s">
        <v>31</v>
      </c>
      <c r="F342" s="20" t="s">
        <v>1542</v>
      </c>
      <c r="G342" s="21" t="s">
        <v>1595</v>
      </c>
      <c r="H342" s="20" t="s">
        <v>1596</v>
      </c>
      <c r="I342" s="20" t="s">
        <v>1597</v>
      </c>
      <c r="J342" s="20" t="s">
        <v>1598</v>
      </c>
      <c r="K342" s="22"/>
      <c r="L342" s="23"/>
      <c r="M342" s="20" t="s">
        <v>100</v>
      </c>
      <c r="N342" s="24" t="n">
        <v>6.5610132</v>
      </c>
      <c r="O342" s="24" t="n">
        <v>3.3673773</v>
      </c>
      <c r="P342" s="20" t="s">
        <v>125</v>
      </c>
      <c r="Q342" s="20" t="s">
        <v>86</v>
      </c>
      <c r="R342" s="20" t="s">
        <v>86</v>
      </c>
      <c r="S342" s="20" t="s">
        <v>87</v>
      </c>
      <c r="T342" s="27" t="s">
        <v>117</v>
      </c>
      <c r="U342" s="20" t="s">
        <v>118</v>
      </c>
      <c r="V342" s="20" t="s">
        <v>90</v>
      </c>
      <c r="W342" s="21"/>
    </row>
    <row r="343" customFormat="false" ht="15" hidden="false" customHeight="false" outlineLevel="0" collapsed="false">
      <c r="A343" s="20" t="n">
        <v>342</v>
      </c>
      <c r="B343" s="20" t="s">
        <v>1599</v>
      </c>
      <c r="C343" s="20" t="s">
        <v>4</v>
      </c>
      <c r="D343" s="20" t="s">
        <v>1600</v>
      </c>
      <c r="E343" s="20" t="s">
        <v>31</v>
      </c>
      <c r="F343" s="20" t="s">
        <v>31</v>
      </c>
      <c r="G343" s="21" t="s">
        <v>1601</v>
      </c>
      <c r="H343" s="20" t="s">
        <v>1602</v>
      </c>
      <c r="I343" s="20"/>
      <c r="J343" s="20"/>
      <c r="K343" s="22"/>
      <c r="L343" s="23"/>
      <c r="M343" s="20" t="s">
        <v>100</v>
      </c>
      <c r="N343" s="24"/>
      <c r="O343" s="24"/>
      <c r="P343" s="20" t="s">
        <v>101</v>
      </c>
      <c r="Q343" s="20" t="s">
        <v>86</v>
      </c>
      <c r="R343" s="20" t="s">
        <v>86</v>
      </c>
      <c r="S343" s="20" t="s">
        <v>102</v>
      </c>
      <c r="T343" s="26" t="s">
        <v>103</v>
      </c>
      <c r="U343" s="20" t="s">
        <v>104</v>
      </c>
      <c r="V343" s="20" t="s">
        <v>90</v>
      </c>
      <c r="W343" s="21"/>
    </row>
    <row r="344" customFormat="false" ht="15" hidden="false" customHeight="false" outlineLevel="0" collapsed="false">
      <c r="A344" s="20" t="n">
        <v>343</v>
      </c>
      <c r="B344" s="20" t="s">
        <v>1603</v>
      </c>
      <c r="C344" s="20" t="s">
        <v>4</v>
      </c>
      <c r="D344" s="20" t="s">
        <v>1604</v>
      </c>
      <c r="E344" s="20" t="s">
        <v>31</v>
      </c>
      <c r="F344" s="20" t="s">
        <v>31</v>
      </c>
      <c r="G344" s="21" t="s">
        <v>1605</v>
      </c>
      <c r="H344" s="20" t="s">
        <v>1606</v>
      </c>
      <c r="I344" s="20"/>
      <c r="J344" s="20"/>
      <c r="K344" s="22"/>
      <c r="L344" s="23"/>
      <c r="M344" s="20" t="s">
        <v>100</v>
      </c>
      <c r="N344" s="24"/>
      <c r="O344" s="24"/>
      <c r="P344" s="20" t="s">
        <v>101</v>
      </c>
      <c r="Q344" s="20" t="s">
        <v>86</v>
      </c>
      <c r="R344" s="20" t="s">
        <v>86</v>
      </c>
      <c r="S344" s="20" t="s">
        <v>102</v>
      </c>
      <c r="T344" s="26" t="s">
        <v>103</v>
      </c>
      <c r="U344" s="20" t="s">
        <v>104</v>
      </c>
      <c r="V344" s="20" t="s">
        <v>90</v>
      </c>
      <c r="W344" s="21"/>
    </row>
    <row r="345" customFormat="false" ht="23.85" hidden="false" customHeight="false" outlineLevel="0" collapsed="false">
      <c r="A345" s="20" t="n">
        <v>344</v>
      </c>
      <c r="B345" s="20" t="s">
        <v>1607</v>
      </c>
      <c r="C345" s="20" t="s">
        <v>4</v>
      </c>
      <c r="D345" s="20" t="s">
        <v>1608</v>
      </c>
      <c r="E345" s="20" t="s">
        <v>31</v>
      </c>
      <c r="F345" s="20" t="s">
        <v>1522</v>
      </c>
      <c r="G345" s="21" t="s">
        <v>1609</v>
      </c>
      <c r="H345" s="20"/>
      <c r="I345" s="20"/>
      <c r="J345" s="20" t="s">
        <v>1610</v>
      </c>
      <c r="K345" s="22" t="n">
        <v>5</v>
      </c>
      <c r="L345" s="23" t="n">
        <v>1</v>
      </c>
      <c r="M345" s="20" t="s">
        <v>84</v>
      </c>
      <c r="N345" s="24" t="n">
        <v>6.5603879</v>
      </c>
      <c r="O345" s="24" t="n">
        <v>3.3691637</v>
      </c>
      <c r="P345" s="20" t="s">
        <v>125</v>
      </c>
      <c r="Q345" s="20" t="s">
        <v>86</v>
      </c>
      <c r="R345" s="20" t="s">
        <v>86</v>
      </c>
      <c r="S345" s="20" t="s">
        <v>87</v>
      </c>
      <c r="T345" s="25" t="s">
        <v>88</v>
      </c>
      <c r="U345" s="20" t="s">
        <v>89</v>
      </c>
      <c r="V345" s="20" t="s">
        <v>90</v>
      </c>
      <c r="W345" s="21"/>
    </row>
    <row r="346" customFormat="false" ht="23.85" hidden="false" customHeight="false" outlineLevel="0" collapsed="false">
      <c r="A346" s="20" t="n">
        <v>345</v>
      </c>
      <c r="B346" s="20" t="s">
        <v>1611</v>
      </c>
      <c r="C346" s="20" t="s">
        <v>4</v>
      </c>
      <c r="D346" s="20" t="s">
        <v>1612</v>
      </c>
      <c r="E346" s="20" t="s">
        <v>31</v>
      </c>
      <c r="F346" s="20" t="s">
        <v>31</v>
      </c>
      <c r="G346" s="21" t="s">
        <v>1613</v>
      </c>
      <c r="H346" s="20" t="s">
        <v>1614</v>
      </c>
      <c r="I346" s="20"/>
      <c r="J346" s="20"/>
      <c r="K346" s="22"/>
      <c r="L346" s="23"/>
      <c r="M346" s="20" t="s">
        <v>100</v>
      </c>
      <c r="N346" s="24"/>
      <c r="O346" s="24"/>
      <c r="P346" s="20" t="s">
        <v>101</v>
      </c>
      <c r="Q346" s="20" t="s">
        <v>86</v>
      </c>
      <c r="R346" s="20" t="s">
        <v>86</v>
      </c>
      <c r="S346" s="20" t="s">
        <v>102</v>
      </c>
      <c r="T346" s="26" t="s">
        <v>103</v>
      </c>
      <c r="U346" s="20" t="s">
        <v>104</v>
      </c>
      <c r="V346" s="20" t="s">
        <v>90</v>
      </c>
      <c r="W346" s="21"/>
    </row>
    <row r="347" customFormat="false" ht="23.85" hidden="false" customHeight="false" outlineLevel="0" collapsed="false">
      <c r="A347" s="20" t="n">
        <v>346</v>
      </c>
      <c r="B347" s="20" t="s">
        <v>1615</v>
      </c>
      <c r="C347" s="20" t="s">
        <v>4</v>
      </c>
      <c r="D347" s="20" t="s">
        <v>1616</v>
      </c>
      <c r="E347" s="20" t="s">
        <v>31</v>
      </c>
      <c r="F347" s="20" t="s">
        <v>1522</v>
      </c>
      <c r="G347" s="21" t="s">
        <v>1617</v>
      </c>
      <c r="H347" s="20"/>
      <c r="I347" s="20"/>
      <c r="J347" s="20" t="s">
        <v>1618</v>
      </c>
      <c r="K347" s="22"/>
      <c r="L347" s="23"/>
      <c r="M347" s="20" t="s">
        <v>84</v>
      </c>
      <c r="N347" s="24" t="n">
        <v>6.5605849</v>
      </c>
      <c r="O347" s="24" t="n">
        <v>3.3692219</v>
      </c>
      <c r="P347" s="20" t="s">
        <v>125</v>
      </c>
      <c r="Q347" s="20" t="s">
        <v>86</v>
      </c>
      <c r="R347" s="20" t="s">
        <v>86</v>
      </c>
      <c r="S347" s="20" t="s">
        <v>87</v>
      </c>
      <c r="T347" s="25" t="s">
        <v>88</v>
      </c>
      <c r="U347" s="20" t="s">
        <v>89</v>
      </c>
      <c r="V347" s="20" t="s">
        <v>90</v>
      </c>
      <c r="W347" s="21"/>
    </row>
    <row r="348" customFormat="false" ht="15" hidden="false" customHeight="false" outlineLevel="0" collapsed="false">
      <c r="A348" s="20" t="n">
        <v>347</v>
      </c>
      <c r="B348" s="20" t="s">
        <v>1619</v>
      </c>
      <c r="C348" s="20" t="s">
        <v>4</v>
      </c>
      <c r="D348" s="20" t="s">
        <v>1620</v>
      </c>
      <c r="E348" s="20" t="s">
        <v>31</v>
      </c>
      <c r="F348" s="20" t="s">
        <v>1558</v>
      </c>
      <c r="G348" s="21" t="s">
        <v>1621</v>
      </c>
      <c r="H348" s="20" t="s">
        <v>1622</v>
      </c>
      <c r="I348" s="20"/>
      <c r="J348" s="20" t="s">
        <v>1623</v>
      </c>
      <c r="K348" s="22"/>
      <c r="L348" s="23"/>
      <c r="M348" s="20" t="s">
        <v>100</v>
      </c>
      <c r="N348" s="24" t="n">
        <v>6.5605466</v>
      </c>
      <c r="O348" s="24" t="n">
        <v>3.3689195</v>
      </c>
      <c r="P348" s="20" t="s">
        <v>125</v>
      </c>
      <c r="Q348" s="20" t="s">
        <v>86</v>
      </c>
      <c r="R348" s="20" t="s">
        <v>86</v>
      </c>
      <c r="S348" s="20" t="s">
        <v>87</v>
      </c>
      <c r="T348" s="26" t="s">
        <v>103</v>
      </c>
      <c r="U348" s="20" t="s">
        <v>104</v>
      </c>
      <c r="V348" s="20" t="s">
        <v>90</v>
      </c>
      <c r="W348" s="21"/>
    </row>
    <row r="349" customFormat="false" ht="23.85" hidden="false" customHeight="false" outlineLevel="0" collapsed="false">
      <c r="A349" s="20" t="n">
        <v>348</v>
      </c>
      <c r="B349" s="20" t="s">
        <v>1624</v>
      </c>
      <c r="C349" s="20" t="s">
        <v>4</v>
      </c>
      <c r="D349" s="20" t="s">
        <v>1625</v>
      </c>
      <c r="E349" s="20" t="s">
        <v>31</v>
      </c>
      <c r="F349" s="20" t="s">
        <v>1542</v>
      </c>
      <c r="G349" s="21" t="s">
        <v>1626</v>
      </c>
      <c r="H349" s="20"/>
      <c r="I349" s="20"/>
      <c r="J349" s="20" t="s">
        <v>1627</v>
      </c>
      <c r="K349" s="22"/>
      <c r="L349" s="23"/>
      <c r="M349" s="20" t="s">
        <v>84</v>
      </c>
      <c r="N349" s="24" t="n">
        <v>6.5592259</v>
      </c>
      <c r="O349" s="24" t="n">
        <v>3.3711817</v>
      </c>
      <c r="P349" s="20" t="s">
        <v>125</v>
      </c>
      <c r="Q349" s="20" t="s">
        <v>86</v>
      </c>
      <c r="R349" s="20" t="s">
        <v>86</v>
      </c>
      <c r="S349" s="20" t="s">
        <v>87</v>
      </c>
      <c r="T349" s="25" t="s">
        <v>88</v>
      </c>
      <c r="U349" s="20" t="s">
        <v>89</v>
      </c>
      <c r="V349" s="20" t="s">
        <v>90</v>
      </c>
      <c r="W349" s="21"/>
    </row>
    <row r="350" customFormat="false" ht="15" hidden="false" customHeight="false" outlineLevel="0" collapsed="false">
      <c r="A350" s="20" t="n">
        <v>349</v>
      </c>
      <c r="B350" s="20" t="s">
        <v>1628</v>
      </c>
      <c r="C350" s="20" t="s">
        <v>4</v>
      </c>
      <c r="D350" s="20" t="s">
        <v>1620</v>
      </c>
      <c r="E350" s="20" t="s">
        <v>31</v>
      </c>
      <c r="F350" s="20" t="s">
        <v>1542</v>
      </c>
      <c r="G350" s="21" t="s">
        <v>1621</v>
      </c>
      <c r="H350" s="20" t="s">
        <v>1629</v>
      </c>
      <c r="I350" s="20"/>
      <c r="J350" s="20" t="s">
        <v>1630</v>
      </c>
      <c r="K350" s="22"/>
      <c r="L350" s="23"/>
      <c r="M350" s="20" t="s">
        <v>100</v>
      </c>
      <c r="N350" s="24" t="n">
        <v>6.5605466</v>
      </c>
      <c r="O350" s="24" t="n">
        <v>3.3689195</v>
      </c>
      <c r="P350" s="20" t="s">
        <v>125</v>
      </c>
      <c r="Q350" s="20" t="s">
        <v>86</v>
      </c>
      <c r="R350" s="20" t="s">
        <v>86</v>
      </c>
      <c r="S350" s="20" t="s">
        <v>87</v>
      </c>
      <c r="T350" s="26" t="s">
        <v>103</v>
      </c>
      <c r="U350" s="20" t="s">
        <v>104</v>
      </c>
      <c r="V350" s="20" t="s">
        <v>90</v>
      </c>
      <c r="W350" s="21"/>
    </row>
    <row r="351" customFormat="false" ht="23.85" hidden="false" customHeight="false" outlineLevel="0" collapsed="false">
      <c r="A351" s="20" t="n">
        <v>350</v>
      </c>
      <c r="B351" s="20" t="s">
        <v>1631</v>
      </c>
      <c r="C351" s="20" t="s">
        <v>4</v>
      </c>
      <c r="D351" s="20" t="s">
        <v>1632</v>
      </c>
      <c r="E351" s="20" t="s">
        <v>31</v>
      </c>
      <c r="F351" s="20" t="s">
        <v>1522</v>
      </c>
      <c r="G351" s="21" t="s">
        <v>1633</v>
      </c>
      <c r="H351" s="20" t="s">
        <v>1634</v>
      </c>
      <c r="I351" s="20" t="s">
        <v>1635</v>
      </c>
      <c r="J351" s="20" t="s">
        <v>1636</v>
      </c>
      <c r="K351" s="22" t="n">
        <v>4</v>
      </c>
      <c r="L351" s="23" t="n">
        <v>2</v>
      </c>
      <c r="M351" s="20" t="s">
        <v>100</v>
      </c>
      <c r="N351" s="24" t="n">
        <v>6.560721</v>
      </c>
      <c r="O351" s="24" t="n">
        <v>3.3676191</v>
      </c>
      <c r="P351" s="20" t="s">
        <v>125</v>
      </c>
      <c r="Q351" s="20" t="s">
        <v>86</v>
      </c>
      <c r="R351" s="20" t="s">
        <v>86</v>
      </c>
      <c r="S351" s="20" t="s">
        <v>87</v>
      </c>
      <c r="T351" s="27" t="s">
        <v>117</v>
      </c>
      <c r="U351" s="20" t="s">
        <v>118</v>
      </c>
      <c r="V351" s="20" t="s">
        <v>90</v>
      </c>
      <c r="W351" s="21"/>
    </row>
    <row r="352" customFormat="false" ht="35.05" hidden="false" customHeight="false" outlineLevel="0" collapsed="false">
      <c r="A352" s="20" t="n">
        <v>351</v>
      </c>
      <c r="B352" s="20" t="s">
        <v>1637</v>
      </c>
      <c r="C352" s="20" t="s">
        <v>4</v>
      </c>
      <c r="D352" s="20" t="s">
        <v>1638</v>
      </c>
      <c r="E352" s="20" t="s">
        <v>31</v>
      </c>
      <c r="F352" s="20" t="s">
        <v>1542</v>
      </c>
      <c r="G352" s="21" t="s">
        <v>1639</v>
      </c>
      <c r="H352" s="20" t="s">
        <v>1640</v>
      </c>
      <c r="I352" s="20" t="s">
        <v>1641</v>
      </c>
      <c r="J352" s="20" t="s">
        <v>1642</v>
      </c>
      <c r="K352" s="22" t="n">
        <v>4.5</v>
      </c>
      <c r="L352" s="23" t="n">
        <v>4</v>
      </c>
      <c r="M352" s="20" t="s">
        <v>100</v>
      </c>
      <c r="N352" s="24" t="n">
        <v>6.5609025</v>
      </c>
      <c r="O352" s="24" t="n">
        <v>3.3673329</v>
      </c>
      <c r="P352" s="20" t="s">
        <v>125</v>
      </c>
      <c r="Q352" s="20" t="s">
        <v>86</v>
      </c>
      <c r="R352" s="20" t="s">
        <v>86</v>
      </c>
      <c r="S352" s="20" t="s">
        <v>87</v>
      </c>
      <c r="T352" s="27" t="s">
        <v>117</v>
      </c>
      <c r="U352" s="20" t="s">
        <v>118</v>
      </c>
      <c r="V352" s="20" t="s">
        <v>90</v>
      </c>
      <c r="W352" s="21"/>
    </row>
    <row r="353" customFormat="false" ht="15" hidden="false" customHeight="false" outlineLevel="0" collapsed="false">
      <c r="A353" s="20" t="n">
        <v>352</v>
      </c>
      <c r="B353" s="20" t="s">
        <v>1643</v>
      </c>
      <c r="C353" s="20" t="s">
        <v>4</v>
      </c>
      <c r="D353" s="20" t="s">
        <v>1620</v>
      </c>
      <c r="E353" s="20" t="s">
        <v>31</v>
      </c>
      <c r="F353" s="20" t="s">
        <v>1558</v>
      </c>
      <c r="G353" s="21" t="s">
        <v>1621</v>
      </c>
      <c r="H353" s="20" t="s">
        <v>1644</v>
      </c>
      <c r="I353" s="20"/>
      <c r="J353" s="20" t="s">
        <v>1645</v>
      </c>
      <c r="K353" s="22" t="n">
        <v>5</v>
      </c>
      <c r="L353" s="23" t="n">
        <v>1</v>
      </c>
      <c r="M353" s="20" t="s">
        <v>100</v>
      </c>
      <c r="N353" s="24" t="n">
        <v>6.5605466</v>
      </c>
      <c r="O353" s="24" t="n">
        <v>3.3689195</v>
      </c>
      <c r="P353" s="20" t="s">
        <v>125</v>
      </c>
      <c r="Q353" s="20" t="s">
        <v>86</v>
      </c>
      <c r="R353" s="20" t="s">
        <v>86</v>
      </c>
      <c r="S353" s="20" t="s">
        <v>87</v>
      </c>
      <c r="T353" s="26" t="s">
        <v>103</v>
      </c>
      <c r="U353" s="20" t="s">
        <v>104</v>
      </c>
      <c r="V353" s="20" t="s">
        <v>90</v>
      </c>
      <c r="W353" s="21"/>
    </row>
    <row r="354" customFormat="false" ht="15" hidden="false" customHeight="false" outlineLevel="0" collapsed="false">
      <c r="A354" s="20" t="n">
        <v>353</v>
      </c>
      <c r="B354" s="20" t="s">
        <v>1646</v>
      </c>
      <c r="C354" s="20" t="s">
        <v>4</v>
      </c>
      <c r="D354" s="20" t="s">
        <v>1647</v>
      </c>
      <c r="E354" s="20" t="s">
        <v>31</v>
      </c>
      <c r="F354" s="20" t="s">
        <v>31</v>
      </c>
      <c r="G354" s="21" t="s">
        <v>1648</v>
      </c>
      <c r="H354" s="20" t="s">
        <v>1649</v>
      </c>
      <c r="I354" s="20"/>
      <c r="J354" s="20"/>
      <c r="K354" s="22"/>
      <c r="L354" s="23"/>
      <c r="M354" s="20" t="s">
        <v>100</v>
      </c>
      <c r="N354" s="24"/>
      <c r="O354" s="24"/>
      <c r="P354" s="20" t="s">
        <v>101</v>
      </c>
      <c r="Q354" s="20" t="s">
        <v>86</v>
      </c>
      <c r="R354" s="20" t="s">
        <v>86</v>
      </c>
      <c r="S354" s="20" t="s">
        <v>102</v>
      </c>
      <c r="T354" s="26" t="s">
        <v>103</v>
      </c>
      <c r="U354" s="20" t="s">
        <v>104</v>
      </c>
      <c r="V354" s="20" t="s">
        <v>90</v>
      </c>
      <c r="W354" s="21"/>
    </row>
    <row r="355" customFormat="false" ht="23.85" hidden="false" customHeight="false" outlineLevel="0" collapsed="false">
      <c r="A355" s="20" t="n">
        <v>354</v>
      </c>
      <c r="B355" s="20" t="s">
        <v>1650</v>
      </c>
      <c r="C355" s="20" t="s">
        <v>4</v>
      </c>
      <c r="D355" s="20" t="s">
        <v>1651</v>
      </c>
      <c r="E355" s="20" t="s">
        <v>31</v>
      </c>
      <c r="F355" s="20" t="s">
        <v>31</v>
      </c>
      <c r="G355" s="21" t="s">
        <v>1652</v>
      </c>
      <c r="H355" s="20" t="s">
        <v>1653</v>
      </c>
      <c r="I355" s="20"/>
      <c r="J355" s="20" t="s">
        <v>1654</v>
      </c>
      <c r="K355" s="22" t="n">
        <v>5</v>
      </c>
      <c r="L355" s="23" t="n">
        <v>1</v>
      </c>
      <c r="M355" s="20" t="s">
        <v>100</v>
      </c>
      <c r="N355" s="24" t="n">
        <v>6.5601764</v>
      </c>
      <c r="O355" s="24" t="n">
        <v>3.3693661</v>
      </c>
      <c r="P355" s="20" t="s">
        <v>110</v>
      </c>
      <c r="Q355" s="20" t="s">
        <v>86</v>
      </c>
      <c r="R355" s="20" t="s">
        <v>86</v>
      </c>
      <c r="S355" s="20" t="s">
        <v>87</v>
      </c>
      <c r="T355" s="26" t="s">
        <v>103</v>
      </c>
      <c r="U355" s="20" t="s">
        <v>104</v>
      </c>
      <c r="V355" s="20" t="s">
        <v>90</v>
      </c>
      <c r="W355" s="21"/>
    </row>
    <row r="356" customFormat="false" ht="15" hidden="false" customHeight="false" outlineLevel="0" collapsed="false">
      <c r="A356" s="20" t="n">
        <v>355</v>
      </c>
      <c r="B356" s="20" t="s">
        <v>1655</v>
      </c>
      <c r="C356" s="20" t="s">
        <v>4</v>
      </c>
      <c r="D356" s="20" t="s">
        <v>170</v>
      </c>
      <c r="E356" s="20" t="s">
        <v>31</v>
      </c>
      <c r="F356" s="20" t="s">
        <v>1552</v>
      </c>
      <c r="G356" s="21" t="s">
        <v>1656</v>
      </c>
      <c r="H356" s="20" t="s">
        <v>1657</v>
      </c>
      <c r="I356" s="20"/>
      <c r="J356" s="20" t="s">
        <v>1658</v>
      </c>
      <c r="K356" s="22"/>
      <c r="L356" s="23"/>
      <c r="M356" s="20" t="s">
        <v>100</v>
      </c>
      <c r="N356" s="24" t="n">
        <v>6.5572673</v>
      </c>
      <c r="O356" s="24" t="n">
        <v>3.3682393</v>
      </c>
      <c r="P356" s="20" t="s">
        <v>125</v>
      </c>
      <c r="Q356" s="20" t="s">
        <v>86</v>
      </c>
      <c r="R356" s="20" t="s">
        <v>86</v>
      </c>
      <c r="S356" s="20" t="s">
        <v>87</v>
      </c>
      <c r="T356" s="26" t="s">
        <v>103</v>
      </c>
      <c r="U356" s="20" t="s">
        <v>104</v>
      </c>
      <c r="V356" s="20" t="s">
        <v>90</v>
      </c>
      <c r="W356" s="21"/>
    </row>
    <row r="357" customFormat="false" ht="15" hidden="false" customHeight="false" outlineLevel="0" collapsed="false">
      <c r="A357" s="20" t="n">
        <v>356</v>
      </c>
      <c r="B357" s="20" t="s">
        <v>1659</v>
      </c>
      <c r="C357" s="20" t="s">
        <v>4</v>
      </c>
      <c r="D357" s="20" t="s">
        <v>1660</v>
      </c>
      <c r="E357" s="20" t="s">
        <v>31</v>
      </c>
      <c r="F357" s="20" t="s">
        <v>31</v>
      </c>
      <c r="G357" s="21" t="s">
        <v>1661</v>
      </c>
      <c r="H357" s="20" t="s">
        <v>1662</v>
      </c>
      <c r="I357" s="20"/>
      <c r="J357" s="20"/>
      <c r="K357" s="22"/>
      <c r="L357" s="23"/>
      <c r="M357" s="20" t="s">
        <v>100</v>
      </c>
      <c r="N357" s="24"/>
      <c r="O357" s="24"/>
      <c r="P357" s="20" t="s">
        <v>101</v>
      </c>
      <c r="Q357" s="20" t="s">
        <v>86</v>
      </c>
      <c r="R357" s="20" t="s">
        <v>86</v>
      </c>
      <c r="S357" s="20" t="s">
        <v>102</v>
      </c>
      <c r="T357" s="26" t="s">
        <v>103</v>
      </c>
      <c r="U357" s="20" t="s">
        <v>104</v>
      </c>
      <c r="V357" s="20" t="s">
        <v>90</v>
      </c>
      <c r="W357" s="21"/>
    </row>
    <row r="358" customFormat="false" ht="15" hidden="false" customHeight="false" outlineLevel="0" collapsed="false">
      <c r="A358" s="20" t="n">
        <v>357</v>
      </c>
      <c r="B358" s="20" t="s">
        <v>1663</v>
      </c>
      <c r="C358" s="20" t="s">
        <v>4</v>
      </c>
      <c r="D358" s="20" t="s">
        <v>1620</v>
      </c>
      <c r="E358" s="20" t="s">
        <v>31</v>
      </c>
      <c r="F358" s="20" t="s">
        <v>1558</v>
      </c>
      <c r="G358" s="21" t="s">
        <v>1621</v>
      </c>
      <c r="H358" s="20" t="s">
        <v>1664</v>
      </c>
      <c r="I358" s="20"/>
      <c r="J358" s="20" t="s">
        <v>1665</v>
      </c>
      <c r="K358" s="22"/>
      <c r="L358" s="23"/>
      <c r="M358" s="20" t="s">
        <v>100</v>
      </c>
      <c r="N358" s="24" t="n">
        <v>6.5605466</v>
      </c>
      <c r="O358" s="24" t="n">
        <v>3.3689195</v>
      </c>
      <c r="P358" s="20" t="s">
        <v>125</v>
      </c>
      <c r="Q358" s="20" t="s">
        <v>86</v>
      </c>
      <c r="R358" s="20" t="s">
        <v>86</v>
      </c>
      <c r="S358" s="20" t="s">
        <v>87</v>
      </c>
      <c r="T358" s="26" t="s">
        <v>103</v>
      </c>
      <c r="U358" s="20" t="s">
        <v>104</v>
      </c>
      <c r="V358" s="20" t="s">
        <v>90</v>
      </c>
      <c r="W358" s="21"/>
    </row>
    <row r="359" customFormat="false" ht="15" hidden="false" customHeight="false" outlineLevel="0" collapsed="false">
      <c r="A359" s="20" t="n">
        <v>358</v>
      </c>
      <c r="B359" s="20" t="s">
        <v>1666</v>
      </c>
      <c r="C359" s="20" t="s">
        <v>4</v>
      </c>
      <c r="D359" s="20" t="s">
        <v>1667</v>
      </c>
      <c r="E359" s="20" t="s">
        <v>31</v>
      </c>
      <c r="F359" s="20" t="s">
        <v>31</v>
      </c>
      <c r="G359" s="21" t="s">
        <v>1668</v>
      </c>
      <c r="H359" s="20" t="s">
        <v>1669</v>
      </c>
      <c r="I359" s="20"/>
      <c r="J359" s="20"/>
      <c r="K359" s="22"/>
      <c r="L359" s="23"/>
      <c r="M359" s="20" t="s">
        <v>100</v>
      </c>
      <c r="N359" s="24"/>
      <c r="O359" s="24"/>
      <c r="P359" s="20" t="s">
        <v>101</v>
      </c>
      <c r="Q359" s="20" t="s">
        <v>86</v>
      </c>
      <c r="R359" s="20" t="s">
        <v>86</v>
      </c>
      <c r="S359" s="20" t="s">
        <v>102</v>
      </c>
      <c r="T359" s="26" t="s">
        <v>103</v>
      </c>
      <c r="U359" s="20" t="s">
        <v>104</v>
      </c>
      <c r="V359" s="20" t="s">
        <v>90</v>
      </c>
      <c r="W359" s="21"/>
    </row>
    <row r="360" customFormat="false" ht="15" hidden="false" customHeight="false" outlineLevel="0" collapsed="false">
      <c r="A360" s="20" t="n">
        <v>359</v>
      </c>
      <c r="B360" s="20" t="s">
        <v>1670</v>
      </c>
      <c r="C360" s="20" t="s">
        <v>4</v>
      </c>
      <c r="D360" s="20" t="s">
        <v>1671</v>
      </c>
      <c r="E360" s="20" t="s">
        <v>31</v>
      </c>
      <c r="F360" s="20" t="s">
        <v>1531</v>
      </c>
      <c r="G360" s="21" t="s">
        <v>1671</v>
      </c>
      <c r="H360" s="20" t="s">
        <v>1672</v>
      </c>
      <c r="I360" s="20"/>
      <c r="J360" s="20"/>
      <c r="K360" s="22" t="n">
        <v>4</v>
      </c>
      <c r="L360" s="23" t="n">
        <v>1</v>
      </c>
      <c r="M360" s="20" t="s">
        <v>100</v>
      </c>
      <c r="N360" s="24" t="n">
        <v>6.57167</v>
      </c>
      <c r="O360" s="24" t="n">
        <v>3.36689</v>
      </c>
      <c r="P360" s="20" t="s">
        <v>85</v>
      </c>
      <c r="Q360" s="20" t="s">
        <v>86</v>
      </c>
      <c r="R360" s="20" t="s">
        <v>86</v>
      </c>
      <c r="S360" s="20" t="s">
        <v>87</v>
      </c>
      <c r="T360" s="26" t="s">
        <v>103</v>
      </c>
      <c r="U360" s="20" t="s">
        <v>104</v>
      </c>
      <c r="V360" s="20" t="s">
        <v>90</v>
      </c>
      <c r="W360" s="21"/>
    </row>
    <row r="361" customFormat="false" ht="15" hidden="false" customHeight="false" outlineLevel="0" collapsed="false">
      <c r="A361" s="20" t="n">
        <v>360</v>
      </c>
      <c r="B361" s="20" t="s">
        <v>1673</v>
      </c>
      <c r="C361" s="20" t="s">
        <v>4</v>
      </c>
      <c r="D361" s="20" t="s">
        <v>1674</v>
      </c>
      <c r="E361" s="20" t="s">
        <v>31</v>
      </c>
      <c r="F361" s="20" t="s">
        <v>31</v>
      </c>
      <c r="G361" s="21" t="s">
        <v>1675</v>
      </c>
      <c r="H361" s="20" t="s">
        <v>1676</v>
      </c>
      <c r="I361" s="20"/>
      <c r="J361" s="20"/>
      <c r="K361" s="22"/>
      <c r="L361" s="23"/>
      <c r="M361" s="20" t="s">
        <v>100</v>
      </c>
      <c r="N361" s="24"/>
      <c r="O361" s="24"/>
      <c r="P361" s="20" t="s">
        <v>101</v>
      </c>
      <c r="Q361" s="20" t="s">
        <v>86</v>
      </c>
      <c r="R361" s="20" t="s">
        <v>86</v>
      </c>
      <c r="S361" s="20" t="s">
        <v>102</v>
      </c>
      <c r="T361" s="26" t="s">
        <v>103</v>
      </c>
      <c r="U361" s="20" t="s">
        <v>104</v>
      </c>
      <c r="V361" s="20" t="s">
        <v>90</v>
      </c>
      <c r="W361" s="21"/>
    </row>
    <row r="362" customFormat="false" ht="15" hidden="false" customHeight="false" outlineLevel="0" collapsed="false">
      <c r="A362" s="20" t="n">
        <v>361</v>
      </c>
      <c r="B362" s="20" t="s">
        <v>1677</v>
      </c>
      <c r="C362" s="20" t="s">
        <v>4</v>
      </c>
      <c r="D362" s="20" t="s">
        <v>1620</v>
      </c>
      <c r="E362" s="20" t="s">
        <v>31</v>
      </c>
      <c r="F362" s="20" t="s">
        <v>1542</v>
      </c>
      <c r="G362" s="21" t="s">
        <v>1621</v>
      </c>
      <c r="H362" s="20" t="s">
        <v>1678</v>
      </c>
      <c r="I362" s="20"/>
      <c r="J362" s="20" t="s">
        <v>1679</v>
      </c>
      <c r="K362" s="22"/>
      <c r="L362" s="23"/>
      <c r="M362" s="20" t="s">
        <v>100</v>
      </c>
      <c r="N362" s="24" t="n">
        <v>6.5605466</v>
      </c>
      <c r="O362" s="24" t="n">
        <v>3.3689195</v>
      </c>
      <c r="P362" s="20" t="s">
        <v>125</v>
      </c>
      <c r="Q362" s="20" t="s">
        <v>86</v>
      </c>
      <c r="R362" s="20" t="s">
        <v>86</v>
      </c>
      <c r="S362" s="20" t="s">
        <v>87</v>
      </c>
      <c r="T362" s="26" t="s">
        <v>103</v>
      </c>
      <c r="U362" s="20" t="s">
        <v>104</v>
      </c>
      <c r="V362" s="20" t="s">
        <v>90</v>
      </c>
      <c r="W362" s="21"/>
    </row>
    <row r="363" customFormat="false" ht="15" hidden="false" customHeight="false" outlineLevel="0" collapsed="false">
      <c r="A363" s="20" t="n">
        <v>362</v>
      </c>
      <c r="B363" s="20" t="s">
        <v>1680</v>
      </c>
      <c r="C363" s="20" t="s">
        <v>4</v>
      </c>
      <c r="D363" s="20" t="s">
        <v>1058</v>
      </c>
      <c r="E363" s="20" t="s">
        <v>31</v>
      </c>
      <c r="F363" s="20" t="s">
        <v>1522</v>
      </c>
      <c r="G363" s="21" t="s">
        <v>1681</v>
      </c>
      <c r="H363" s="20" t="s">
        <v>1682</v>
      </c>
      <c r="I363" s="20"/>
      <c r="J363" s="20" t="s">
        <v>1683</v>
      </c>
      <c r="K363" s="22"/>
      <c r="L363" s="23"/>
      <c r="M363" s="20" t="s">
        <v>100</v>
      </c>
      <c r="N363" s="24" t="n">
        <v>6.5593888</v>
      </c>
      <c r="O363" s="24" t="n">
        <v>3.3671534</v>
      </c>
      <c r="P363" s="20" t="s">
        <v>125</v>
      </c>
      <c r="Q363" s="20" t="s">
        <v>86</v>
      </c>
      <c r="R363" s="20" t="s">
        <v>86</v>
      </c>
      <c r="S363" s="20" t="s">
        <v>87</v>
      </c>
      <c r="T363" s="26" t="s">
        <v>103</v>
      </c>
      <c r="U363" s="20" t="s">
        <v>104</v>
      </c>
      <c r="V363" s="20" t="s">
        <v>90</v>
      </c>
      <c r="W363" s="21"/>
    </row>
    <row r="364" customFormat="false" ht="23.85" hidden="false" customHeight="false" outlineLevel="0" collapsed="false">
      <c r="A364" s="20" t="n">
        <v>363</v>
      </c>
      <c r="B364" s="20" t="s">
        <v>1684</v>
      </c>
      <c r="C364" s="20" t="s">
        <v>4</v>
      </c>
      <c r="D364" s="20" t="s">
        <v>1505</v>
      </c>
      <c r="E364" s="20" t="s">
        <v>31</v>
      </c>
      <c r="F364" s="20" t="s">
        <v>1552</v>
      </c>
      <c r="G364" s="21" t="s">
        <v>1506</v>
      </c>
      <c r="H364" s="20" t="s">
        <v>1685</v>
      </c>
      <c r="I364" s="20" t="s">
        <v>1686</v>
      </c>
      <c r="J364" s="20" t="s">
        <v>1687</v>
      </c>
      <c r="K364" s="22"/>
      <c r="L364" s="23"/>
      <c r="M364" s="20" t="s">
        <v>100</v>
      </c>
      <c r="N364" s="24" t="n">
        <v>6.5588645</v>
      </c>
      <c r="O364" s="24" t="n">
        <v>3.3703248</v>
      </c>
      <c r="P364" s="20" t="s">
        <v>125</v>
      </c>
      <c r="Q364" s="20" t="s">
        <v>86</v>
      </c>
      <c r="R364" s="20" t="s">
        <v>86</v>
      </c>
      <c r="S364" s="20" t="s">
        <v>87</v>
      </c>
      <c r="T364" s="27" t="s">
        <v>117</v>
      </c>
      <c r="U364" s="20" t="s">
        <v>118</v>
      </c>
      <c r="V364" s="20" t="s">
        <v>90</v>
      </c>
      <c r="W364" s="21"/>
    </row>
    <row r="365" customFormat="false" ht="23.85" hidden="false" customHeight="false" outlineLevel="0" collapsed="false">
      <c r="A365" s="20" t="n">
        <v>364</v>
      </c>
      <c r="B365" s="20" t="s">
        <v>1688</v>
      </c>
      <c r="C365" s="20" t="s">
        <v>4</v>
      </c>
      <c r="D365" s="20" t="s">
        <v>1689</v>
      </c>
      <c r="E365" s="20" t="s">
        <v>32</v>
      </c>
      <c r="F365" s="20" t="s">
        <v>1690</v>
      </c>
      <c r="G365" s="21" t="s">
        <v>1691</v>
      </c>
      <c r="H365" s="20" t="s">
        <v>1692</v>
      </c>
      <c r="I365" s="20"/>
      <c r="J365" s="20" t="s">
        <v>1693</v>
      </c>
      <c r="K365" s="22"/>
      <c r="L365" s="23"/>
      <c r="M365" s="20" t="s">
        <v>100</v>
      </c>
      <c r="N365" s="24" t="n">
        <v>6.5570437</v>
      </c>
      <c r="O365" s="24" t="n">
        <v>3.3672597</v>
      </c>
      <c r="P365" s="20" t="s">
        <v>125</v>
      </c>
      <c r="Q365" s="20" t="s">
        <v>86</v>
      </c>
      <c r="R365" s="20" t="s">
        <v>86</v>
      </c>
      <c r="S365" s="20" t="s">
        <v>87</v>
      </c>
      <c r="T365" s="26" t="s">
        <v>103</v>
      </c>
      <c r="U365" s="20" t="s">
        <v>104</v>
      </c>
      <c r="V365" s="20" t="s">
        <v>90</v>
      </c>
      <c r="W365" s="21"/>
    </row>
    <row r="366" customFormat="false" ht="15" hidden="false" customHeight="false" outlineLevel="0" collapsed="false">
      <c r="A366" s="20" t="n">
        <v>365</v>
      </c>
      <c r="B366" s="20" t="s">
        <v>1694</v>
      </c>
      <c r="C366" s="20" t="s">
        <v>4</v>
      </c>
      <c r="D366" s="20" t="s">
        <v>1695</v>
      </c>
      <c r="E366" s="20" t="s">
        <v>32</v>
      </c>
      <c r="F366" s="20" t="s">
        <v>1696</v>
      </c>
      <c r="G366" s="21" t="s">
        <v>1697</v>
      </c>
      <c r="H366" s="20" t="s">
        <v>1698</v>
      </c>
      <c r="I366" s="20"/>
      <c r="J366" s="20"/>
      <c r="K366" s="22" t="n">
        <v>4.7</v>
      </c>
      <c r="L366" s="23" t="n">
        <v>18</v>
      </c>
      <c r="M366" s="20" t="s">
        <v>100</v>
      </c>
      <c r="N366" s="24"/>
      <c r="O366" s="24"/>
      <c r="P366" s="20" t="s">
        <v>101</v>
      </c>
      <c r="Q366" s="20" t="s">
        <v>86</v>
      </c>
      <c r="R366" s="20" t="s">
        <v>86</v>
      </c>
      <c r="S366" s="20" t="s">
        <v>102</v>
      </c>
      <c r="T366" s="27" t="s">
        <v>117</v>
      </c>
      <c r="U366" s="20" t="s">
        <v>118</v>
      </c>
      <c r="V366" s="20" t="s">
        <v>138</v>
      </c>
      <c r="W366" s="21" t="s">
        <v>299</v>
      </c>
    </row>
    <row r="367" customFormat="false" ht="15" hidden="false" customHeight="false" outlineLevel="0" collapsed="false">
      <c r="A367" s="20" t="n">
        <v>366</v>
      </c>
      <c r="B367" s="20" t="s">
        <v>1699</v>
      </c>
      <c r="C367" s="20" t="s">
        <v>4</v>
      </c>
      <c r="D367" s="20" t="s">
        <v>1341</v>
      </c>
      <c r="E367" s="20" t="s">
        <v>32</v>
      </c>
      <c r="F367" s="20" t="s">
        <v>32</v>
      </c>
      <c r="G367" s="21" t="s">
        <v>1343</v>
      </c>
      <c r="H367" s="20"/>
      <c r="I367" s="20"/>
      <c r="J367" s="20"/>
      <c r="K367" s="22"/>
      <c r="L367" s="23"/>
      <c r="M367" s="20" t="s">
        <v>84</v>
      </c>
      <c r="N367" s="24"/>
      <c r="O367" s="24"/>
      <c r="P367" s="20" t="s">
        <v>101</v>
      </c>
      <c r="Q367" s="20" t="s">
        <v>86</v>
      </c>
      <c r="R367" s="20" t="s">
        <v>86</v>
      </c>
      <c r="S367" s="20" t="s">
        <v>102</v>
      </c>
      <c r="T367" s="25" t="s">
        <v>88</v>
      </c>
      <c r="U367" s="20" t="s">
        <v>89</v>
      </c>
      <c r="V367" s="20" t="s">
        <v>138</v>
      </c>
      <c r="W367" s="21" t="s">
        <v>168</v>
      </c>
    </row>
    <row r="368" customFormat="false" ht="23.85" hidden="false" customHeight="false" outlineLevel="0" collapsed="false">
      <c r="A368" s="20" t="n">
        <v>367</v>
      </c>
      <c r="B368" s="20" t="s">
        <v>1700</v>
      </c>
      <c r="C368" s="20" t="s">
        <v>4</v>
      </c>
      <c r="D368" s="20" t="s">
        <v>1701</v>
      </c>
      <c r="E368" s="20" t="s">
        <v>32</v>
      </c>
      <c r="F368" s="20"/>
      <c r="G368" s="21" t="s">
        <v>1702</v>
      </c>
      <c r="H368" s="20" t="s">
        <v>1703</v>
      </c>
      <c r="I368" s="20"/>
      <c r="J368" s="20" t="s">
        <v>1704</v>
      </c>
      <c r="K368" s="22" t="n">
        <v>5</v>
      </c>
      <c r="L368" s="23" t="n">
        <v>1</v>
      </c>
      <c r="M368" s="20" t="s">
        <v>100</v>
      </c>
      <c r="N368" s="24" t="n">
        <v>6.560035</v>
      </c>
      <c r="O368" s="24" t="n">
        <v>3.368691</v>
      </c>
      <c r="P368" s="20" t="s">
        <v>125</v>
      </c>
      <c r="Q368" s="20" t="s">
        <v>86</v>
      </c>
      <c r="R368" s="20" t="s">
        <v>86</v>
      </c>
      <c r="S368" s="20" t="s">
        <v>87</v>
      </c>
      <c r="T368" s="26" t="s">
        <v>103</v>
      </c>
      <c r="U368" s="20" t="s">
        <v>104</v>
      </c>
      <c r="V368" s="20" t="s">
        <v>90</v>
      </c>
      <c r="W368" s="21"/>
    </row>
    <row r="369" customFormat="false" ht="23.85" hidden="false" customHeight="false" outlineLevel="0" collapsed="false">
      <c r="A369" s="20" t="n">
        <v>368</v>
      </c>
      <c r="B369" s="20" t="s">
        <v>1705</v>
      </c>
      <c r="C369" s="20" t="s">
        <v>4</v>
      </c>
      <c r="D369" s="20" t="s">
        <v>906</v>
      </c>
      <c r="E369" s="20" t="s">
        <v>32</v>
      </c>
      <c r="F369" s="20" t="s">
        <v>1706</v>
      </c>
      <c r="G369" s="21" t="s">
        <v>1707</v>
      </c>
      <c r="H369" s="20" t="s">
        <v>1708</v>
      </c>
      <c r="I369" s="20" t="s">
        <v>1709</v>
      </c>
      <c r="J369" s="20" t="s">
        <v>1710</v>
      </c>
      <c r="K369" s="22" t="n">
        <v>4.9</v>
      </c>
      <c r="L369" s="23" t="n">
        <v>14</v>
      </c>
      <c r="M369" s="20" t="s">
        <v>100</v>
      </c>
      <c r="N369" s="24" t="n">
        <v>6.5603879</v>
      </c>
      <c r="O369" s="24" t="n">
        <v>3.3691637</v>
      </c>
      <c r="P369" s="20" t="s">
        <v>125</v>
      </c>
      <c r="Q369" s="20" t="s">
        <v>86</v>
      </c>
      <c r="R369" s="20" t="s">
        <v>86</v>
      </c>
      <c r="S369" s="20" t="s">
        <v>87</v>
      </c>
      <c r="T369" s="27" t="s">
        <v>117</v>
      </c>
      <c r="U369" s="20" t="s">
        <v>118</v>
      </c>
      <c r="V369" s="20" t="s">
        <v>90</v>
      </c>
      <c r="W369" s="21"/>
    </row>
    <row r="370" customFormat="false" ht="15" hidden="false" customHeight="false" outlineLevel="0" collapsed="false">
      <c r="A370" s="20" t="n">
        <v>369</v>
      </c>
      <c r="B370" s="20" t="s">
        <v>1711</v>
      </c>
      <c r="C370" s="20" t="s">
        <v>4</v>
      </c>
      <c r="D370" s="20" t="s">
        <v>170</v>
      </c>
      <c r="E370" s="20" t="s">
        <v>32</v>
      </c>
      <c r="F370" s="20" t="s">
        <v>1712</v>
      </c>
      <c r="G370" s="21" t="s">
        <v>1713</v>
      </c>
      <c r="H370" s="20" t="s">
        <v>1714</v>
      </c>
      <c r="I370" s="20"/>
      <c r="J370" s="20" t="s">
        <v>1715</v>
      </c>
      <c r="K370" s="22"/>
      <c r="L370" s="23"/>
      <c r="M370" s="20" t="s">
        <v>100</v>
      </c>
      <c r="N370" s="24" t="n">
        <v>6.5594261</v>
      </c>
      <c r="O370" s="24" t="n">
        <v>3.368903</v>
      </c>
      <c r="P370" s="20" t="s">
        <v>125</v>
      </c>
      <c r="Q370" s="20" t="s">
        <v>86</v>
      </c>
      <c r="R370" s="20" t="s">
        <v>86</v>
      </c>
      <c r="S370" s="20" t="s">
        <v>87</v>
      </c>
      <c r="T370" s="26" t="s">
        <v>103</v>
      </c>
      <c r="U370" s="20" t="s">
        <v>104</v>
      </c>
      <c r="V370" s="20" t="s">
        <v>90</v>
      </c>
      <c r="W370" s="21"/>
    </row>
    <row r="371" customFormat="false" ht="15" hidden="false" customHeight="false" outlineLevel="0" collapsed="false">
      <c r="A371" s="20" t="n">
        <v>370</v>
      </c>
      <c r="B371" s="20" t="s">
        <v>1716</v>
      </c>
      <c r="C371" s="20" t="s">
        <v>4</v>
      </c>
      <c r="D371" s="20" t="s">
        <v>1185</v>
      </c>
      <c r="E371" s="20" t="s">
        <v>32</v>
      </c>
      <c r="F371" s="20" t="s">
        <v>1717</v>
      </c>
      <c r="G371" s="21" t="s">
        <v>1186</v>
      </c>
      <c r="H371" s="20" t="s">
        <v>1718</v>
      </c>
      <c r="I371" s="20"/>
      <c r="J371" s="20"/>
      <c r="K371" s="22"/>
      <c r="L371" s="23"/>
      <c r="M371" s="20" t="s">
        <v>100</v>
      </c>
      <c r="N371" s="24"/>
      <c r="O371" s="24"/>
      <c r="P371" s="20" t="s">
        <v>101</v>
      </c>
      <c r="Q371" s="20" t="s">
        <v>86</v>
      </c>
      <c r="R371" s="20" t="s">
        <v>86</v>
      </c>
      <c r="S371" s="20" t="s">
        <v>102</v>
      </c>
      <c r="T371" s="26" t="s">
        <v>103</v>
      </c>
      <c r="U371" s="20" t="s">
        <v>104</v>
      </c>
      <c r="V371" s="20" t="s">
        <v>90</v>
      </c>
      <c r="W371" s="21"/>
    </row>
    <row r="372" customFormat="false" ht="15" hidden="false" customHeight="false" outlineLevel="0" collapsed="false">
      <c r="A372" s="20" t="n">
        <v>371</v>
      </c>
      <c r="B372" s="20" t="s">
        <v>1719</v>
      </c>
      <c r="C372" s="20" t="s">
        <v>4</v>
      </c>
      <c r="D372" s="20" t="s">
        <v>1720</v>
      </c>
      <c r="E372" s="20" t="s">
        <v>32</v>
      </c>
      <c r="F372" s="20" t="s">
        <v>32</v>
      </c>
      <c r="G372" s="21" t="s">
        <v>1721</v>
      </c>
      <c r="H372" s="20" t="s">
        <v>1722</v>
      </c>
      <c r="I372" s="20" t="s">
        <v>1723</v>
      </c>
      <c r="J372" s="20" t="s">
        <v>1724</v>
      </c>
      <c r="K372" s="22" t="n">
        <v>5</v>
      </c>
      <c r="L372" s="23" t="n">
        <v>5</v>
      </c>
      <c r="M372" s="20" t="s">
        <v>100</v>
      </c>
      <c r="N372" s="24" t="n">
        <v>6.5622407</v>
      </c>
      <c r="O372" s="24" t="n">
        <v>3.3691793</v>
      </c>
      <c r="P372" s="20" t="s">
        <v>110</v>
      </c>
      <c r="Q372" s="20" t="s">
        <v>86</v>
      </c>
      <c r="R372" s="20" t="s">
        <v>86</v>
      </c>
      <c r="S372" s="20" t="s">
        <v>87</v>
      </c>
      <c r="T372" s="27" t="s">
        <v>117</v>
      </c>
      <c r="U372" s="20" t="s">
        <v>118</v>
      </c>
      <c r="V372" s="20" t="s">
        <v>138</v>
      </c>
      <c r="W372" s="21" t="s">
        <v>538</v>
      </c>
    </row>
    <row r="373" customFormat="false" ht="23.85" hidden="false" customHeight="false" outlineLevel="0" collapsed="false">
      <c r="A373" s="20" t="n">
        <v>372</v>
      </c>
      <c r="B373" s="20" t="s">
        <v>1725</v>
      </c>
      <c r="C373" s="20" t="s">
        <v>4</v>
      </c>
      <c r="D373" s="20" t="s">
        <v>315</v>
      </c>
      <c r="E373" s="20" t="s">
        <v>32</v>
      </c>
      <c r="F373" s="20" t="s">
        <v>1717</v>
      </c>
      <c r="G373" s="21" t="s">
        <v>1726</v>
      </c>
      <c r="H373" s="20" t="s">
        <v>1727</v>
      </c>
      <c r="I373" s="20"/>
      <c r="J373" s="20"/>
      <c r="K373" s="22"/>
      <c r="L373" s="23"/>
      <c r="M373" s="20" t="s">
        <v>100</v>
      </c>
      <c r="N373" s="24" t="n">
        <v>6.56337</v>
      </c>
      <c r="O373" s="24" t="n">
        <v>3.37004</v>
      </c>
      <c r="P373" s="20" t="s">
        <v>110</v>
      </c>
      <c r="Q373" s="20" t="s">
        <v>86</v>
      </c>
      <c r="R373" s="20" t="s">
        <v>86</v>
      </c>
      <c r="S373" s="20" t="s">
        <v>87</v>
      </c>
      <c r="T373" s="26" t="s">
        <v>103</v>
      </c>
      <c r="U373" s="20" t="s">
        <v>104</v>
      </c>
      <c r="V373" s="20" t="s">
        <v>90</v>
      </c>
      <c r="W373" s="21"/>
    </row>
    <row r="374" customFormat="false" ht="15" hidden="false" customHeight="false" outlineLevel="0" collapsed="false">
      <c r="A374" s="20" t="n">
        <v>373</v>
      </c>
      <c r="B374" s="20" t="s">
        <v>1728</v>
      </c>
      <c r="C374" s="20" t="s">
        <v>4</v>
      </c>
      <c r="D374" s="20" t="s">
        <v>547</v>
      </c>
      <c r="E374" s="20" t="s">
        <v>32</v>
      </c>
      <c r="F374" s="20" t="s">
        <v>1729</v>
      </c>
      <c r="G374" s="21" t="s">
        <v>1730</v>
      </c>
      <c r="H374" s="20" t="s">
        <v>1731</v>
      </c>
      <c r="I374" s="20"/>
      <c r="J374" s="20"/>
      <c r="K374" s="22" t="n">
        <v>5</v>
      </c>
      <c r="L374" s="23" t="n">
        <v>1</v>
      </c>
      <c r="M374" s="20" t="s">
        <v>100</v>
      </c>
      <c r="N374" s="24" t="n">
        <v>6.56357</v>
      </c>
      <c r="O374" s="24" t="n">
        <v>3.36784</v>
      </c>
      <c r="P374" s="20" t="s">
        <v>85</v>
      </c>
      <c r="Q374" s="20" t="s">
        <v>86</v>
      </c>
      <c r="R374" s="20" t="s">
        <v>86</v>
      </c>
      <c r="S374" s="20" t="s">
        <v>87</v>
      </c>
      <c r="T374" s="26" t="s">
        <v>103</v>
      </c>
      <c r="U374" s="20" t="s">
        <v>104</v>
      </c>
      <c r="V374" s="20" t="s">
        <v>90</v>
      </c>
      <c r="W374" s="21"/>
    </row>
    <row r="375" customFormat="false" ht="23.85" hidden="false" customHeight="false" outlineLevel="0" collapsed="false">
      <c r="A375" s="20" t="n">
        <v>374</v>
      </c>
      <c r="B375" s="20" t="s">
        <v>1732</v>
      </c>
      <c r="C375" s="20" t="s">
        <v>4</v>
      </c>
      <c r="D375" s="20" t="s">
        <v>1733</v>
      </c>
      <c r="E375" s="20" t="s">
        <v>32</v>
      </c>
      <c r="F375" s="20" t="s">
        <v>1734</v>
      </c>
      <c r="G375" s="21" t="s">
        <v>1735</v>
      </c>
      <c r="H375" s="20" t="s">
        <v>1736</v>
      </c>
      <c r="I375" s="20" t="s">
        <v>1737</v>
      </c>
      <c r="J375" s="20" t="s">
        <v>1738</v>
      </c>
      <c r="K375" s="22" t="n">
        <v>3</v>
      </c>
      <c r="L375" s="23" t="n">
        <v>2</v>
      </c>
      <c r="M375" s="20" t="s">
        <v>100</v>
      </c>
      <c r="N375" s="24" t="n">
        <v>6.5594179</v>
      </c>
      <c r="O375" s="24" t="n">
        <v>3.3691526</v>
      </c>
      <c r="P375" s="20" t="s">
        <v>125</v>
      </c>
      <c r="Q375" s="20" t="s">
        <v>86</v>
      </c>
      <c r="R375" s="20" t="s">
        <v>86</v>
      </c>
      <c r="S375" s="20" t="s">
        <v>87</v>
      </c>
      <c r="T375" s="27" t="s">
        <v>117</v>
      </c>
      <c r="U375" s="20" t="s">
        <v>118</v>
      </c>
      <c r="V375" s="20" t="s">
        <v>90</v>
      </c>
      <c r="W375" s="21"/>
    </row>
    <row r="376" customFormat="false" ht="23.85" hidden="false" customHeight="false" outlineLevel="0" collapsed="false">
      <c r="A376" s="20" t="n">
        <v>375</v>
      </c>
      <c r="B376" s="20" t="s">
        <v>1739</v>
      </c>
      <c r="C376" s="20" t="s">
        <v>4</v>
      </c>
      <c r="D376" s="20" t="s">
        <v>1740</v>
      </c>
      <c r="E376" s="20" t="s">
        <v>32</v>
      </c>
      <c r="F376" s="20" t="s">
        <v>1741</v>
      </c>
      <c r="G376" s="21" t="s">
        <v>1742</v>
      </c>
      <c r="H376" s="20" t="s">
        <v>1743</v>
      </c>
      <c r="I376" s="20" t="s">
        <v>1744</v>
      </c>
      <c r="J376" s="20" t="s">
        <v>1745</v>
      </c>
      <c r="K376" s="22"/>
      <c r="L376" s="23"/>
      <c r="M376" s="20" t="s">
        <v>100</v>
      </c>
      <c r="N376" s="24" t="n">
        <v>6.5593888</v>
      </c>
      <c r="O376" s="24" t="n">
        <v>3.3671534</v>
      </c>
      <c r="P376" s="20" t="s">
        <v>125</v>
      </c>
      <c r="Q376" s="20" t="s">
        <v>86</v>
      </c>
      <c r="R376" s="20" t="s">
        <v>86</v>
      </c>
      <c r="S376" s="20" t="s">
        <v>87</v>
      </c>
      <c r="T376" s="27" t="s">
        <v>117</v>
      </c>
      <c r="U376" s="20" t="s">
        <v>118</v>
      </c>
      <c r="V376" s="20" t="s">
        <v>90</v>
      </c>
      <c r="W376" s="21"/>
    </row>
    <row r="377" customFormat="false" ht="15" hidden="false" customHeight="false" outlineLevel="0" collapsed="false">
      <c r="A377" s="20" t="n">
        <v>376</v>
      </c>
      <c r="B377" s="20" t="s">
        <v>1746</v>
      </c>
      <c r="C377" s="20" t="s">
        <v>4</v>
      </c>
      <c r="D377" s="20" t="s">
        <v>1747</v>
      </c>
      <c r="E377" s="20" t="s">
        <v>32</v>
      </c>
      <c r="F377" s="20" t="s">
        <v>32</v>
      </c>
      <c r="G377" s="21" t="s">
        <v>1748</v>
      </c>
      <c r="H377" s="20"/>
      <c r="I377" s="20"/>
      <c r="J377" s="20"/>
      <c r="K377" s="22" t="n">
        <v>5</v>
      </c>
      <c r="L377" s="23" t="n">
        <v>1</v>
      </c>
      <c r="M377" s="20" t="s">
        <v>84</v>
      </c>
      <c r="N377" s="24"/>
      <c r="O377" s="24"/>
      <c r="P377" s="20" t="s">
        <v>101</v>
      </c>
      <c r="Q377" s="20" t="s">
        <v>86</v>
      </c>
      <c r="R377" s="20" t="s">
        <v>86</v>
      </c>
      <c r="S377" s="20" t="s">
        <v>102</v>
      </c>
      <c r="T377" s="25" t="s">
        <v>88</v>
      </c>
      <c r="U377" s="20" t="s">
        <v>89</v>
      </c>
      <c r="V377" s="20" t="s">
        <v>138</v>
      </c>
      <c r="W377" s="21" t="s">
        <v>299</v>
      </c>
    </row>
    <row r="378" customFormat="false" ht="23.85" hidden="false" customHeight="false" outlineLevel="0" collapsed="false">
      <c r="A378" s="20" t="n">
        <v>377</v>
      </c>
      <c r="B378" s="20" t="s">
        <v>1749</v>
      </c>
      <c r="C378" s="20" t="s">
        <v>4</v>
      </c>
      <c r="D378" s="20" t="s">
        <v>1750</v>
      </c>
      <c r="E378" s="20" t="s">
        <v>32</v>
      </c>
      <c r="F378" s="20" t="s">
        <v>1706</v>
      </c>
      <c r="G378" s="21" t="s">
        <v>1751</v>
      </c>
      <c r="H378" s="20" t="s">
        <v>1752</v>
      </c>
      <c r="I378" s="20" t="s">
        <v>1753</v>
      </c>
      <c r="J378" s="20" t="s">
        <v>1754</v>
      </c>
      <c r="K378" s="22"/>
      <c r="L378" s="23"/>
      <c r="M378" s="20" t="s">
        <v>100</v>
      </c>
      <c r="N378" s="24" t="n">
        <v>6.5534753</v>
      </c>
      <c r="O378" s="24" t="n">
        <v>3.3673956</v>
      </c>
      <c r="P378" s="20" t="s">
        <v>125</v>
      </c>
      <c r="Q378" s="20" t="s">
        <v>86</v>
      </c>
      <c r="R378" s="20" t="s">
        <v>86</v>
      </c>
      <c r="S378" s="20" t="s">
        <v>87</v>
      </c>
      <c r="T378" s="27" t="s">
        <v>117</v>
      </c>
      <c r="U378" s="20" t="s">
        <v>118</v>
      </c>
      <c r="V378" s="20" t="s">
        <v>90</v>
      </c>
      <c r="W378" s="21"/>
    </row>
    <row r="379" customFormat="false" ht="23.85" hidden="false" customHeight="false" outlineLevel="0" collapsed="false">
      <c r="A379" s="20" t="n">
        <v>378</v>
      </c>
      <c r="B379" s="20" t="s">
        <v>1755</v>
      </c>
      <c r="C379" s="20" t="s">
        <v>4</v>
      </c>
      <c r="D379" s="20" t="s">
        <v>1756</v>
      </c>
      <c r="E379" s="20" t="s">
        <v>32</v>
      </c>
      <c r="F379" s="20" t="s">
        <v>1757</v>
      </c>
      <c r="G379" s="21" t="s">
        <v>1758</v>
      </c>
      <c r="H379" s="20" t="s">
        <v>1759</v>
      </c>
      <c r="I379" s="20" t="s">
        <v>1760</v>
      </c>
      <c r="J379" s="20" t="s">
        <v>1761</v>
      </c>
      <c r="K379" s="22" t="n">
        <v>5</v>
      </c>
      <c r="L379" s="23" t="n">
        <v>1</v>
      </c>
      <c r="M379" s="20" t="s">
        <v>100</v>
      </c>
      <c r="N379" s="24" t="n">
        <v>6.5578198</v>
      </c>
      <c r="O379" s="24" t="n">
        <v>3.3673087</v>
      </c>
      <c r="P379" s="20" t="s">
        <v>125</v>
      </c>
      <c r="Q379" s="20" t="s">
        <v>86</v>
      </c>
      <c r="R379" s="20" t="s">
        <v>86</v>
      </c>
      <c r="S379" s="20" t="s">
        <v>87</v>
      </c>
      <c r="T379" s="27" t="s">
        <v>117</v>
      </c>
      <c r="U379" s="20" t="s">
        <v>118</v>
      </c>
      <c r="V379" s="20" t="s">
        <v>90</v>
      </c>
      <c r="W379" s="21"/>
    </row>
    <row r="380" customFormat="false" ht="15" hidden="false" customHeight="false" outlineLevel="0" collapsed="false">
      <c r="A380" s="20" t="n">
        <v>379</v>
      </c>
      <c r="B380" s="20" t="s">
        <v>1762</v>
      </c>
      <c r="C380" s="20" t="s">
        <v>4</v>
      </c>
      <c r="D380" s="20" t="s">
        <v>1763</v>
      </c>
      <c r="E380" s="20" t="s">
        <v>32</v>
      </c>
      <c r="F380" s="20" t="s">
        <v>32</v>
      </c>
      <c r="G380" s="21" t="s">
        <v>1764</v>
      </c>
      <c r="H380" s="20" t="s">
        <v>1765</v>
      </c>
      <c r="I380" s="20"/>
      <c r="J380" s="20"/>
      <c r="K380" s="22"/>
      <c r="L380" s="23"/>
      <c r="M380" s="20" t="s">
        <v>100</v>
      </c>
      <c r="N380" s="24"/>
      <c r="O380" s="24"/>
      <c r="P380" s="20" t="s">
        <v>101</v>
      </c>
      <c r="Q380" s="20" t="s">
        <v>86</v>
      </c>
      <c r="R380" s="20" t="s">
        <v>86</v>
      </c>
      <c r="S380" s="20" t="s">
        <v>102</v>
      </c>
      <c r="T380" s="26" t="s">
        <v>103</v>
      </c>
      <c r="U380" s="20" t="s">
        <v>104</v>
      </c>
      <c r="V380" s="20" t="s">
        <v>138</v>
      </c>
      <c r="W380" s="21" t="s">
        <v>538</v>
      </c>
    </row>
    <row r="381" customFormat="false" ht="23.85" hidden="false" customHeight="false" outlineLevel="0" collapsed="false">
      <c r="A381" s="20" t="n">
        <v>380</v>
      </c>
      <c r="B381" s="20" t="s">
        <v>1766</v>
      </c>
      <c r="C381" s="20" t="s">
        <v>4</v>
      </c>
      <c r="D381" s="20" t="s">
        <v>981</v>
      </c>
      <c r="E381" s="20" t="s">
        <v>32</v>
      </c>
      <c r="F381" s="20" t="s">
        <v>1767</v>
      </c>
      <c r="G381" s="21" t="s">
        <v>982</v>
      </c>
      <c r="H381" s="20"/>
      <c r="I381" s="20"/>
      <c r="J381" s="20" t="s">
        <v>1768</v>
      </c>
      <c r="K381" s="22"/>
      <c r="L381" s="23"/>
      <c r="M381" s="20" t="s">
        <v>84</v>
      </c>
      <c r="N381" s="24" t="n">
        <v>6.5590858</v>
      </c>
      <c r="O381" s="24" t="n">
        <v>3.3699907</v>
      </c>
      <c r="P381" s="20" t="s">
        <v>125</v>
      </c>
      <c r="Q381" s="20" t="s">
        <v>86</v>
      </c>
      <c r="R381" s="20" t="s">
        <v>86</v>
      </c>
      <c r="S381" s="20" t="s">
        <v>87</v>
      </c>
      <c r="T381" s="25" t="s">
        <v>88</v>
      </c>
      <c r="U381" s="20" t="s">
        <v>89</v>
      </c>
      <c r="V381" s="20" t="s">
        <v>90</v>
      </c>
      <c r="W381" s="21"/>
    </row>
    <row r="382" customFormat="false" ht="15" hidden="false" customHeight="false" outlineLevel="0" collapsed="false">
      <c r="A382" s="20" t="n">
        <v>381</v>
      </c>
      <c r="B382" s="20" t="s">
        <v>1769</v>
      </c>
      <c r="C382" s="20" t="s">
        <v>4</v>
      </c>
      <c r="D382" s="20" t="s">
        <v>1770</v>
      </c>
      <c r="E382" s="20" t="s">
        <v>32</v>
      </c>
      <c r="F382" s="20" t="s">
        <v>1771</v>
      </c>
      <c r="G382" s="21" t="s">
        <v>1772</v>
      </c>
      <c r="H382" s="20" t="s">
        <v>1773</v>
      </c>
      <c r="I382" s="20"/>
      <c r="J382" s="20"/>
      <c r="K382" s="22"/>
      <c r="L382" s="23"/>
      <c r="M382" s="20" t="s">
        <v>100</v>
      </c>
      <c r="N382" s="24"/>
      <c r="O382" s="24"/>
      <c r="P382" s="20" t="s">
        <v>101</v>
      </c>
      <c r="Q382" s="20" t="s">
        <v>86</v>
      </c>
      <c r="R382" s="20" t="s">
        <v>86</v>
      </c>
      <c r="S382" s="20" t="s">
        <v>102</v>
      </c>
      <c r="T382" s="26" t="s">
        <v>103</v>
      </c>
      <c r="U382" s="20" t="s">
        <v>104</v>
      </c>
      <c r="V382" s="20" t="s">
        <v>138</v>
      </c>
      <c r="W382" s="21" t="s">
        <v>181</v>
      </c>
    </row>
    <row r="383" customFormat="false" ht="23.85" hidden="false" customHeight="false" outlineLevel="0" collapsed="false">
      <c r="A383" s="20" t="n">
        <v>382</v>
      </c>
      <c r="B383" s="20" t="s">
        <v>1774</v>
      </c>
      <c r="C383" s="20" t="s">
        <v>4</v>
      </c>
      <c r="D383" s="20" t="s">
        <v>1775</v>
      </c>
      <c r="E383" s="20" t="s">
        <v>32</v>
      </c>
      <c r="F383" s="20" t="s">
        <v>1776</v>
      </c>
      <c r="G383" s="21" t="s">
        <v>1777</v>
      </c>
      <c r="H383" s="20"/>
      <c r="I383" s="20"/>
      <c r="J383" s="20" t="s">
        <v>1778</v>
      </c>
      <c r="K383" s="22" t="n">
        <v>4</v>
      </c>
      <c r="L383" s="23" t="n">
        <v>1</v>
      </c>
      <c r="M383" s="20" t="s">
        <v>84</v>
      </c>
      <c r="N383" s="24" t="n">
        <v>6.55783</v>
      </c>
      <c r="O383" s="24" t="n">
        <v>3.36713</v>
      </c>
      <c r="P383" s="20" t="s">
        <v>125</v>
      </c>
      <c r="Q383" s="20" t="s">
        <v>86</v>
      </c>
      <c r="R383" s="20" t="s">
        <v>86</v>
      </c>
      <c r="S383" s="20" t="s">
        <v>87</v>
      </c>
      <c r="T383" s="25" t="s">
        <v>88</v>
      </c>
      <c r="U383" s="20" t="s">
        <v>89</v>
      </c>
      <c r="V383" s="20" t="s">
        <v>90</v>
      </c>
      <c r="W383" s="21"/>
    </row>
    <row r="384" customFormat="false" ht="35.05" hidden="false" customHeight="false" outlineLevel="0" collapsed="false">
      <c r="A384" s="20" t="n">
        <v>383</v>
      </c>
      <c r="B384" s="20" t="s">
        <v>1779</v>
      </c>
      <c r="C384" s="20" t="s">
        <v>4</v>
      </c>
      <c r="D384" s="20" t="s">
        <v>1780</v>
      </c>
      <c r="E384" s="20" t="s">
        <v>32</v>
      </c>
      <c r="F384" s="20" t="s">
        <v>1781</v>
      </c>
      <c r="G384" s="21" t="s">
        <v>1782</v>
      </c>
      <c r="H384" s="20" t="s">
        <v>1783</v>
      </c>
      <c r="I384" s="20" t="s">
        <v>1784</v>
      </c>
      <c r="J384" s="20" t="s">
        <v>1785</v>
      </c>
      <c r="K384" s="22" t="n">
        <v>2.7</v>
      </c>
      <c r="L384" s="23" t="n">
        <v>64</v>
      </c>
      <c r="M384" s="20" t="s">
        <v>100</v>
      </c>
      <c r="N384" s="24" t="n">
        <v>6.5574931</v>
      </c>
      <c r="O384" s="24" t="n">
        <v>3.3694488</v>
      </c>
      <c r="P384" s="20" t="s">
        <v>125</v>
      </c>
      <c r="Q384" s="20" t="s">
        <v>86</v>
      </c>
      <c r="R384" s="20" t="s">
        <v>86</v>
      </c>
      <c r="S384" s="20" t="s">
        <v>87</v>
      </c>
      <c r="T384" s="27" t="s">
        <v>117</v>
      </c>
      <c r="U384" s="20" t="s">
        <v>118</v>
      </c>
      <c r="V384" s="20" t="s">
        <v>90</v>
      </c>
      <c r="W384" s="21"/>
    </row>
    <row r="385" customFormat="false" ht="15" hidden="false" customHeight="false" outlineLevel="0" collapsed="false">
      <c r="A385" s="20" t="n">
        <v>384</v>
      </c>
      <c r="B385" s="20" t="s">
        <v>1786</v>
      </c>
      <c r="C385" s="20" t="s">
        <v>4</v>
      </c>
      <c r="D385" s="20" t="s">
        <v>1787</v>
      </c>
      <c r="E385" s="20" t="s">
        <v>32</v>
      </c>
      <c r="F385" s="20" t="s">
        <v>1788</v>
      </c>
      <c r="G385" s="21" t="s">
        <v>1789</v>
      </c>
      <c r="H385" s="20" t="s">
        <v>1790</v>
      </c>
      <c r="I385" s="20"/>
      <c r="J385" s="20"/>
      <c r="K385" s="22"/>
      <c r="L385" s="23"/>
      <c r="M385" s="20" t="s">
        <v>100</v>
      </c>
      <c r="N385" s="24"/>
      <c r="O385" s="24"/>
      <c r="P385" s="20" t="s">
        <v>101</v>
      </c>
      <c r="Q385" s="20" t="s">
        <v>86</v>
      </c>
      <c r="R385" s="20" t="s">
        <v>86</v>
      </c>
      <c r="S385" s="20" t="s">
        <v>102</v>
      </c>
      <c r="T385" s="26" t="s">
        <v>103</v>
      </c>
      <c r="U385" s="20" t="s">
        <v>104</v>
      </c>
      <c r="V385" s="20" t="s">
        <v>138</v>
      </c>
      <c r="W385" s="21" t="s">
        <v>1009</v>
      </c>
    </row>
    <row r="386" customFormat="false" ht="15" hidden="false" customHeight="false" outlineLevel="0" collapsed="false">
      <c r="A386" s="20" t="n">
        <v>385</v>
      </c>
      <c r="B386" s="20" t="s">
        <v>1791</v>
      </c>
      <c r="C386" s="20" t="s">
        <v>4</v>
      </c>
      <c r="D386" s="20" t="s">
        <v>1792</v>
      </c>
      <c r="E386" s="20" t="s">
        <v>32</v>
      </c>
      <c r="F386" s="20" t="s">
        <v>1706</v>
      </c>
      <c r="G386" s="21" t="s">
        <v>1793</v>
      </c>
      <c r="H386" s="20" t="s">
        <v>1794</v>
      </c>
      <c r="I386" s="20" t="s">
        <v>1795</v>
      </c>
      <c r="J386" s="20" t="s">
        <v>1796</v>
      </c>
      <c r="K386" s="22" t="n">
        <v>4.4</v>
      </c>
      <c r="L386" s="23" t="n">
        <v>20</v>
      </c>
      <c r="M386" s="20" t="s">
        <v>100</v>
      </c>
      <c r="N386" s="24" t="n">
        <v>6.5607142</v>
      </c>
      <c r="O386" s="24" t="n">
        <v>3.3676863</v>
      </c>
      <c r="P386" s="20" t="s">
        <v>125</v>
      </c>
      <c r="Q386" s="20" t="s">
        <v>86</v>
      </c>
      <c r="R386" s="20" t="s">
        <v>86</v>
      </c>
      <c r="S386" s="20" t="s">
        <v>87</v>
      </c>
      <c r="T386" s="27" t="s">
        <v>117</v>
      </c>
      <c r="U386" s="20" t="s">
        <v>118</v>
      </c>
      <c r="V386" s="20" t="s">
        <v>90</v>
      </c>
      <c r="W386" s="21"/>
    </row>
    <row r="387" customFormat="false" ht="15" hidden="false" customHeight="false" outlineLevel="0" collapsed="false">
      <c r="A387" s="20" t="n">
        <v>386</v>
      </c>
      <c r="B387" s="20" t="s">
        <v>1797</v>
      </c>
      <c r="C387" s="20" t="s">
        <v>4</v>
      </c>
      <c r="D387" s="20" t="s">
        <v>1798</v>
      </c>
      <c r="E387" s="20" t="s">
        <v>32</v>
      </c>
      <c r="F387" s="20" t="s">
        <v>1690</v>
      </c>
      <c r="G387" s="21" t="s">
        <v>1799</v>
      </c>
      <c r="H387" s="20" t="s">
        <v>1800</v>
      </c>
      <c r="I387" s="20" t="s">
        <v>1801</v>
      </c>
      <c r="J387" s="20" t="s">
        <v>1802</v>
      </c>
      <c r="K387" s="22" t="n">
        <v>5</v>
      </c>
      <c r="L387" s="23" t="n">
        <v>13</v>
      </c>
      <c r="M387" s="20" t="s">
        <v>100</v>
      </c>
      <c r="N387" s="24" t="n">
        <v>6.5577699</v>
      </c>
      <c r="O387" s="24" t="n">
        <v>3.3701759</v>
      </c>
      <c r="P387" s="20" t="s">
        <v>125</v>
      </c>
      <c r="Q387" s="20" t="s">
        <v>86</v>
      </c>
      <c r="R387" s="20" t="s">
        <v>86</v>
      </c>
      <c r="S387" s="20" t="s">
        <v>87</v>
      </c>
      <c r="T387" s="27" t="s">
        <v>117</v>
      </c>
      <c r="U387" s="20" t="s">
        <v>118</v>
      </c>
      <c r="V387" s="20" t="s">
        <v>90</v>
      </c>
      <c r="W387" s="21"/>
    </row>
    <row r="388" customFormat="false" ht="15" hidden="false" customHeight="false" outlineLevel="0" collapsed="false">
      <c r="A388" s="20" t="n">
        <v>387</v>
      </c>
      <c r="B388" s="20" t="s">
        <v>1803</v>
      </c>
      <c r="C388" s="20" t="s">
        <v>4</v>
      </c>
      <c r="D388" s="20" t="s">
        <v>1804</v>
      </c>
      <c r="E388" s="20" t="s">
        <v>32</v>
      </c>
      <c r="F388" s="20" t="s">
        <v>710</v>
      </c>
      <c r="G388" s="21" t="s">
        <v>1805</v>
      </c>
      <c r="H388" s="20" t="s">
        <v>1806</v>
      </c>
      <c r="I388" s="20"/>
      <c r="J388" s="20"/>
      <c r="K388" s="22"/>
      <c r="L388" s="23"/>
      <c r="M388" s="20" t="s">
        <v>100</v>
      </c>
      <c r="N388" s="24"/>
      <c r="O388" s="24"/>
      <c r="P388" s="20" t="s">
        <v>101</v>
      </c>
      <c r="Q388" s="20" t="s">
        <v>86</v>
      </c>
      <c r="R388" s="20" t="s">
        <v>86</v>
      </c>
      <c r="S388" s="20" t="s">
        <v>102</v>
      </c>
      <c r="T388" s="26" t="s">
        <v>103</v>
      </c>
      <c r="U388" s="20" t="s">
        <v>104</v>
      </c>
      <c r="V388" s="20" t="s">
        <v>90</v>
      </c>
      <c r="W388" s="21"/>
    </row>
    <row r="389" customFormat="false" ht="15" hidden="false" customHeight="false" outlineLevel="0" collapsed="false">
      <c r="A389" s="20" t="n">
        <v>388</v>
      </c>
      <c r="B389" s="20" t="s">
        <v>1807</v>
      </c>
      <c r="C389" s="20" t="s">
        <v>4</v>
      </c>
      <c r="D389" s="20" t="s">
        <v>1808</v>
      </c>
      <c r="E389" s="20" t="s">
        <v>32</v>
      </c>
      <c r="F389" s="20" t="s">
        <v>1771</v>
      </c>
      <c r="G389" s="21" t="s">
        <v>1809</v>
      </c>
      <c r="H389" s="20" t="s">
        <v>1810</v>
      </c>
      <c r="I389" s="20"/>
      <c r="J389" s="20"/>
      <c r="K389" s="22"/>
      <c r="L389" s="23"/>
      <c r="M389" s="20" t="s">
        <v>100</v>
      </c>
      <c r="N389" s="24"/>
      <c r="O389" s="24"/>
      <c r="P389" s="20" t="s">
        <v>101</v>
      </c>
      <c r="Q389" s="20" t="s">
        <v>86</v>
      </c>
      <c r="R389" s="20" t="s">
        <v>86</v>
      </c>
      <c r="S389" s="20" t="s">
        <v>102</v>
      </c>
      <c r="T389" s="26" t="s">
        <v>103</v>
      </c>
      <c r="U389" s="20" t="s">
        <v>104</v>
      </c>
      <c r="V389" s="20" t="s">
        <v>138</v>
      </c>
      <c r="W389" s="21" t="s">
        <v>181</v>
      </c>
    </row>
    <row r="390" customFormat="false" ht="15" hidden="false" customHeight="false" outlineLevel="0" collapsed="false">
      <c r="A390" s="20" t="n">
        <v>389</v>
      </c>
      <c r="B390" s="20" t="s">
        <v>1811</v>
      </c>
      <c r="C390" s="20" t="s">
        <v>4</v>
      </c>
      <c r="D390" s="20" t="s">
        <v>170</v>
      </c>
      <c r="E390" s="20" t="s">
        <v>32</v>
      </c>
      <c r="F390" s="20" t="s">
        <v>1812</v>
      </c>
      <c r="G390" s="21" t="s">
        <v>1813</v>
      </c>
      <c r="H390" s="20" t="s">
        <v>1814</v>
      </c>
      <c r="I390" s="20" t="s">
        <v>1815</v>
      </c>
      <c r="J390" s="20"/>
      <c r="K390" s="22"/>
      <c r="L390" s="23"/>
      <c r="M390" s="20" t="s">
        <v>100</v>
      </c>
      <c r="N390" s="24"/>
      <c r="O390" s="24"/>
      <c r="P390" s="20" t="s">
        <v>101</v>
      </c>
      <c r="Q390" s="20" t="s">
        <v>86</v>
      </c>
      <c r="R390" s="20" t="s">
        <v>86</v>
      </c>
      <c r="S390" s="20" t="s">
        <v>102</v>
      </c>
      <c r="T390" s="27" t="s">
        <v>117</v>
      </c>
      <c r="U390" s="20" t="s">
        <v>118</v>
      </c>
      <c r="V390" s="20" t="s">
        <v>90</v>
      </c>
      <c r="W390" s="21"/>
    </row>
    <row r="391" customFormat="false" ht="23.85" hidden="false" customHeight="false" outlineLevel="0" collapsed="false">
      <c r="A391" s="20" t="n">
        <v>390</v>
      </c>
      <c r="B391" s="20" t="s">
        <v>1816</v>
      </c>
      <c r="C391" s="20" t="s">
        <v>4</v>
      </c>
      <c r="D391" s="20" t="s">
        <v>1817</v>
      </c>
      <c r="E391" s="20" t="s">
        <v>32</v>
      </c>
      <c r="F391" s="20" t="s">
        <v>1776</v>
      </c>
      <c r="G391" s="21" t="s">
        <v>1818</v>
      </c>
      <c r="H391" s="20"/>
      <c r="I391" s="20"/>
      <c r="J391" s="20" t="s">
        <v>1819</v>
      </c>
      <c r="K391" s="22" t="n">
        <v>5</v>
      </c>
      <c r="L391" s="23" t="n">
        <v>2</v>
      </c>
      <c r="M391" s="20" t="s">
        <v>84</v>
      </c>
      <c r="N391" s="24" t="n">
        <v>6.56129</v>
      </c>
      <c r="O391" s="24" t="n">
        <v>3.36797</v>
      </c>
      <c r="P391" s="20" t="s">
        <v>125</v>
      </c>
      <c r="Q391" s="20" t="s">
        <v>86</v>
      </c>
      <c r="R391" s="20" t="s">
        <v>86</v>
      </c>
      <c r="S391" s="20" t="s">
        <v>87</v>
      </c>
      <c r="T391" s="25" t="s">
        <v>88</v>
      </c>
      <c r="U391" s="20" t="s">
        <v>89</v>
      </c>
      <c r="V391" s="20" t="s">
        <v>90</v>
      </c>
      <c r="W391" s="21"/>
    </row>
    <row r="392" customFormat="false" ht="15" hidden="false" customHeight="false" outlineLevel="0" collapsed="false">
      <c r="A392" s="20" t="n">
        <v>391</v>
      </c>
      <c r="B392" s="20" t="s">
        <v>1820</v>
      </c>
      <c r="C392" s="20" t="s">
        <v>4</v>
      </c>
      <c r="D392" s="20" t="s">
        <v>1821</v>
      </c>
      <c r="E392" s="20" t="s">
        <v>32</v>
      </c>
      <c r="F392" s="20" t="s">
        <v>32</v>
      </c>
      <c r="G392" s="21" t="s">
        <v>1822</v>
      </c>
      <c r="H392" s="20" t="s">
        <v>1823</v>
      </c>
      <c r="I392" s="20"/>
      <c r="J392" s="20"/>
      <c r="K392" s="22"/>
      <c r="L392" s="23"/>
      <c r="M392" s="20" t="s">
        <v>100</v>
      </c>
      <c r="N392" s="24"/>
      <c r="O392" s="24"/>
      <c r="P392" s="20" t="s">
        <v>101</v>
      </c>
      <c r="Q392" s="20" t="s">
        <v>86</v>
      </c>
      <c r="R392" s="20" t="s">
        <v>86</v>
      </c>
      <c r="S392" s="20" t="s">
        <v>102</v>
      </c>
      <c r="T392" s="26" t="s">
        <v>103</v>
      </c>
      <c r="U392" s="20" t="s">
        <v>104</v>
      </c>
      <c r="V392" s="20" t="s">
        <v>138</v>
      </c>
      <c r="W392" s="21" t="s">
        <v>538</v>
      </c>
    </row>
    <row r="393" customFormat="false" ht="15" hidden="false" customHeight="false" outlineLevel="0" collapsed="false">
      <c r="A393" s="20" t="n">
        <v>392</v>
      </c>
      <c r="B393" s="20" t="s">
        <v>1824</v>
      </c>
      <c r="C393" s="20" t="s">
        <v>4</v>
      </c>
      <c r="D393" s="20" t="s">
        <v>1825</v>
      </c>
      <c r="E393" s="20" t="s">
        <v>32</v>
      </c>
      <c r="F393" s="20" t="s">
        <v>1788</v>
      </c>
      <c r="G393" s="21" t="s">
        <v>1826</v>
      </c>
      <c r="H393" s="20" t="s">
        <v>1827</v>
      </c>
      <c r="I393" s="20"/>
      <c r="J393" s="20"/>
      <c r="K393" s="22"/>
      <c r="L393" s="23"/>
      <c r="M393" s="20" t="s">
        <v>100</v>
      </c>
      <c r="N393" s="24"/>
      <c r="O393" s="24"/>
      <c r="P393" s="20" t="s">
        <v>101</v>
      </c>
      <c r="Q393" s="20" t="s">
        <v>86</v>
      </c>
      <c r="R393" s="20" t="s">
        <v>86</v>
      </c>
      <c r="S393" s="20" t="s">
        <v>102</v>
      </c>
      <c r="T393" s="26" t="s">
        <v>103</v>
      </c>
      <c r="U393" s="20" t="s">
        <v>104</v>
      </c>
      <c r="V393" s="20" t="s">
        <v>138</v>
      </c>
      <c r="W393" s="21" t="s">
        <v>1009</v>
      </c>
    </row>
    <row r="394" customFormat="false" ht="23.85" hidden="false" customHeight="false" outlineLevel="0" collapsed="false">
      <c r="A394" s="20" t="n">
        <v>393</v>
      </c>
      <c r="B394" s="20" t="s">
        <v>1828</v>
      </c>
      <c r="C394" s="20" t="s">
        <v>4</v>
      </c>
      <c r="D394" s="20" t="s">
        <v>1740</v>
      </c>
      <c r="E394" s="20" t="s">
        <v>32</v>
      </c>
      <c r="F394" s="20" t="s">
        <v>1706</v>
      </c>
      <c r="G394" s="21" t="s">
        <v>1742</v>
      </c>
      <c r="H394" s="20" t="s">
        <v>1829</v>
      </c>
      <c r="I394" s="20" t="s">
        <v>1830</v>
      </c>
      <c r="J394" s="20" t="s">
        <v>1831</v>
      </c>
      <c r="K394" s="22" t="n">
        <v>4.8</v>
      </c>
      <c r="L394" s="23" t="n">
        <v>5</v>
      </c>
      <c r="M394" s="20" t="s">
        <v>100</v>
      </c>
      <c r="N394" s="24" t="n">
        <v>6.5593888</v>
      </c>
      <c r="O394" s="24" t="n">
        <v>3.3671534</v>
      </c>
      <c r="P394" s="20" t="s">
        <v>125</v>
      </c>
      <c r="Q394" s="20" t="s">
        <v>86</v>
      </c>
      <c r="R394" s="20" t="s">
        <v>86</v>
      </c>
      <c r="S394" s="20" t="s">
        <v>87</v>
      </c>
      <c r="T394" s="27" t="s">
        <v>117</v>
      </c>
      <c r="U394" s="20" t="s">
        <v>118</v>
      </c>
      <c r="V394" s="20" t="s">
        <v>90</v>
      </c>
      <c r="W394" s="21"/>
    </row>
    <row r="395" customFormat="false" ht="15" hidden="false" customHeight="false" outlineLevel="0" collapsed="false">
      <c r="A395" s="20" t="n">
        <v>394</v>
      </c>
      <c r="B395" s="20" t="s">
        <v>1832</v>
      </c>
      <c r="C395" s="20" t="s">
        <v>4</v>
      </c>
      <c r="D395" s="20"/>
      <c r="E395" s="20" t="s">
        <v>32</v>
      </c>
      <c r="F395" s="20"/>
      <c r="G395" s="21"/>
      <c r="H395" s="20"/>
      <c r="I395" s="20"/>
      <c r="J395" s="20"/>
      <c r="K395" s="22" t="n">
        <v>3.9</v>
      </c>
      <c r="L395" s="23" t="n">
        <v>30</v>
      </c>
      <c r="M395" s="20" t="s">
        <v>84</v>
      </c>
      <c r="N395" s="24" t="n">
        <v>6.56333</v>
      </c>
      <c r="O395" s="24" t="n">
        <v>3.36951</v>
      </c>
      <c r="P395" s="20" t="s">
        <v>85</v>
      </c>
      <c r="Q395" s="20" t="s">
        <v>86</v>
      </c>
      <c r="R395" s="20" t="s">
        <v>86</v>
      </c>
      <c r="S395" s="20" t="s">
        <v>87</v>
      </c>
      <c r="T395" s="25" t="s">
        <v>88</v>
      </c>
      <c r="U395" s="20" t="s">
        <v>89</v>
      </c>
      <c r="V395" s="20" t="s">
        <v>90</v>
      </c>
      <c r="W395" s="21"/>
    </row>
    <row r="396" customFormat="false" ht="23.85" hidden="false" customHeight="false" outlineLevel="0" collapsed="false">
      <c r="A396" s="20" t="n">
        <v>395</v>
      </c>
      <c r="B396" s="20" t="s">
        <v>1833</v>
      </c>
      <c r="C396" s="20" t="s">
        <v>4</v>
      </c>
      <c r="D396" s="20" t="s">
        <v>1834</v>
      </c>
      <c r="E396" s="20" t="s">
        <v>32</v>
      </c>
      <c r="F396" s="20" t="s">
        <v>710</v>
      </c>
      <c r="G396" s="21" t="s">
        <v>1835</v>
      </c>
      <c r="H396" s="20" t="s">
        <v>1836</v>
      </c>
      <c r="I396" s="20"/>
      <c r="J396" s="20"/>
      <c r="K396" s="22"/>
      <c r="L396" s="23"/>
      <c r="M396" s="20" t="s">
        <v>100</v>
      </c>
      <c r="N396" s="24"/>
      <c r="O396" s="24"/>
      <c r="P396" s="20" t="s">
        <v>101</v>
      </c>
      <c r="Q396" s="20" t="s">
        <v>86</v>
      </c>
      <c r="R396" s="20" t="s">
        <v>86</v>
      </c>
      <c r="S396" s="20" t="s">
        <v>102</v>
      </c>
      <c r="T396" s="26" t="s">
        <v>103</v>
      </c>
      <c r="U396" s="20" t="s">
        <v>104</v>
      </c>
      <c r="V396" s="20" t="s">
        <v>90</v>
      </c>
      <c r="W396" s="21"/>
    </row>
    <row r="397" customFormat="false" ht="15" hidden="false" customHeight="false" outlineLevel="0" collapsed="false">
      <c r="A397" s="20" t="n">
        <v>396</v>
      </c>
      <c r="B397" s="20" t="s">
        <v>1837</v>
      </c>
      <c r="C397" s="20" t="s">
        <v>4</v>
      </c>
      <c r="D397" s="20" t="s">
        <v>1838</v>
      </c>
      <c r="E397" s="20" t="s">
        <v>32</v>
      </c>
      <c r="F397" s="20" t="s">
        <v>32</v>
      </c>
      <c r="G397" s="21" t="s">
        <v>1839</v>
      </c>
      <c r="H397" s="20" t="s">
        <v>1840</v>
      </c>
      <c r="I397" s="20"/>
      <c r="J397" s="20"/>
      <c r="K397" s="22"/>
      <c r="L397" s="23"/>
      <c r="M397" s="20" t="s">
        <v>100</v>
      </c>
      <c r="N397" s="24"/>
      <c r="O397" s="24"/>
      <c r="P397" s="20" t="s">
        <v>101</v>
      </c>
      <c r="Q397" s="20" t="s">
        <v>86</v>
      </c>
      <c r="R397" s="20" t="s">
        <v>86</v>
      </c>
      <c r="S397" s="20" t="s">
        <v>102</v>
      </c>
      <c r="T397" s="26" t="s">
        <v>103</v>
      </c>
      <c r="U397" s="20" t="s">
        <v>104</v>
      </c>
      <c r="V397" s="20" t="s">
        <v>138</v>
      </c>
      <c r="W397" s="21" t="s">
        <v>299</v>
      </c>
    </row>
    <row r="398" customFormat="false" ht="15" hidden="false" customHeight="false" outlineLevel="0" collapsed="false">
      <c r="A398" s="20" t="n">
        <v>397</v>
      </c>
      <c r="B398" s="20" t="s">
        <v>1841</v>
      </c>
      <c r="C398" s="20" t="s">
        <v>4</v>
      </c>
      <c r="D398" s="20" t="s">
        <v>1842</v>
      </c>
      <c r="E398" s="20" t="s">
        <v>32</v>
      </c>
      <c r="F398" s="20" t="s">
        <v>1690</v>
      </c>
      <c r="G398" s="21" t="s">
        <v>1843</v>
      </c>
      <c r="H398" s="20" t="s">
        <v>1844</v>
      </c>
      <c r="I398" s="20"/>
      <c r="J398" s="20"/>
      <c r="K398" s="22"/>
      <c r="L398" s="23"/>
      <c r="M398" s="20" t="s">
        <v>100</v>
      </c>
      <c r="N398" s="24" t="n">
        <v>6.57385</v>
      </c>
      <c r="O398" s="24" t="n">
        <v>3.36736</v>
      </c>
      <c r="P398" s="20" t="s">
        <v>85</v>
      </c>
      <c r="Q398" s="20" t="s">
        <v>86</v>
      </c>
      <c r="R398" s="20" t="s">
        <v>86</v>
      </c>
      <c r="S398" s="20" t="s">
        <v>87</v>
      </c>
      <c r="T398" s="26" t="s">
        <v>103</v>
      </c>
      <c r="U398" s="20" t="s">
        <v>104</v>
      </c>
      <c r="V398" s="20" t="s">
        <v>90</v>
      </c>
      <c r="W398" s="21"/>
    </row>
    <row r="399" customFormat="false" ht="23.85" hidden="false" customHeight="false" outlineLevel="0" collapsed="false">
      <c r="A399" s="20" t="n">
        <v>398</v>
      </c>
      <c r="B399" s="20" t="s">
        <v>1845</v>
      </c>
      <c r="C399" s="20" t="s">
        <v>4</v>
      </c>
      <c r="D399" s="20" t="s">
        <v>1846</v>
      </c>
      <c r="E399" s="20" t="s">
        <v>32</v>
      </c>
      <c r="F399" s="20" t="s">
        <v>1847</v>
      </c>
      <c r="G399" s="21" t="s">
        <v>1848</v>
      </c>
      <c r="H399" s="20" t="s">
        <v>1849</v>
      </c>
      <c r="I399" s="20"/>
      <c r="J399" s="20" t="s">
        <v>1850</v>
      </c>
      <c r="K399" s="22" t="n">
        <v>4</v>
      </c>
      <c r="L399" s="23" t="n">
        <v>1</v>
      </c>
      <c r="M399" s="20" t="s">
        <v>100</v>
      </c>
      <c r="N399" s="24" t="n">
        <v>6.5594779</v>
      </c>
      <c r="O399" s="24" t="n">
        <v>3.3678653</v>
      </c>
      <c r="P399" s="20" t="s">
        <v>125</v>
      </c>
      <c r="Q399" s="20" t="s">
        <v>86</v>
      </c>
      <c r="R399" s="20" t="s">
        <v>86</v>
      </c>
      <c r="S399" s="20" t="s">
        <v>87</v>
      </c>
      <c r="T399" s="26" t="s">
        <v>103</v>
      </c>
      <c r="U399" s="20" t="s">
        <v>104</v>
      </c>
      <c r="V399" s="20" t="s">
        <v>90</v>
      </c>
      <c r="W399" s="21"/>
    </row>
    <row r="400" customFormat="false" ht="15" hidden="false" customHeight="false" outlineLevel="0" collapsed="false">
      <c r="A400" s="20" t="n">
        <v>399</v>
      </c>
      <c r="B400" s="20" t="s">
        <v>1851</v>
      </c>
      <c r="C400" s="20" t="s">
        <v>4</v>
      </c>
      <c r="D400" s="20" t="s">
        <v>1185</v>
      </c>
      <c r="E400" s="20" t="s">
        <v>32</v>
      </c>
      <c r="F400" s="20" t="s">
        <v>1717</v>
      </c>
      <c r="G400" s="21" t="s">
        <v>1186</v>
      </c>
      <c r="H400" s="20" t="s">
        <v>1852</v>
      </c>
      <c r="I400" s="20"/>
      <c r="J400" s="20"/>
      <c r="K400" s="22"/>
      <c r="L400" s="23"/>
      <c r="M400" s="20" t="s">
        <v>100</v>
      </c>
      <c r="N400" s="24"/>
      <c r="O400" s="24"/>
      <c r="P400" s="20" t="s">
        <v>101</v>
      </c>
      <c r="Q400" s="20" t="s">
        <v>86</v>
      </c>
      <c r="R400" s="20" t="s">
        <v>86</v>
      </c>
      <c r="S400" s="20" t="s">
        <v>102</v>
      </c>
      <c r="T400" s="26" t="s">
        <v>103</v>
      </c>
      <c r="U400" s="20" t="s">
        <v>104</v>
      </c>
      <c r="V400" s="20" t="s">
        <v>90</v>
      </c>
      <c r="W400" s="21"/>
    </row>
    <row r="401" customFormat="false" ht="23.85" hidden="false" customHeight="false" outlineLevel="0" collapsed="false">
      <c r="A401" s="20" t="n">
        <v>400</v>
      </c>
      <c r="B401" s="20" t="s">
        <v>1853</v>
      </c>
      <c r="C401" s="20" t="s">
        <v>4</v>
      </c>
      <c r="D401" s="20" t="s">
        <v>1775</v>
      </c>
      <c r="E401" s="20" t="s">
        <v>32</v>
      </c>
      <c r="F401" s="20" t="s">
        <v>1767</v>
      </c>
      <c r="G401" s="21" t="s">
        <v>1854</v>
      </c>
      <c r="H401" s="20" t="s">
        <v>1855</v>
      </c>
      <c r="I401" s="20" t="s">
        <v>1856</v>
      </c>
      <c r="J401" s="20" t="s">
        <v>1857</v>
      </c>
      <c r="K401" s="22"/>
      <c r="L401" s="23"/>
      <c r="M401" s="20" t="s">
        <v>100</v>
      </c>
      <c r="N401" s="24" t="n">
        <v>6.5518841</v>
      </c>
      <c r="O401" s="24" t="n">
        <v>3.3675499</v>
      </c>
      <c r="P401" s="20" t="s">
        <v>125</v>
      </c>
      <c r="Q401" s="20" t="s">
        <v>86</v>
      </c>
      <c r="R401" s="20" t="s">
        <v>86</v>
      </c>
      <c r="S401" s="20" t="s">
        <v>87</v>
      </c>
      <c r="T401" s="27" t="s">
        <v>117</v>
      </c>
      <c r="U401" s="20" t="s">
        <v>118</v>
      </c>
      <c r="V401" s="20" t="s">
        <v>90</v>
      </c>
      <c r="W401" s="21"/>
    </row>
    <row r="402" customFormat="false" ht="23.85" hidden="false" customHeight="false" outlineLevel="0" collapsed="false">
      <c r="A402" s="20" t="n">
        <v>401</v>
      </c>
      <c r="B402" s="20" t="s">
        <v>1858</v>
      </c>
      <c r="C402" s="20" t="s">
        <v>4</v>
      </c>
      <c r="D402" s="20" t="s">
        <v>1859</v>
      </c>
      <c r="E402" s="20" t="s">
        <v>32</v>
      </c>
      <c r="F402" s="20"/>
      <c r="G402" s="21" t="s">
        <v>1860</v>
      </c>
      <c r="H402" s="20"/>
      <c r="I402" s="20"/>
      <c r="J402" s="20" t="s">
        <v>1861</v>
      </c>
      <c r="K402" s="22"/>
      <c r="L402" s="23"/>
      <c r="M402" s="20" t="s">
        <v>84</v>
      </c>
      <c r="N402" s="24" t="n">
        <v>6.5592319</v>
      </c>
      <c r="O402" s="24" t="n">
        <v>3.3685754</v>
      </c>
      <c r="P402" s="20" t="s">
        <v>125</v>
      </c>
      <c r="Q402" s="20" t="s">
        <v>86</v>
      </c>
      <c r="R402" s="20" t="s">
        <v>86</v>
      </c>
      <c r="S402" s="20" t="s">
        <v>87</v>
      </c>
      <c r="T402" s="25" t="s">
        <v>88</v>
      </c>
      <c r="U402" s="20" t="s">
        <v>89</v>
      </c>
      <c r="V402" s="20" t="s">
        <v>90</v>
      </c>
      <c r="W402" s="21"/>
    </row>
    <row r="403" customFormat="false" ht="23.85" hidden="false" customHeight="false" outlineLevel="0" collapsed="false">
      <c r="A403" s="20" t="n">
        <v>402</v>
      </c>
      <c r="B403" s="20" t="s">
        <v>1862</v>
      </c>
      <c r="C403" s="20" t="s">
        <v>4</v>
      </c>
      <c r="D403" s="20" t="s">
        <v>1863</v>
      </c>
      <c r="E403" s="20" t="s">
        <v>32</v>
      </c>
      <c r="F403" s="20" t="s">
        <v>1690</v>
      </c>
      <c r="G403" s="21" t="s">
        <v>1864</v>
      </c>
      <c r="H403" s="20" t="s">
        <v>1865</v>
      </c>
      <c r="I403" s="20"/>
      <c r="J403" s="20" t="s">
        <v>1866</v>
      </c>
      <c r="K403" s="22"/>
      <c r="L403" s="23"/>
      <c r="M403" s="20" t="s">
        <v>100</v>
      </c>
      <c r="N403" s="24" t="n">
        <v>6.5602229</v>
      </c>
      <c r="O403" s="24" t="n">
        <v>3.3689827</v>
      </c>
      <c r="P403" s="20" t="s">
        <v>125</v>
      </c>
      <c r="Q403" s="20" t="s">
        <v>86</v>
      </c>
      <c r="R403" s="20" t="s">
        <v>86</v>
      </c>
      <c r="S403" s="20" t="s">
        <v>87</v>
      </c>
      <c r="T403" s="26" t="s">
        <v>103</v>
      </c>
      <c r="U403" s="20" t="s">
        <v>104</v>
      </c>
      <c r="V403" s="20" t="s">
        <v>90</v>
      </c>
      <c r="W403" s="21"/>
    </row>
    <row r="404" customFormat="false" ht="15" hidden="false" customHeight="false" outlineLevel="0" collapsed="false">
      <c r="A404" s="20" t="n">
        <v>403</v>
      </c>
      <c r="B404" s="20" t="s">
        <v>1867</v>
      </c>
      <c r="C404" s="20" t="s">
        <v>4</v>
      </c>
      <c r="D404" s="20" t="s">
        <v>1868</v>
      </c>
      <c r="E404" s="20" t="s">
        <v>32</v>
      </c>
      <c r="F404" s="20" t="s">
        <v>1869</v>
      </c>
      <c r="G404" s="21" t="s">
        <v>1870</v>
      </c>
      <c r="H404" s="20" t="s">
        <v>1871</v>
      </c>
      <c r="I404" s="20" t="s">
        <v>1872</v>
      </c>
      <c r="J404" s="20" t="s">
        <v>1873</v>
      </c>
      <c r="K404" s="22"/>
      <c r="L404" s="23"/>
      <c r="M404" s="20" t="s">
        <v>100</v>
      </c>
      <c r="N404" s="24" t="n">
        <v>6.5598045</v>
      </c>
      <c r="O404" s="24" t="n">
        <v>3.3689052</v>
      </c>
      <c r="P404" s="20" t="s">
        <v>125</v>
      </c>
      <c r="Q404" s="20" t="s">
        <v>86</v>
      </c>
      <c r="R404" s="20" t="s">
        <v>86</v>
      </c>
      <c r="S404" s="20" t="s">
        <v>87</v>
      </c>
      <c r="T404" s="27" t="s">
        <v>117</v>
      </c>
      <c r="U404" s="20" t="s">
        <v>118</v>
      </c>
      <c r="V404" s="20" t="s">
        <v>90</v>
      </c>
      <c r="W404" s="21"/>
    </row>
    <row r="405" customFormat="false" ht="15" hidden="false" customHeight="false" outlineLevel="0" collapsed="false">
      <c r="A405" s="20" t="n">
        <v>404</v>
      </c>
      <c r="B405" s="20" t="s">
        <v>1874</v>
      </c>
      <c r="C405" s="20" t="s">
        <v>4</v>
      </c>
      <c r="D405" s="20" t="s">
        <v>1875</v>
      </c>
      <c r="E405" s="20" t="s">
        <v>32</v>
      </c>
      <c r="F405" s="20" t="s">
        <v>32</v>
      </c>
      <c r="G405" s="21" t="s">
        <v>1876</v>
      </c>
      <c r="H405" s="20" t="s">
        <v>1877</v>
      </c>
      <c r="I405" s="20"/>
      <c r="J405" s="20"/>
      <c r="K405" s="22" t="n">
        <v>4.9</v>
      </c>
      <c r="L405" s="23" t="n">
        <v>13</v>
      </c>
      <c r="M405" s="20" t="s">
        <v>100</v>
      </c>
      <c r="N405" s="24" t="n">
        <v>6.56269</v>
      </c>
      <c r="O405" s="24" t="n">
        <v>3.3737</v>
      </c>
      <c r="P405" s="20" t="s">
        <v>110</v>
      </c>
      <c r="Q405" s="20" t="s">
        <v>86</v>
      </c>
      <c r="R405" s="20" t="s">
        <v>86</v>
      </c>
      <c r="S405" s="20" t="s">
        <v>87</v>
      </c>
      <c r="T405" s="27" t="s">
        <v>117</v>
      </c>
      <c r="U405" s="20" t="s">
        <v>118</v>
      </c>
      <c r="V405" s="20" t="s">
        <v>138</v>
      </c>
      <c r="W405" s="21" t="s">
        <v>299</v>
      </c>
    </row>
    <row r="406" customFormat="false" ht="23.85" hidden="false" customHeight="false" outlineLevel="0" collapsed="false">
      <c r="A406" s="20" t="n">
        <v>405</v>
      </c>
      <c r="B406" s="20" t="s">
        <v>1878</v>
      </c>
      <c r="C406" s="20" t="s">
        <v>4</v>
      </c>
      <c r="D406" s="20" t="s">
        <v>906</v>
      </c>
      <c r="E406" s="20" t="s">
        <v>32</v>
      </c>
      <c r="F406" s="20" t="s">
        <v>1879</v>
      </c>
      <c r="G406" s="21" t="s">
        <v>908</v>
      </c>
      <c r="H406" s="20" t="s">
        <v>1880</v>
      </c>
      <c r="I406" s="20" t="s">
        <v>1881</v>
      </c>
      <c r="J406" s="20" t="s">
        <v>1882</v>
      </c>
      <c r="K406" s="22" t="n">
        <v>5</v>
      </c>
      <c r="L406" s="23" t="n">
        <v>4</v>
      </c>
      <c r="M406" s="20" t="s">
        <v>100</v>
      </c>
      <c r="N406" s="24" t="n">
        <v>6.5601877</v>
      </c>
      <c r="O406" s="24" t="n">
        <v>3.3697099</v>
      </c>
      <c r="P406" s="20" t="s">
        <v>125</v>
      </c>
      <c r="Q406" s="20" t="s">
        <v>86</v>
      </c>
      <c r="R406" s="20" t="s">
        <v>86</v>
      </c>
      <c r="S406" s="20" t="s">
        <v>87</v>
      </c>
      <c r="T406" s="27" t="s">
        <v>117</v>
      </c>
      <c r="U406" s="20" t="s">
        <v>118</v>
      </c>
      <c r="V406" s="20" t="s">
        <v>90</v>
      </c>
      <c r="W406" s="21"/>
    </row>
    <row r="407" customFormat="false" ht="15" hidden="false" customHeight="false" outlineLevel="0" collapsed="false">
      <c r="A407" s="20" t="n">
        <v>406</v>
      </c>
      <c r="B407" s="20" t="s">
        <v>1883</v>
      </c>
      <c r="C407" s="20" t="s">
        <v>4</v>
      </c>
      <c r="D407" s="20" t="s">
        <v>1884</v>
      </c>
      <c r="E407" s="20" t="s">
        <v>32</v>
      </c>
      <c r="F407" s="20" t="s">
        <v>1717</v>
      </c>
      <c r="G407" s="21" t="s">
        <v>1885</v>
      </c>
      <c r="H407" s="20" t="s">
        <v>1886</v>
      </c>
      <c r="I407" s="20"/>
      <c r="J407" s="20"/>
      <c r="K407" s="22"/>
      <c r="L407" s="23"/>
      <c r="M407" s="20" t="s">
        <v>100</v>
      </c>
      <c r="N407" s="24"/>
      <c r="O407" s="24"/>
      <c r="P407" s="20" t="s">
        <v>101</v>
      </c>
      <c r="Q407" s="20" t="s">
        <v>86</v>
      </c>
      <c r="R407" s="20" t="s">
        <v>86</v>
      </c>
      <c r="S407" s="20" t="s">
        <v>102</v>
      </c>
      <c r="T407" s="26" t="s">
        <v>103</v>
      </c>
      <c r="U407" s="20" t="s">
        <v>104</v>
      </c>
      <c r="V407" s="20" t="s">
        <v>90</v>
      </c>
      <c r="W407" s="21"/>
    </row>
    <row r="408" customFormat="false" ht="23.85" hidden="false" customHeight="false" outlineLevel="0" collapsed="false">
      <c r="A408" s="20" t="n">
        <v>407</v>
      </c>
      <c r="B408" s="20" t="s">
        <v>1887</v>
      </c>
      <c r="C408" s="20" t="s">
        <v>4</v>
      </c>
      <c r="D408" s="20" t="s">
        <v>1888</v>
      </c>
      <c r="E408" s="20" t="s">
        <v>32</v>
      </c>
      <c r="F408" s="20" t="s">
        <v>1776</v>
      </c>
      <c r="G408" s="21" t="s">
        <v>1889</v>
      </c>
      <c r="H408" s="20" t="s">
        <v>1890</v>
      </c>
      <c r="I408" s="20"/>
      <c r="J408" s="20" t="s">
        <v>1891</v>
      </c>
      <c r="K408" s="22" t="n">
        <v>5</v>
      </c>
      <c r="L408" s="23" t="n">
        <v>2</v>
      </c>
      <c r="M408" s="20" t="s">
        <v>100</v>
      </c>
      <c r="N408" s="24" t="n">
        <v>6.552361</v>
      </c>
      <c r="O408" s="24" t="n">
        <v>3.3674504</v>
      </c>
      <c r="P408" s="20" t="s">
        <v>125</v>
      </c>
      <c r="Q408" s="20" t="s">
        <v>86</v>
      </c>
      <c r="R408" s="20" t="s">
        <v>86</v>
      </c>
      <c r="S408" s="20" t="s">
        <v>87</v>
      </c>
      <c r="T408" s="26" t="s">
        <v>103</v>
      </c>
      <c r="U408" s="20" t="s">
        <v>104</v>
      </c>
      <c r="V408" s="20" t="s">
        <v>90</v>
      </c>
      <c r="W408" s="21"/>
    </row>
    <row r="409" customFormat="false" ht="23.85" hidden="false" customHeight="false" outlineLevel="0" collapsed="false">
      <c r="A409" s="20" t="n">
        <v>408</v>
      </c>
      <c r="B409" s="20" t="s">
        <v>1892</v>
      </c>
      <c r="C409" s="20" t="s">
        <v>4</v>
      </c>
      <c r="D409" s="20" t="s">
        <v>1893</v>
      </c>
      <c r="E409" s="20" t="s">
        <v>32</v>
      </c>
      <c r="F409" s="20" t="s">
        <v>1894</v>
      </c>
      <c r="G409" s="21" t="s">
        <v>1895</v>
      </c>
      <c r="H409" s="20"/>
      <c r="I409" s="20"/>
      <c r="J409" s="20" t="s">
        <v>1896</v>
      </c>
      <c r="K409" s="22" t="n">
        <v>4.1</v>
      </c>
      <c r="L409" s="23" t="n">
        <v>7</v>
      </c>
      <c r="M409" s="20" t="s">
        <v>84</v>
      </c>
      <c r="N409" s="24" t="n">
        <v>6.557858</v>
      </c>
      <c r="O409" s="24" t="n">
        <v>3.3673719</v>
      </c>
      <c r="P409" s="20" t="s">
        <v>125</v>
      </c>
      <c r="Q409" s="20" t="s">
        <v>86</v>
      </c>
      <c r="R409" s="20" t="s">
        <v>86</v>
      </c>
      <c r="S409" s="20" t="s">
        <v>87</v>
      </c>
      <c r="T409" s="25" t="s">
        <v>88</v>
      </c>
      <c r="U409" s="20" t="s">
        <v>89</v>
      </c>
      <c r="V409" s="20" t="s">
        <v>90</v>
      </c>
      <c r="W409" s="21"/>
    </row>
    <row r="410" customFormat="false" ht="15" hidden="false" customHeight="false" outlineLevel="0" collapsed="false">
      <c r="A410" s="20" t="n">
        <v>409</v>
      </c>
      <c r="B410" s="20" t="s">
        <v>1897</v>
      </c>
      <c r="C410" s="20" t="s">
        <v>4</v>
      </c>
      <c r="D410" s="20" t="s">
        <v>1341</v>
      </c>
      <c r="E410" s="20" t="s">
        <v>32</v>
      </c>
      <c r="F410" s="20" t="s">
        <v>1898</v>
      </c>
      <c r="G410" s="21" t="s">
        <v>1343</v>
      </c>
      <c r="H410" s="20"/>
      <c r="I410" s="20"/>
      <c r="J410" s="20"/>
      <c r="K410" s="22"/>
      <c r="L410" s="23"/>
      <c r="M410" s="20" t="s">
        <v>84</v>
      </c>
      <c r="N410" s="24"/>
      <c r="O410" s="24"/>
      <c r="P410" s="20" t="s">
        <v>101</v>
      </c>
      <c r="Q410" s="20" t="s">
        <v>86</v>
      </c>
      <c r="R410" s="20" t="s">
        <v>86</v>
      </c>
      <c r="S410" s="20" t="s">
        <v>102</v>
      </c>
      <c r="T410" s="25" t="s">
        <v>88</v>
      </c>
      <c r="U410" s="20" t="s">
        <v>89</v>
      </c>
      <c r="V410" s="20" t="s">
        <v>138</v>
      </c>
      <c r="W410" s="21" t="s">
        <v>168</v>
      </c>
    </row>
    <row r="411" customFormat="false" ht="23.85" hidden="false" customHeight="false" outlineLevel="0" collapsed="false">
      <c r="A411" s="20" t="n">
        <v>410</v>
      </c>
      <c r="B411" s="20" t="s">
        <v>1899</v>
      </c>
      <c r="C411" s="20" t="s">
        <v>4</v>
      </c>
      <c r="D411" s="20" t="s">
        <v>953</v>
      </c>
      <c r="E411" s="20" t="s">
        <v>32</v>
      </c>
      <c r="F411" s="20" t="s">
        <v>1869</v>
      </c>
      <c r="G411" s="21" t="s">
        <v>1189</v>
      </c>
      <c r="H411" s="20" t="s">
        <v>1900</v>
      </c>
      <c r="I411" s="20"/>
      <c r="J411" s="20" t="s">
        <v>1901</v>
      </c>
      <c r="K411" s="22"/>
      <c r="L411" s="23"/>
      <c r="M411" s="20" t="s">
        <v>100</v>
      </c>
      <c r="N411" s="24" t="n">
        <v>6.5598589</v>
      </c>
      <c r="O411" s="24" t="n">
        <v>3.3701046</v>
      </c>
      <c r="P411" s="20" t="s">
        <v>125</v>
      </c>
      <c r="Q411" s="20" t="s">
        <v>86</v>
      </c>
      <c r="R411" s="20" t="s">
        <v>86</v>
      </c>
      <c r="S411" s="20" t="s">
        <v>87</v>
      </c>
      <c r="T411" s="26" t="s">
        <v>103</v>
      </c>
      <c r="U411" s="20" t="s">
        <v>104</v>
      </c>
      <c r="V411" s="20" t="s">
        <v>90</v>
      </c>
      <c r="W411" s="21"/>
    </row>
    <row r="412" customFormat="false" ht="23.85" hidden="false" customHeight="false" outlineLevel="0" collapsed="false">
      <c r="A412" s="20" t="n">
        <v>411</v>
      </c>
      <c r="B412" s="20" t="s">
        <v>1902</v>
      </c>
      <c r="C412" s="20" t="s">
        <v>4</v>
      </c>
      <c r="D412" s="20" t="s">
        <v>1903</v>
      </c>
      <c r="E412" s="20" t="s">
        <v>32</v>
      </c>
      <c r="F412" s="20" t="s">
        <v>1767</v>
      </c>
      <c r="G412" s="21" t="s">
        <v>1904</v>
      </c>
      <c r="H412" s="20" t="s">
        <v>1905</v>
      </c>
      <c r="I412" s="20"/>
      <c r="J412" s="20" t="s">
        <v>1906</v>
      </c>
      <c r="K412" s="22" t="n">
        <v>5</v>
      </c>
      <c r="L412" s="23" t="n">
        <v>1</v>
      </c>
      <c r="M412" s="20" t="s">
        <v>100</v>
      </c>
      <c r="N412" s="24" t="n">
        <v>6.5548012</v>
      </c>
      <c r="O412" s="24" t="n">
        <v>3.3686166</v>
      </c>
      <c r="P412" s="20" t="s">
        <v>125</v>
      </c>
      <c r="Q412" s="20" t="s">
        <v>86</v>
      </c>
      <c r="R412" s="20" t="s">
        <v>86</v>
      </c>
      <c r="S412" s="20" t="s">
        <v>87</v>
      </c>
      <c r="T412" s="26" t="s">
        <v>103</v>
      </c>
      <c r="U412" s="20" t="s">
        <v>104</v>
      </c>
      <c r="V412" s="20" t="s">
        <v>90</v>
      </c>
      <c r="W412" s="21"/>
    </row>
    <row r="413" customFormat="false" ht="23.85" hidden="false" customHeight="false" outlineLevel="0" collapsed="false">
      <c r="A413" s="20" t="n">
        <v>412</v>
      </c>
      <c r="B413" s="20" t="s">
        <v>1907</v>
      </c>
      <c r="C413" s="20" t="s">
        <v>4</v>
      </c>
      <c r="D413" s="20" t="s">
        <v>1908</v>
      </c>
      <c r="E413" s="20" t="s">
        <v>32</v>
      </c>
      <c r="F413" s="20" t="s">
        <v>1869</v>
      </c>
      <c r="G413" s="21" t="s">
        <v>1909</v>
      </c>
      <c r="H413" s="20" t="s">
        <v>1910</v>
      </c>
      <c r="I413" s="20"/>
      <c r="J413" s="20" t="s">
        <v>1911</v>
      </c>
      <c r="K413" s="22" t="n">
        <v>5</v>
      </c>
      <c r="L413" s="23" t="n">
        <v>3</v>
      </c>
      <c r="M413" s="20" t="s">
        <v>100</v>
      </c>
      <c r="N413" s="24" t="n">
        <v>6.5607922</v>
      </c>
      <c r="O413" s="24" t="n">
        <v>3.369674</v>
      </c>
      <c r="P413" s="20" t="s">
        <v>125</v>
      </c>
      <c r="Q413" s="20" t="s">
        <v>86</v>
      </c>
      <c r="R413" s="20" t="s">
        <v>86</v>
      </c>
      <c r="S413" s="20" t="s">
        <v>87</v>
      </c>
      <c r="T413" s="26" t="s">
        <v>103</v>
      </c>
      <c r="U413" s="20" t="s">
        <v>104</v>
      </c>
      <c r="V413" s="20" t="s">
        <v>90</v>
      </c>
      <c r="W413" s="21"/>
    </row>
    <row r="414" customFormat="false" ht="15" hidden="false" customHeight="false" outlineLevel="0" collapsed="false">
      <c r="A414" s="20" t="n">
        <v>413</v>
      </c>
      <c r="B414" s="20" t="s">
        <v>1912</v>
      </c>
      <c r="C414" s="20" t="s">
        <v>4</v>
      </c>
      <c r="D414" s="20" t="s">
        <v>1913</v>
      </c>
      <c r="E414" s="20" t="s">
        <v>32</v>
      </c>
      <c r="F414" s="20" t="s">
        <v>710</v>
      </c>
      <c r="G414" s="21" t="s">
        <v>1914</v>
      </c>
      <c r="H414" s="20" t="s">
        <v>1915</v>
      </c>
      <c r="I414" s="20"/>
      <c r="J414" s="20"/>
      <c r="K414" s="22"/>
      <c r="L414" s="23"/>
      <c r="M414" s="20" t="s">
        <v>100</v>
      </c>
      <c r="N414" s="24"/>
      <c r="O414" s="24"/>
      <c r="P414" s="20" t="s">
        <v>101</v>
      </c>
      <c r="Q414" s="20" t="s">
        <v>86</v>
      </c>
      <c r="R414" s="20" t="s">
        <v>86</v>
      </c>
      <c r="S414" s="20" t="s">
        <v>102</v>
      </c>
      <c r="T414" s="26" t="s">
        <v>103</v>
      </c>
      <c r="U414" s="20" t="s">
        <v>104</v>
      </c>
      <c r="V414" s="20" t="s">
        <v>90</v>
      </c>
      <c r="W414" s="21"/>
    </row>
    <row r="415" customFormat="false" ht="15" hidden="false" customHeight="false" outlineLevel="0" collapsed="false">
      <c r="A415" s="20" t="n">
        <v>414</v>
      </c>
      <c r="B415" s="20" t="s">
        <v>1916</v>
      </c>
      <c r="C415" s="20" t="s">
        <v>4</v>
      </c>
      <c r="D415" s="20" t="s">
        <v>1511</v>
      </c>
      <c r="E415" s="20" t="s">
        <v>32</v>
      </c>
      <c r="F415" s="20" t="s">
        <v>1734</v>
      </c>
      <c r="G415" s="21" t="s">
        <v>1513</v>
      </c>
      <c r="H415" s="20" t="s">
        <v>1917</v>
      </c>
      <c r="I415" s="20"/>
      <c r="J415" s="20" t="s">
        <v>1918</v>
      </c>
      <c r="K415" s="22"/>
      <c r="L415" s="23"/>
      <c r="M415" s="20" t="s">
        <v>100</v>
      </c>
      <c r="N415" s="24" t="n">
        <v>6.5610132</v>
      </c>
      <c r="O415" s="24" t="n">
        <v>3.3673773</v>
      </c>
      <c r="P415" s="20" t="s">
        <v>125</v>
      </c>
      <c r="Q415" s="20" t="s">
        <v>86</v>
      </c>
      <c r="R415" s="20" t="s">
        <v>86</v>
      </c>
      <c r="S415" s="20" t="s">
        <v>87</v>
      </c>
      <c r="T415" s="26" t="s">
        <v>103</v>
      </c>
      <c r="U415" s="20" t="s">
        <v>104</v>
      </c>
      <c r="V415" s="20" t="s">
        <v>90</v>
      </c>
      <c r="W415" s="21"/>
    </row>
    <row r="416" customFormat="false" ht="15" hidden="false" customHeight="false" outlineLevel="0" collapsed="false">
      <c r="A416" s="20" t="n">
        <v>415</v>
      </c>
      <c r="B416" s="20" t="s">
        <v>1919</v>
      </c>
      <c r="C416" s="20" t="s">
        <v>4</v>
      </c>
      <c r="D416" s="20" t="s">
        <v>1920</v>
      </c>
      <c r="E416" s="20" t="s">
        <v>32</v>
      </c>
      <c r="F416" s="20" t="s">
        <v>32</v>
      </c>
      <c r="G416" s="21" t="s">
        <v>1921</v>
      </c>
      <c r="H416" s="20" t="s">
        <v>1922</v>
      </c>
      <c r="I416" s="20"/>
      <c r="J416" s="20"/>
      <c r="K416" s="22"/>
      <c r="L416" s="23"/>
      <c r="M416" s="20" t="s">
        <v>100</v>
      </c>
      <c r="N416" s="24"/>
      <c r="O416" s="24"/>
      <c r="P416" s="20" t="s">
        <v>101</v>
      </c>
      <c r="Q416" s="20" t="s">
        <v>86</v>
      </c>
      <c r="R416" s="20" t="s">
        <v>86</v>
      </c>
      <c r="S416" s="20" t="s">
        <v>102</v>
      </c>
      <c r="T416" s="26" t="s">
        <v>103</v>
      </c>
      <c r="U416" s="20" t="s">
        <v>104</v>
      </c>
      <c r="V416" s="20" t="s">
        <v>138</v>
      </c>
      <c r="W416" s="21" t="s">
        <v>1009</v>
      </c>
    </row>
    <row r="417" customFormat="false" ht="23.85" hidden="false" customHeight="false" outlineLevel="0" collapsed="false">
      <c r="A417" s="20" t="n">
        <v>416</v>
      </c>
      <c r="B417" s="20" t="s">
        <v>1923</v>
      </c>
      <c r="C417" s="20" t="s">
        <v>4</v>
      </c>
      <c r="D417" s="20" t="s">
        <v>1924</v>
      </c>
      <c r="E417" s="20" t="s">
        <v>32</v>
      </c>
      <c r="F417" s="20" t="s">
        <v>1717</v>
      </c>
      <c r="G417" s="21" t="s">
        <v>1925</v>
      </c>
      <c r="H417" s="20" t="s">
        <v>1926</v>
      </c>
      <c r="I417" s="20"/>
      <c r="J417" s="20"/>
      <c r="K417" s="22"/>
      <c r="L417" s="23"/>
      <c r="M417" s="20" t="s">
        <v>100</v>
      </c>
      <c r="N417" s="24"/>
      <c r="O417" s="24"/>
      <c r="P417" s="20" t="s">
        <v>101</v>
      </c>
      <c r="Q417" s="20" t="s">
        <v>86</v>
      </c>
      <c r="R417" s="20" t="s">
        <v>86</v>
      </c>
      <c r="S417" s="20" t="s">
        <v>102</v>
      </c>
      <c r="T417" s="26" t="s">
        <v>103</v>
      </c>
      <c r="U417" s="20" t="s">
        <v>104</v>
      </c>
      <c r="V417" s="20" t="s">
        <v>90</v>
      </c>
      <c r="W417" s="21"/>
    </row>
    <row r="418" customFormat="false" ht="23.85" hidden="false" customHeight="false" outlineLevel="0" collapsed="false">
      <c r="A418" s="20" t="n">
        <v>417</v>
      </c>
      <c r="B418" s="20" t="s">
        <v>1927</v>
      </c>
      <c r="C418" s="20" t="s">
        <v>4</v>
      </c>
      <c r="D418" s="20" t="s">
        <v>1928</v>
      </c>
      <c r="E418" s="20" t="s">
        <v>32</v>
      </c>
      <c r="F418" s="20" t="s">
        <v>1869</v>
      </c>
      <c r="G418" s="21" t="s">
        <v>1929</v>
      </c>
      <c r="H418" s="20" t="s">
        <v>1930</v>
      </c>
      <c r="I418" s="20"/>
      <c r="J418" s="20" t="s">
        <v>1931</v>
      </c>
      <c r="K418" s="22"/>
      <c r="L418" s="23"/>
      <c r="M418" s="20" t="s">
        <v>100</v>
      </c>
      <c r="N418" s="24" t="n">
        <v>6.5597721</v>
      </c>
      <c r="O418" s="24" t="n">
        <v>3.3703435</v>
      </c>
      <c r="P418" s="20" t="s">
        <v>125</v>
      </c>
      <c r="Q418" s="20" t="s">
        <v>86</v>
      </c>
      <c r="R418" s="20" t="s">
        <v>86</v>
      </c>
      <c r="S418" s="20" t="s">
        <v>87</v>
      </c>
      <c r="T418" s="26" t="s">
        <v>103</v>
      </c>
      <c r="U418" s="20" t="s">
        <v>104</v>
      </c>
      <c r="V418" s="20" t="s">
        <v>90</v>
      </c>
      <c r="W418" s="21"/>
    </row>
    <row r="419" customFormat="false" ht="15" hidden="false" customHeight="false" outlineLevel="0" collapsed="false">
      <c r="A419" s="20" t="n">
        <v>418</v>
      </c>
      <c r="B419" s="20" t="s">
        <v>1932</v>
      </c>
      <c r="C419" s="20" t="s">
        <v>4</v>
      </c>
      <c r="D419" s="20" t="s">
        <v>1933</v>
      </c>
      <c r="E419" s="20" t="s">
        <v>32</v>
      </c>
      <c r="F419" s="20" t="s">
        <v>1717</v>
      </c>
      <c r="G419" s="21" t="s">
        <v>1934</v>
      </c>
      <c r="H419" s="20" t="s">
        <v>1935</v>
      </c>
      <c r="I419" s="20"/>
      <c r="J419" s="20"/>
      <c r="K419" s="22"/>
      <c r="L419" s="23"/>
      <c r="M419" s="20" t="s">
        <v>100</v>
      </c>
      <c r="N419" s="24"/>
      <c r="O419" s="24"/>
      <c r="P419" s="20" t="s">
        <v>101</v>
      </c>
      <c r="Q419" s="20" t="s">
        <v>86</v>
      </c>
      <c r="R419" s="20" t="s">
        <v>86</v>
      </c>
      <c r="S419" s="20" t="s">
        <v>102</v>
      </c>
      <c r="T419" s="26" t="s">
        <v>103</v>
      </c>
      <c r="U419" s="20" t="s">
        <v>104</v>
      </c>
      <c r="V419" s="20" t="s">
        <v>90</v>
      </c>
      <c r="W419" s="21"/>
    </row>
    <row r="420" customFormat="false" ht="15" hidden="false" customHeight="false" outlineLevel="0" collapsed="false">
      <c r="A420" s="20" t="n">
        <v>419</v>
      </c>
      <c r="B420" s="20" t="s">
        <v>1936</v>
      </c>
      <c r="C420" s="20" t="s">
        <v>4</v>
      </c>
      <c r="D420" s="20" t="s">
        <v>1937</v>
      </c>
      <c r="E420" s="20" t="s">
        <v>32</v>
      </c>
      <c r="F420" s="20" t="s">
        <v>1696</v>
      </c>
      <c r="G420" s="21" t="s">
        <v>1938</v>
      </c>
      <c r="H420" s="20" t="s">
        <v>1939</v>
      </c>
      <c r="I420" s="20"/>
      <c r="J420" s="20"/>
      <c r="K420" s="22" t="n">
        <v>4.3</v>
      </c>
      <c r="L420" s="23" t="n">
        <v>14</v>
      </c>
      <c r="M420" s="20" t="s">
        <v>100</v>
      </c>
      <c r="N420" s="24"/>
      <c r="O420" s="24"/>
      <c r="P420" s="20" t="s">
        <v>101</v>
      </c>
      <c r="Q420" s="20" t="s">
        <v>86</v>
      </c>
      <c r="R420" s="20" t="s">
        <v>86</v>
      </c>
      <c r="S420" s="20" t="s">
        <v>102</v>
      </c>
      <c r="T420" s="27" t="s">
        <v>117</v>
      </c>
      <c r="U420" s="20" t="s">
        <v>118</v>
      </c>
      <c r="V420" s="20" t="s">
        <v>138</v>
      </c>
      <c r="W420" s="21" t="s">
        <v>299</v>
      </c>
    </row>
    <row r="421" customFormat="false" ht="23.85" hidden="false" customHeight="false" outlineLevel="0" collapsed="false">
      <c r="A421" s="20" t="n">
        <v>420</v>
      </c>
      <c r="B421" s="20" t="s">
        <v>1940</v>
      </c>
      <c r="C421" s="20" t="s">
        <v>4</v>
      </c>
      <c r="D421" s="20" t="s">
        <v>1941</v>
      </c>
      <c r="E421" s="20" t="s">
        <v>32</v>
      </c>
      <c r="F421" s="20" t="s">
        <v>1717</v>
      </c>
      <c r="G421" s="21" t="s">
        <v>1942</v>
      </c>
      <c r="H421" s="20" t="s">
        <v>1943</v>
      </c>
      <c r="I421" s="20"/>
      <c r="J421" s="20"/>
      <c r="K421" s="22"/>
      <c r="L421" s="23"/>
      <c r="M421" s="20" t="s">
        <v>100</v>
      </c>
      <c r="N421" s="24"/>
      <c r="O421" s="24"/>
      <c r="P421" s="20" t="s">
        <v>101</v>
      </c>
      <c r="Q421" s="20" t="s">
        <v>86</v>
      </c>
      <c r="R421" s="20" t="s">
        <v>86</v>
      </c>
      <c r="S421" s="20" t="s">
        <v>102</v>
      </c>
      <c r="T421" s="26" t="s">
        <v>103</v>
      </c>
      <c r="U421" s="20" t="s">
        <v>104</v>
      </c>
      <c r="V421" s="20" t="s">
        <v>90</v>
      </c>
      <c r="W421" s="21"/>
    </row>
    <row r="422" customFormat="false" ht="23.85" hidden="false" customHeight="false" outlineLevel="0" collapsed="false">
      <c r="A422" s="20" t="n">
        <v>421</v>
      </c>
      <c r="B422" s="20" t="s">
        <v>1944</v>
      </c>
      <c r="C422" s="20" t="s">
        <v>4</v>
      </c>
      <c r="D422" s="20" t="s">
        <v>1945</v>
      </c>
      <c r="E422" s="20" t="s">
        <v>32</v>
      </c>
      <c r="F422" s="20" t="s">
        <v>1776</v>
      </c>
      <c r="G422" s="21" t="s">
        <v>1946</v>
      </c>
      <c r="H422" s="20" t="s">
        <v>1947</v>
      </c>
      <c r="I422" s="20"/>
      <c r="J422" s="20" t="s">
        <v>1948</v>
      </c>
      <c r="K422" s="22"/>
      <c r="L422" s="23"/>
      <c r="M422" s="20" t="s">
        <v>100</v>
      </c>
      <c r="N422" s="24" t="n">
        <v>6.552361</v>
      </c>
      <c r="O422" s="24" t="n">
        <v>3.3674504</v>
      </c>
      <c r="P422" s="20" t="s">
        <v>125</v>
      </c>
      <c r="Q422" s="20" t="s">
        <v>86</v>
      </c>
      <c r="R422" s="20" t="s">
        <v>86</v>
      </c>
      <c r="S422" s="20" t="s">
        <v>87</v>
      </c>
      <c r="T422" s="26" t="s">
        <v>103</v>
      </c>
      <c r="U422" s="20" t="s">
        <v>104</v>
      </c>
      <c r="V422" s="20" t="s">
        <v>90</v>
      </c>
      <c r="W422" s="21"/>
    </row>
    <row r="423" customFormat="false" ht="23.85" hidden="false" customHeight="false" outlineLevel="0" collapsed="false">
      <c r="A423" s="20" t="n">
        <v>422</v>
      </c>
      <c r="B423" s="20" t="s">
        <v>1949</v>
      </c>
      <c r="C423" s="20" t="s">
        <v>4</v>
      </c>
      <c r="D423" s="20" t="s">
        <v>1950</v>
      </c>
      <c r="E423" s="20" t="s">
        <v>32</v>
      </c>
      <c r="F423" s="20" t="s">
        <v>1734</v>
      </c>
      <c r="G423" s="21" t="s">
        <v>1951</v>
      </c>
      <c r="H423" s="20" t="s">
        <v>1952</v>
      </c>
      <c r="I423" s="20"/>
      <c r="J423" s="20" t="s">
        <v>1953</v>
      </c>
      <c r="K423" s="22"/>
      <c r="L423" s="23"/>
      <c r="M423" s="20" t="s">
        <v>100</v>
      </c>
      <c r="N423" s="24" t="n">
        <v>6.5594902</v>
      </c>
      <c r="O423" s="24" t="n">
        <v>3.3677924</v>
      </c>
      <c r="P423" s="20" t="s">
        <v>125</v>
      </c>
      <c r="Q423" s="20" t="s">
        <v>86</v>
      </c>
      <c r="R423" s="20" t="s">
        <v>86</v>
      </c>
      <c r="S423" s="20" t="s">
        <v>87</v>
      </c>
      <c r="T423" s="26" t="s">
        <v>103</v>
      </c>
      <c r="U423" s="20" t="s">
        <v>104</v>
      </c>
      <c r="V423" s="20" t="s">
        <v>90</v>
      </c>
      <c r="W423" s="21"/>
    </row>
    <row r="424" customFormat="false" ht="23.85" hidden="false" customHeight="false" outlineLevel="0" collapsed="false">
      <c r="A424" s="20" t="n">
        <v>423</v>
      </c>
      <c r="B424" s="20" t="s">
        <v>1954</v>
      </c>
      <c r="C424" s="20" t="s">
        <v>4</v>
      </c>
      <c r="D424" s="20" t="s">
        <v>1955</v>
      </c>
      <c r="E424" s="20" t="s">
        <v>32</v>
      </c>
      <c r="F424" s="20" t="s">
        <v>1690</v>
      </c>
      <c r="G424" s="21" t="s">
        <v>1956</v>
      </c>
      <c r="H424" s="20" t="s">
        <v>1957</v>
      </c>
      <c r="I424" s="20" t="s">
        <v>1958</v>
      </c>
      <c r="J424" s="20" t="s">
        <v>1959</v>
      </c>
      <c r="K424" s="22" t="n">
        <v>2</v>
      </c>
      <c r="L424" s="23" t="n">
        <v>1</v>
      </c>
      <c r="M424" s="20" t="s">
        <v>100</v>
      </c>
      <c r="N424" s="24" t="n">
        <v>6.5593888</v>
      </c>
      <c r="O424" s="24" t="n">
        <v>3.3671534</v>
      </c>
      <c r="P424" s="20" t="s">
        <v>125</v>
      </c>
      <c r="Q424" s="20" t="s">
        <v>86</v>
      </c>
      <c r="R424" s="20" t="s">
        <v>86</v>
      </c>
      <c r="S424" s="20" t="s">
        <v>87</v>
      </c>
      <c r="T424" s="27" t="s">
        <v>117</v>
      </c>
      <c r="U424" s="20" t="s">
        <v>118</v>
      </c>
      <c r="V424" s="20" t="s">
        <v>90</v>
      </c>
      <c r="W424" s="21"/>
    </row>
    <row r="425" customFormat="false" ht="23.85" hidden="false" customHeight="false" outlineLevel="0" collapsed="false">
      <c r="A425" s="20" t="n">
        <v>424</v>
      </c>
      <c r="B425" s="20" t="s">
        <v>1960</v>
      </c>
      <c r="C425" s="20" t="s">
        <v>4</v>
      </c>
      <c r="D425" s="20" t="s">
        <v>1961</v>
      </c>
      <c r="E425" s="20" t="s">
        <v>32</v>
      </c>
      <c r="F425" s="20" t="s">
        <v>1776</v>
      </c>
      <c r="G425" s="21" t="s">
        <v>1962</v>
      </c>
      <c r="H425" s="20" t="s">
        <v>1963</v>
      </c>
      <c r="I425" s="20"/>
      <c r="J425" s="20" t="s">
        <v>1964</v>
      </c>
      <c r="K425" s="22"/>
      <c r="L425" s="23"/>
      <c r="M425" s="20" t="s">
        <v>100</v>
      </c>
      <c r="N425" s="24" t="n">
        <v>6.5578051</v>
      </c>
      <c r="O425" s="24" t="n">
        <v>3.3673086</v>
      </c>
      <c r="P425" s="20" t="s">
        <v>125</v>
      </c>
      <c r="Q425" s="20" t="s">
        <v>86</v>
      </c>
      <c r="R425" s="20" t="s">
        <v>86</v>
      </c>
      <c r="S425" s="20" t="s">
        <v>87</v>
      </c>
      <c r="T425" s="26" t="s">
        <v>103</v>
      </c>
      <c r="U425" s="20" t="s">
        <v>104</v>
      </c>
      <c r="V425" s="20" t="s">
        <v>90</v>
      </c>
      <c r="W425" s="21"/>
    </row>
    <row r="426" customFormat="false" ht="23.85" hidden="false" customHeight="false" outlineLevel="0" collapsed="false">
      <c r="A426" s="20" t="n">
        <v>425</v>
      </c>
      <c r="B426" s="20" t="s">
        <v>1965</v>
      </c>
      <c r="C426" s="20" t="s">
        <v>4</v>
      </c>
      <c r="D426" s="20" t="s">
        <v>1966</v>
      </c>
      <c r="E426" s="20" t="s">
        <v>32</v>
      </c>
      <c r="F426" s="20" t="s">
        <v>710</v>
      </c>
      <c r="G426" s="21" t="s">
        <v>1967</v>
      </c>
      <c r="H426" s="20" t="s">
        <v>1968</v>
      </c>
      <c r="I426" s="20"/>
      <c r="J426" s="20"/>
      <c r="K426" s="22"/>
      <c r="L426" s="23"/>
      <c r="M426" s="20" t="s">
        <v>100</v>
      </c>
      <c r="N426" s="24"/>
      <c r="O426" s="24"/>
      <c r="P426" s="20" t="s">
        <v>101</v>
      </c>
      <c r="Q426" s="20" t="s">
        <v>86</v>
      </c>
      <c r="R426" s="20" t="s">
        <v>86</v>
      </c>
      <c r="S426" s="20" t="s">
        <v>102</v>
      </c>
      <c r="T426" s="26" t="s">
        <v>103</v>
      </c>
      <c r="U426" s="20" t="s">
        <v>104</v>
      </c>
      <c r="V426" s="20" t="s">
        <v>90</v>
      </c>
      <c r="W426" s="21"/>
    </row>
    <row r="427" customFormat="false" ht="15" hidden="false" customHeight="false" outlineLevel="0" collapsed="false">
      <c r="A427" s="20" t="n">
        <v>426</v>
      </c>
      <c r="B427" s="20" t="s">
        <v>1969</v>
      </c>
      <c r="C427" s="20" t="s">
        <v>4</v>
      </c>
      <c r="D427" s="20" t="s">
        <v>1970</v>
      </c>
      <c r="E427" s="20" t="s">
        <v>32</v>
      </c>
      <c r="F427" s="20" t="s">
        <v>32</v>
      </c>
      <c r="G427" s="21" t="s">
        <v>1971</v>
      </c>
      <c r="H427" s="20" t="s">
        <v>1972</v>
      </c>
      <c r="I427" s="20"/>
      <c r="J427" s="20"/>
      <c r="K427" s="22"/>
      <c r="L427" s="23"/>
      <c r="M427" s="20" t="s">
        <v>100</v>
      </c>
      <c r="N427" s="24"/>
      <c r="O427" s="24"/>
      <c r="P427" s="20" t="s">
        <v>101</v>
      </c>
      <c r="Q427" s="20" t="s">
        <v>86</v>
      </c>
      <c r="R427" s="20" t="s">
        <v>86</v>
      </c>
      <c r="S427" s="20" t="s">
        <v>102</v>
      </c>
      <c r="T427" s="26" t="s">
        <v>103</v>
      </c>
      <c r="U427" s="20" t="s">
        <v>104</v>
      </c>
      <c r="V427" s="20" t="s">
        <v>138</v>
      </c>
      <c r="W427" s="21" t="s">
        <v>1146</v>
      </c>
    </row>
    <row r="428" customFormat="false" ht="23.85" hidden="false" customHeight="false" outlineLevel="0" collapsed="false">
      <c r="A428" s="20" t="n">
        <v>427</v>
      </c>
      <c r="B428" s="20" t="s">
        <v>1973</v>
      </c>
      <c r="C428" s="20" t="s">
        <v>4</v>
      </c>
      <c r="D428" s="20" t="s">
        <v>1974</v>
      </c>
      <c r="E428" s="20" t="s">
        <v>33</v>
      </c>
      <c r="F428" s="20" t="s">
        <v>719</v>
      </c>
      <c r="G428" s="21" t="s">
        <v>1975</v>
      </c>
      <c r="H428" s="20" t="s">
        <v>1976</v>
      </c>
      <c r="I428" s="20"/>
      <c r="J428" s="20" t="s">
        <v>1977</v>
      </c>
      <c r="K428" s="22" t="n">
        <v>5</v>
      </c>
      <c r="L428" s="23" t="n">
        <v>2</v>
      </c>
      <c r="M428" s="20" t="s">
        <v>100</v>
      </c>
      <c r="N428" s="24" t="n">
        <v>6.5484347</v>
      </c>
      <c r="O428" s="24" t="n">
        <v>3.3629304</v>
      </c>
      <c r="P428" s="20" t="s">
        <v>125</v>
      </c>
      <c r="Q428" s="20" t="s">
        <v>86</v>
      </c>
      <c r="R428" s="20" t="s">
        <v>86</v>
      </c>
      <c r="S428" s="20" t="s">
        <v>87</v>
      </c>
      <c r="T428" s="26" t="s">
        <v>103</v>
      </c>
      <c r="U428" s="20" t="s">
        <v>104</v>
      </c>
      <c r="V428" s="20" t="s">
        <v>90</v>
      </c>
      <c r="W428" s="21"/>
    </row>
    <row r="429" customFormat="false" ht="15" hidden="false" customHeight="false" outlineLevel="0" collapsed="false">
      <c r="A429" s="20" t="n">
        <v>428</v>
      </c>
      <c r="B429" s="20" t="s">
        <v>1978</v>
      </c>
      <c r="C429" s="20" t="s">
        <v>4</v>
      </c>
      <c r="D429" s="20" t="s">
        <v>1979</v>
      </c>
      <c r="E429" s="20" t="s">
        <v>33</v>
      </c>
      <c r="F429" s="20" t="s">
        <v>1980</v>
      </c>
      <c r="G429" s="21" t="s">
        <v>1981</v>
      </c>
      <c r="H429" s="20" t="s">
        <v>1982</v>
      </c>
      <c r="I429" s="20"/>
      <c r="J429" s="20" t="s">
        <v>1983</v>
      </c>
      <c r="K429" s="22" t="n">
        <v>4</v>
      </c>
      <c r="L429" s="23" t="n">
        <v>1</v>
      </c>
      <c r="M429" s="20" t="s">
        <v>100</v>
      </c>
      <c r="N429" s="24" t="n">
        <v>6.559206</v>
      </c>
      <c r="O429" s="24" t="n">
        <v>3.3694254</v>
      </c>
      <c r="P429" s="20" t="s">
        <v>110</v>
      </c>
      <c r="Q429" s="20" t="s">
        <v>86</v>
      </c>
      <c r="R429" s="20" t="s">
        <v>86</v>
      </c>
      <c r="S429" s="20" t="s">
        <v>87</v>
      </c>
      <c r="T429" s="26" t="s">
        <v>103</v>
      </c>
      <c r="U429" s="20" t="s">
        <v>104</v>
      </c>
      <c r="V429" s="20" t="s">
        <v>90</v>
      </c>
      <c r="W429" s="21"/>
    </row>
    <row r="430" customFormat="false" ht="23.85" hidden="false" customHeight="false" outlineLevel="0" collapsed="false">
      <c r="A430" s="20" t="n">
        <v>429</v>
      </c>
      <c r="B430" s="20" t="s">
        <v>1984</v>
      </c>
      <c r="C430" s="20" t="s">
        <v>4</v>
      </c>
      <c r="D430" s="20" t="s">
        <v>1985</v>
      </c>
      <c r="E430" s="20" t="s">
        <v>33</v>
      </c>
      <c r="F430" s="20" t="s">
        <v>1986</v>
      </c>
      <c r="G430" s="21" t="s">
        <v>1987</v>
      </c>
      <c r="H430" s="20"/>
      <c r="I430" s="20"/>
      <c r="J430" s="20" t="s">
        <v>1988</v>
      </c>
      <c r="K430" s="22"/>
      <c r="L430" s="23"/>
      <c r="M430" s="20" t="s">
        <v>84</v>
      </c>
      <c r="N430" s="24" t="n">
        <v>6.560296</v>
      </c>
      <c r="O430" s="24" t="n">
        <v>3.370249</v>
      </c>
      <c r="P430" s="20" t="s">
        <v>125</v>
      </c>
      <c r="Q430" s="20" t="s">
        <v>86</v>
      </c>
      <c r="R430" s="20" t="s">
        <v>86</v>
      </c>
      <c r="S430" s="20" t="s">
        <v>87</v>
      </c>
      <c r="T430" s="25" t="s">
        <v>88</v>
      </c>
      <c r="U430" s="20" t="s">
        <v>89</v>
      </c>
      <c r="V430" s="20" t="s">
        <v>90</v>
      </c>
      <c r="W430" s="21"/>
    </row>
    <row r="431" customFormat="false" ht="15" hidden="false" customHeight="false" outlineLevel="0" collapsed="false">
      <c r="A431" s="20" t="n">
        <v>430</v>
      </c>
      <c r="B431" s="20" t="s">
        <v>1989</v>
      </c>
      <c r="C431" s="20" t="s">
        <v>4</v>
      </c>
      <c r="D431" s="20" t="s">
        <v>1990</v>
      </c>
      <c r="E431" s="20" t="s">
        <v>33</v>
      </c>
      <c r="F431" s="20" t="s">
        <v>1991</v>
      </c>
      <c r="G431" s="21" t="s">
        <v>1992</v>
      </c>
      <c r="H431" s="20"/>
      <c r="I431" s="20"/>
      <c r="J431" s="20" t="s">
        <v>1993</v>
      </c>
      <c r="K431" s="22"/>
      <c r="L431" s="23"/>
      <c r="M431" s="20" t="s">
        <v>84</v>
      </c>
      <c r="N431" s="24" t="n">
        <v>6.5590294</v>
      </c>
      <c r="O431" s="24" t="n">
        <v>3.3694542</v>
      </c>
      <c r="P431" s="20" t="s">
        <v>125</v>
      </c>
      <c r="Q431" s="20" t="s">
        <v>86</v>
      </c>
      <c r="R431" s="20" t="s">
        <v>86</v>
      </c>
      <c r="S431" s="20" t="s">
        <v>87</v>
      </c>
      <c r="T431" s="25" t="s">
        <v>88</v>
      </c>
      <c r="U431" s="20" t="s">
        <v>89</v>
      </c>
      <c r="V431" s="20" t="s">
        <v>90</v>
      </c>
      <c r="W431" s="21"/>
    </row>
    <row r="432" customFormat="false" ht="15" hidden="false" customHeight="false" outlineLevel="0" collapsed="false">
      <c r="A432" s="20" t="n">
        <v>431</v>
      </c>
      <c r="B432" s="20" t="s">
        <v>1994</v>
      </c>
      <c r="C432" s="20" t="s">
        <v>4</v>
      </c>
      <c r="D432" s="20" t="s">
        <v>1990</v>
      </c>
      <c r="E432" s="20" t="s">
        <v>33</v>
      </c>
      <c r="F432" s="20" t="s">
        <v>1991</v>
      </c>
      <c r="G432" s="21" t="s">
        <v>1992</v>
      </c>
      <c r="H432" s="20" t="s">
        <v>1995</v>
      </c>
      <c r="I432" s="20"/>
      <c r="J432" s="20" t="s">
        <v>1996</v>
      </c>
      <c r="K432" s="22" t="n">
        <v>4.1</v>
      </c>
      <c r="L432" s="23" t="n">
        <v>30</v>
      </c>
      <c r="M432" s="20" t="s">
        <v>100</v>
      </c>
      <c r="N432" s="24" t="n">
        <v>6.5590073</v>
      </c>
      <c r="O432" s="24" t="n">
        <v>3.3694496</v>
      </c>
      <c r="P432" s="20" t="s">
        <v>125</v>
      </c>
      <c r="Q432" s="20" t="s">
        <v>86</v>
      </c>
      <c r="R432" s="20" t="s">
        <v>86</v>
      </c>
      <c r="S432" s="20" t="s">
        <v>87</v>
      </c>
      <c r="T432" s="27" t="s">
        <v>117</v>
      </c>
      <c r="U432" s="20" t="s">
        <v>118</v>
      </c>
      <c r="V432" s="20" t="s">
        <v>90</v>
      </c>
      <c r="W432" s="21"/>
    </row>
    <row r="433" customFormat="false" ht="23.85" hidden="false" customHeight="false" outlineLevel="0" collapsed="false">
      <c r="A433" s="20" t="n">
        <v>432</v>
      </c>
      <c r="B433" s="20" t="s">
        <v>1997</v>
      </c>
      <c r="C433" s="20" t="s">
        <v>4</v>
      </c>
      <c r="D433" s="20" t="s">
        <v>1998</v>
      </c>
      <c r="E433" s="20" t="s">
        <v>33</v>
      </c>
      <c r="F433" s="20" t="s">
        <v>719</v>
      </c>
      <c r="G433" s="21" t="s">
        <v>1999</v>
      </c>
      <c r="H433" s="20" t="s">
        <v>2000</v>
      </c>
      <c r="I433" s="20"/>
      <c r="J433" s="20" t="s">
        <v>2001</v>
      </c>
      <c r="K433" s="22" t="n">
        <v>4.5</v>
      </c>
      <c r="L433" s="23" t="n">
        <v>2</v>
      </c>
      <c r="M433" s="20" t="s">
        <v>100</v>
      </c>
      <c r="N433" s="24" t="n">
        <v>6.5551293</v>
      </c>
      <c r="O433" s="24" t="n">
        <v>3.371861</v>
      </c>
      <c r="P433" s="20" t="s">
        <v>125</v>
      </c>
      <c r="Q433" s="20" t="s">
        <v>86</v>
      </c>
      <c r="R433" s="20" t="s">
        <v>86</v>
      </c>
      <c r="S433" s="20" t="s">
        <v>87</v>
      </c>
      <c r="T433" s="26" t="s">
        <v>103</v>
      </c>
      <c r="U433" s="20" t="s">
        <v>104</v>
      </c>
      <c r="V433" s="20" t="s">
        <v>90</v>
      </c>
      <c r="W433" s="21"/>
    </row>
    <row r="434" customFormat="false" ht="15" hidden="false" customHeight="false" outlineLevel="0" collapsed="false">
      <c r="A434" s="20" t="n">
        <v>433</v>
      </c>
      <c r="B434" s="20" t="s">
        <v>2002</v>
      </c>
      <c r="C434" s="20" t="s">
        <v>4</v>
      </c>
      <c r="D434" s="20" t="s">
        <v>709</v>
      </c>
      <c r="E434" s="20" t="s">
        <v>33</v>
      </c>
      <c r="F434" s="20" t="s">
        <v>1980</v>
      </c>
      <c r="G434" s="21" t="s">
        <v>711</v>
      </c>
      <c r="H434" s="20" t="s">
        <v>2003</v>
      </c>
      <c r="I434" s="20"/>
      <c r="J434" s="20"/>
      <c r="K434" s="22"/>
      <c r="L434" s="23"/>
      <c r="M434" s="20" t="s">
        <v>100</v>
      </c>
      <c r="N434" s="24"/>
      <c r="O434" s="24"/>
      <c r="P434" s="20" t="s">
        <v>101</v>
      </c>
      <c r="Q434" s="20" t="s">
        <v>86</v>
      </c>
      <c r="R434" s="20" t="s">
        <v>86</v>
      </c>
      <c r="S434" s="20" t="s">
        <v>102</v>
      </c>
      <c r="T434" s="26" t="s">
        <v>103</v>
      </c>
      <c r="U434" s="20" t="s">
        <v>104</v>
      </c>
      <c r="V434" s="20" t="s">
        <v>90</v>
      </c>
      <c r="W434" s="21"/>
    </row>
    <row r="435" customFormat="false" ht="23.85" hidden="false" customHeight="false" outlineLevel="0" collapsed="false">
      <c r="A435" s="20" t="n">
        <v>434</v>
      </c>
      <c r="B435" s="20" t="s">
        <v>2004</v>
      </c>
      <c r="C435" s="20" t="s">
        <v>4</v>
      </c>
      <c r="D435" s="20" t="s">
        <v>535</v>
      </c>
      <c r="E435" s="20" t="s">
        <v>33</v>
      </c>
      <c r="F435" s="20" t="s">
        <v>1986</v>
      </c>
      <c r="G435" s="21" t="s">
        <v>2005</v>
      </c>
      <c r="H435" s="20" t="s">
        <v>2006</v>
      </c>
      <c r="I435" s="20"/>
      <c r="J435" s="20" t="s">
        <v>2007</v>
      </c>
      <c r="K435" s="22"/>
      <c r="L435" s="23"/>
      <c r="M435" s="20" t="s">
        <v>100</v>
      </c>
      <c r="N435" s="24" t="n">
        <v>6.560068</v>
      </c>
      <c r="O435" s="24" t="n">
        <v>3.36993</v>
      </c>
      <c r="P435" s="20" t="s">
        <v>125</v>
      </c>
      <c r="Q435" s="20" t="s">
        <v>86</v>
      </c>
      <c r="R435" s="20" t="s">
        <v>86</v>
      </c>
      <c r="S435" s="20" t="s">
        <v>87</v>
      </c>
      <c r="T435" s="26" t="s">
        <v>103</v>
      </c>
      <c r="U435" s="20" t="s">
        <v>104</v>
      </c>
      <c r="V435" s="20" t="s">
        <v>90</v>
      </c>
      <c r="W435" s="21"/>
    </row>
    <row r="436" customFormat="false" ht="15" hidden="false" customHeight="false" outlineLevel="0" collapsed="false">
      <c r="A436" s="20" t="n">
        <v>435</v>
      </c>
      <c r="B436" s="20" t="s">
        <v>2008</v>
      </c>
      <c r="C436" s="20" t="s">
        <v>4</v>
      </c>
      <c r="D436" s="20" t="s">
        <v>2009</v>
      </c>
      <c r="E436" s="20" t="s">
        <v>33</v>
      </c>
      <c r="F436" s="20" t="s">
        <v>1980</v>
      </c>
      <c r="G436" s="21" t="s">
        <v>2010</v>
      </c>
      <c r="H436" s="20"/>
      <c r="I436" s="20"/>
      <c r="J436" s="20"/>
      <c r="K436" s="22"/>
      <c r="L436" s="23"/>
      <c r="M436" s="20" t="s">
        <v>84</v>
      </c>
      <c r="N436" s="24"/>
      <c r="O436" s="24"/>
      <c r="P436" s="20" t="s">
        <v>101</v>
      </c>
      <c r="Q436" s="20" t="s">
        <v>86</v>
      </c>
      <c r="R436" s="20" t="s">
        <v>86</v>
      </c>
      <c r="S436" s="20" t="s">
        <v>102</v>
      </c>
      <c r="T436" s="25" t="s">
        <v>88</v>
      </c>
      <c r="U436" s="20" t="s">
        <v>89</v>
      </c>
      <c r="V436" s="20" t="s">
        <v>138</v>
      </c>
      <c r="W436" s="21" t="s">
        <v>168</v>
      </c>
    </row>
    <row r="437" customFormat="false" ht="15" hidden="false" customHeight="false" outlineLevel="0" collapsed="false">
      <c r="A437" s="20" t="n">
        <v>436</v>
      </c>
      <c r="B437" s="20" t="s">
        <v>2011</v>
      </c>
      <c r="C437" s="20" t="s">
        <v>4</v>
      </c>
      <c r="D437" s="20" t="s">
        <v>2012</v>
      </c>
      <c r="E437" s="20" t="s">
        <v>33</v>
      </c>
      <c r="F437" s="20" t="s">
        <v>2013</v>
      </c>
      <c r="G437" s="21" t="s">
        <v>2014</v>
      </c>
      <c r="H437" s="20" t="s">
        <v>2015</v>
      </c>
      <c r="I437" s="20"/>
      <c r="J437" s="20"/>
      <c r="K437" s="22" t="n">
        <v>4.1</v>
      </c>
      <c r="L437" s="23" t="n">
        <v>9</v>
      </c>
      <c r="M437" s="20" t="s">
        <v>100</v>
      </c>
      <c r="N437" s="24" t="n">
        <v>6.56024</v>
      </c>
      <c r="O437" s="24" t="n">
        <v>3.37295</v>
      </c>
      <c r="P437" s="20" t="s">
        <v>85</v>
      </c>
      <c r="Q437" s="20" t="s">
        <v>86</v>
      </c>
      <c r="R437" s="20" t="s">
        <v>86</v>
      </c>
      <c r="S437" s="20" t="s">
        <v>87</v>
      </c>
      <c r="T437" s="26" t="s">
        <v>103</v>
      </c>
      <c r="U437" s="20" t="s">
        <v>104</v>
      </c>
      <c r="V437" s="20" t="s">
        <v>90</v>
      </c>
      <c r="W437" s="21"/>
    </row>
    <row r="438" customFormat="false" ht="23.85" hidden="false" customHeight="false" outlineLevel="0" collapsed="false">
      <c r="A438" s="20" t="n">
        <v>437</v>
      </c>
      <c r="B438" s="20" t="s">
        <v>2016</v>
      </c>
      <c r="C438" s="20" t="s">
        <v>4</v>
      </c>
      <c r="D438" s="20" t="s">
        <v>2017</v>
      </c>
      <c r="E438" s="20" t="s">
        <v>33</v>
      </c>
      <c r="F438" s="20" t="s">
        <v>2018</v>
      </c>
      <c r="G438" s="21" t="s">
        <v>2019</v>
      </c>
      <c r="H438" s="20"/>
      <c r="I438" s="20"/>
      <c r="J438" s="20" t="s">
        <v>2020</v>
      </c>
      <c r="K438" s="22"/>
      <c r="L438" s="23"/>
      <c r="M438" s="20" t="s">
        <v>84</v>
      </c>
      <c r="N438" s="24" t="n">
        <v>6.5590393</v>
      </c>
      <c r="O438" s="24" t="n">
        <v>3.3701398</v>
      </c>
      <c r="P438" s="20" t="s">
        <v>125</v>
      </c>
      <c r="Q438" s="20" t="s">
        <v>86</v>
      </c>
      <c r="R438" s="20" t="s">
        <v>86</v>
      </c>
      <c r="S438" s="20" t="s">
        <v>87</v>
      </c>
      <c r="T438" s="25" t="s">
        <v>88</v>
      </c>
      <c r="U438" s="20" t="s">
        <v>89</v>
      </c>
      <c r="V438" s="20" t="s">
        <v>90</v>
      </c>
      <c r="W438" s="21"/>
    </row>
    <row r="439" customFormat="false" ht="15" hidden="false" customHeight="false" outlineLevel="0" collapsed="false">
      <c r="A439" s="20" t="n">
        <v>438</v>
      </c>
      <c r="B439" s="20" t="s">
        <v>2021</v>
      </c>
      <c r="C439" s="20" t="s">
        <v>4</v>
      </c>
      <c r="D439" s="20" t="s">
        <v>2022</v>
      </c>
      <c r="E439" s="20" t="s">
        <v>33</v>
      </c>
      <c r="F439" s="20" t="s">
        <v>719</v>
      </c>
      <c r="G439" s="21" t="s">
        <v>2023</v>
      </c>
      <c r="H439" s="20"/>
      <c r="I439" s="20"/>
      <c r="J439" s="20" t="s">
        <v>2024</v>
      </c>
      <c r="K439" s="22"/>
      <c r="L439" s="23"/>
      <c r="M439" s="20" t="s">
        <v>84</v>
      </c>
      <c r="N439" s="24" t="n">
        <v>6.5517677</v>
      </c>
      <c r="O439" s="24" t="n">
        <v>3.3666444</v>
      </c>
      <c r="P439" s="20" t="s">
        <v>125</v>
      </c>
      <c r="Q439" s="20" t="s">
        <v>86</v>
      </c>
      <c r="R439" s="20" t="s">
        <v>86</v>
      </c>
      <c r="S439" s="20" t="s">
        <v>87</v>
      </c>
      <c r="T439" s="25" t="s">
        <v>88</v>
      </c>
      <c r="U439" s="20" t="s">
        <v>89</v>
      </c>
      <c r="V439" s="20" t="s">
        <v>90</v>
      </c>
      <c r="W439" s="21"/>
    </row>
    <row r="440" customFormat="false" ht="23.85" hidden="false" customHeight="false" outlineLevel="0" collapsed="false">
      <c r="A440" s="20" t="n">
        <v>439</v>
      </c>
      <c r="B440" s="20" t="s">
        <v>2025</v>
      </c>
      <c r="C440" s="20" t="s">
        <v>4</v>
      </c>
      <c r="D440" s="20" t="s">
        <v>2026</v>
      </c>
      <c r="E440" s="20" t="s">
        <v>33</v>
      </c>
      <c r="F440" s="20" t="s">
        <v>719</v>
      </c>
      <c r="G440" s="21" t="s">
        <v>2027</v>
      </c>
      <c r="H440" s="20" t="s">
        <v>2028</v>
      </c>
      <c r="I440" s="20"/>
      <c r="J440" s="20" t="s">
        <v>2029</v>
      </c>
      <c r="K440" s="22"/>
      <c r="L440" s="23"/>
      <c r="M440" s="20" t="s">
        <v>100</v>
      </c>
      <c r="N440" s="24" t="n">
        <v>6.5552841</v>
      </c>
      <c r="O440" s="24" t="n">
        <v>3.3716942</v>
      </c>
      <c r="P440" s="20" t="s">
        <v>125</v>
      </c>
      <c r="Q440" s="20" t="s">
        <v>86</v>
      </c>
      <c r="R440" s="20" t="s">
        <v>86</v>
      </c>
      <c r="S440" s="20" t="s">
        <v>87</v>
      </c>
      <c r="T440" s="26" t="s">
        <v>103</v>
      </c>
      <c r="U440" s="20" t="s">
        <v>104</v>
      </c>
      <c r="V440" s="20" t="s">
        <v>90</v>
      </c>
      <c r="W440" s="21"/>
    </row>
    <row r="441" customFormat="false" ht="23.85" hidden="false" customHeight="false" outlineLevel="0" collapsed="false">
      <c r="A441" s="20" t="n">
        <v>440</v>
      </c>
      <c r="B441" s="20" t="s">
        <v>2030</v>
      </c>
      <c r="C441" s="20" t="s">
        <v>4</v>
      </c>
      <c r="D441" s="20" t="s">
        <v>2031</v>
      </c>
      <c r="E441" s="20" t="s">
        <v>33</v>
      </c>
      <c r="F441" s="20" t="s">
        <v>1980</v>
      </c>
      <c r="G441" s="21" t="s">
        <v>2032</v>
      </c>
      <c r="H441" s="20" t="s">
        <v>2033</v>
      </c>
      <c r="I441" s="20"/>
      <c r="J441" s="20"/>
      <c r="K441" s="22"/>
      <c r="L441" s="23"/>
      <c r="M441" s="20" t="s">
        <v>100</v>
      </c>
      <c r="N441" s="24"/>
      <c r="O441" s="24"/>
      <c r="P441" s="20" t="s">
        <v>101</v>
      </c>
      <c r="Q441" s="20" t="s">
        <v>86</v>
      </c>
      <c r="R441" s="20" t="s">
        <v>86</v>
      </c>
      <c r="S441" s="20" t="s">
        <v>102</v>
      </c>
      <c r="T441" s="26" t="s">
        <v>103</v>
      </c>
      <c r="U441" s="20" t="s">
        <v>104</v>
      </c>
      <c r="V441" s="20" t="s">
        <v>90</v>
      </c>
      <c r="W441" s="21"/>
    </row>
    <row r="442" customFormat="false" ht="23.85" hidden="false" customHeight="false" outlineLevel="0" collapsed="false">
      <c r="A442" s="20" t="n">
        <v>441</v>
      </c>
      <c r="B442" s="20" t="s">
        <v>2034</v>
      </c>
      <c r="C442" s="20" t="s">
        <v>4</v>
      </c>
      <c r="D442" s="20" t="s">
        <v>2035</v>
      </c>
      <c r="E442" s="20" t="s">
        <v>33</v>
      </c>
      <c r="F442" s="20" t="s">
        <v>1991</v>
      </c>
      <c r="G442" s="21" t="s">
        <v>2036</v>
      </c>
      <c r="H442" s="20" t="s">
        <v>2037</v>
      </c>
      <c r="I442" s="20" t="s">
        <v>2038</v>
      </c>
      <c r="J442" s="20" t="s">
        <v>2039</v>
      </c>
      <c r="K442" s="22"/>
      <c r="L442" s="23"/>
      <c r="M442" s="20" t="s">
        <v>100</v>
      </c>
      <c r="N442" s="24" t="n">
        <v>6.5555187</v>
      </c>
      <c r="O442" s="24" t="n">
        <v>3.3680135</v>
      </c>
      <c r="P442" s="20" t="s">
        <v>125</v>
      </c>
      <c r="Q442" s="20" t="s">
        <v>86</v>
      </c>
      <c r="R442" s="20" t="s">
        <v>86</v>
      </c>
      <c r="S442" s="20" t="s">
        <v>87</v>
      </c>
      <c r="T442" s="27" t="s">
        <v>117</v>
      </c>
      <c r="U442" s="20" t="s">
        <v>118</v>
      </c>
      <c r="V442" s="20" t="s">
        <v>90</v>
      </c>
      <c r="W442" s="21"/>
    </row>
    <row r="443" customFormat="false" ht="23.85" hidden="false" customHeight="false" outlineLevel="0" collapsed="false">
      <c r="A443" s="20" t="n">
        <v>442</v>
      </c>
      <c r="B443" s="20" t="s">
        <v>2040</v>
      </c>
      <c r="C443" s="20" t="s">
        <v>4</v>
      </c>
      <c r="D443" s="20" t="s">
        <v>2041</v>
      </c>
      <c r="E443" s="20" t="s">
        <v>33</v>
      </c>
      <c r="F443" s="20" t="s">
        <v>1991</v>
      </c>
      <c r="G443" s="21" t="s">
        <v>2042</v>
      </c>
      <c r="H443" s="20" t="s">
        <v>2043</v>
      </c>
      <c r="I443" s="20"/>
      <c r="J443" s="20" t="s">
        <v>2044</v>
      </c>
      <c r="K443" s="22" t="n">
        <v>4.5</v>
      </c>
      <c r="L443" s="23" t="n">
        <v>6</v>
      </c>
      <c r="M443" s="20" t="s">
        <v>100</v>
      </c>
      <c r="N443" s="24" t="n">
        <v>6.561531</v>
      </c>
      <c r="O443" s="24" t="n">
        <v>3.36857</v>
      </c>
      <c r="P443" s="20" t="s">
        <v>125</v>
      </c>
      <c r="Q443" s="20" t="s">
        <v>86</v>
      </c>
      <c r="R443" s="20" t="s">
        <v>86</v>
      </c>
      <c r="S443" s="20" t="s">
        <v>87</v>
      </c>
      <c r="T443" s="26" t="s">
        <v>103</v>
      </c>
      <c r="U443" s="20" t="s">
        <v>104</v>
      </c>
      <c r="V443" s="20" t="s">
        <v>90</v>
      </c>
      <c r="W443" s="21"/>
    </row>
    <row r="444" customFormat="false" ht="23.85" hidden="false" customHeight="false" outlineLevel="0" collapsed="false">
      <c r="A444" s="20" t="n">
        <v>443</v>
      </c>
      <c r="B444" s="20" t="s">
        <v>2045</v>
      </c>
      <c r="C444" s="20" t="s">
        <v>4</v>
      </c>
      <c r="D444" s="20" t="s">
        <v>2046</v>
      </c>
      <c r="E444" s="20" t="s">
        <v>33</v>
      </c>
      <c r="F444" s="20" t="s">
        <v>719</v>
      </c>
      <c r="G444" s="21" t="s">
        <v>2047</v>
      </c>
      <c r="H444" s="20"/>
      <c r="I444" s="20"/>
      <c r="J444" s="20" t="s">
        <v>2048</v>
      </c>
      <c r="K444" s="22"/>
      <c r="L444" s="23"/>
      <c r="M444" s="20" t="s">
        <v>84</v>
      </c>
      <c r="N444" s="24" t="n">
        <v>6.5589352</v>
      </c>
      <c r="O444" s="24" t="n">
        <v>3.3712899</v>
      </c>
      <c r="P444" s="20" t="s">
        <v>125</v>
      </c>
      <c r="Q444" s="20" t="s">
        <v>86</v>
      </c>
      <c r="R444" s="20" t="s">
        <v>86</v>
      </c>
      <c r="S444" s="20" t="s">
        <v>87</v>
      </c>
      <c r="T444" s="25" t="s">
        <v>88</v>
      </c>
      <c r="U444" s="20" t="s">
        <v>89</v>
      </c>
      <c r="V444" s="20" t="s">
        <v>90</v>
      </c>
      <c r="W444" s="21"/>
    </row>
    <row r="445" customFormat="false" ht="15" hidden="false" customHeight="false" outlineLevel="0" collapsed="false">
      <c r="A445" s="20" t="n">
        <v>444</v>
      </c>
      <c r="B445" s="20" t="s">
        <v>2049</v>
      </c>
      <c r="C445" s="20" t="s">
        <v>4</v>
      </c>
      <c r="D445" s="20" t="s">
        <v>2050</v>
      </c>
      <c r="E445" s="20" t="s">
        <v>33</v>
      </c>
      <c r="F445" s="20" t="s">
        <v>2018</v>
      </c>
      <c r="G445" s="21" t="s">
        <v>2050</v>
      </c>
      <c r="H445" s="20" t="s">
        <v>2051</v>
      </c>
      <c r="I445" s="20"/>
      <c r="J445" s="20"/>
      <c r="K445" s="22" t="n">
        <v>4.5</v>
      </c>
      <c r="L445" s="23" t="n">
        <v>75</v>
      </c>
      <c r="M445" s="20" t="s">
        <v>100</v>
      </c>
      <c r="N445" s="24" t="n">
        <v>6.56385</v>
      </c>
      <c r="O445" s="24" t="n">
        <v>3.36801</v>
      </c>
      <c r="P445" s="20" t="s">
        <v>85</v>
      </c>
      <c r="Q445" s="20" t="s">
        <v>86</v>
      </c>
      <c r="R445" s="20" t="s">
        <v>86</v>
      </c>
      <c r="S445" s="20" t="s">
        <v>87</v>
      </c>
      <c r="T445" s="27" t="s">
        <v>117</v>
      </c>
      <c r="U445" s="20" t="s">
        <v>118</v>
      </c>
      <c r="V445" s="20" t="s">
        <v>90</v>
      </c>
      <c r="W445" s="21"/>
    </row>
    <row r="446" customFormat="false" ht="15" hidden="false" customHeight="false" outlineLevel="0" collapsed="false">
      <c r="A446" s="20" t="n">
        <v>445</v>
      </c>
      <c r="B446" s="20" t="s">
        <v>2052</v>
      </c>
      <c r="C446" s="20" t="s">
        <v>4</v>
      </c>
      <c r="D446" s="20" t="s">
        <v>2053</v>
      </c>
      <c r="E446" s="20" t="s">
        <v>33</v>
      </c>
      <c r="F446" s="20" t="s">
        <v>1980</v>
      </c>
      <c r="G446" s="21" t="s">
        <v>2054</v>
      </c>
      <c r="H446" s="20" t="s">
        <v>2055</v>
      </c>
      <c r="I446" s="20"/>
      <c r="J446" s="20"/>
      <c r="K446" s="22"/>
      <c r="L446" s="23"/>
      <c r="M446" s="20" t="s">
        <v>100</v>
      </c>
      <c r="N446" s="24"/>
      <c r="O446" s="24"/>
      <c r="P446" s="20" t="s">
        <v>101</v>
      </c>
      <c r="Q446" s="20" t="s">
        <v>86</v>
      </c>
      <c r="R446" s="20" t="s">
        <v>86</v>
      </c>
      <c r="S446" s="20" t="s">
        <v>102</v>
      </c>
      <c r="T446" s="26" t="s">
        <v>103</v>
      </c>
      <c r="U446" s="20" t="s">
        <v>104</v>
      </c>
      <c r="V446" s="20" t="s">
        <v>90</v>
      </c>
      <c r="W446" s="21"/>
    </row>
    <row r="447" customFormat="false" ht="23.85" hidden="false" customHeight="false" outlineLevel="0" collapsed="false">
      <c r="A447" s="20" t="n">
        <v>446</v>
      </c>
      <c r="B447" s="20" t="s">
        <v>2056</v>
      </c>
      <c r="C447" s="20" t="s">
        <v>4</v>
      </c>
      <c r="D447" s="20" t="s">
        <v>196</v>
      </c>
      <c r="E447" s="20" t="s">
        <v>33</v>
      </c>
      <c r="F447" s="20" t="s">
        <v>2018</v>
      </c>
      <c r="G447" s="21" t="s">
        <v>2057</v>
      </c>
      <c r="H447" s="20" t="s">
        <v>2058</v>
      </c>
      <c r="I447" s="20"/>
      <c r="J447" s="20" t="s">
        <v>2059</v>
      </c>
      <c r="K447" s="22" t="n">
        <v>4.5</v>
      </c>
      <c r="L447" s="23" t="n">
        <v>11</v>
      </c>
      <c r="M447" s="20" t="s">
        <v>100</v>
      </c>
      <c r="N447" s="24" t="n">
        <v>6.5586962</v>
      </c>
      <c r="O447" s="24" t="n">
        <v>3.3715974</v>
      </c>
      <c r="P447" s="20" t="s">
        <v>125</v>
      </c>
      <c r="Q447" s="20" t="s">
        <v>86</v>
      </c>
      <c r="R447" s="20" t="s">
        <v>86</v>
      </c>
      <c r="S447" s="20" t="s">
        <v>87</v>
      </c>
      <c r="T447" s="27" t="s">
        <v>117</v>
      </c>
      <c r="U447" s="20" t="s">
        <v>118</v>
      </c>
      <c r="V447" s="20" t="s">
        <v>90</v>
      </c>
      <c r="W447" s="21"/>
    </row>
    <row r="448" customFormat="false" ht="35.05" hidden="false" customHeight="false" outlineLevel="0" collapsed="false">
      <c r="A448" s="20" t="n">
        <v>447</v>
      </c>
      <c r="B448" s="20" t="s">
        <v>2060</v>
      </c>
      <c r="C448" s="20" t="s">
        <v>4</v>
      </c>
      <c r="D448" s="20" t="s">
        <v>2061</v>
      </c>
      <c r="E448" s="20" t="s">
        <v>34</v>
      </c>
      <c r="F448" s="20" t="s">
        <v>2062</v>
      </c>
      <c r="G448" s="21" t="s">
        <v>2063</v>
      </c>
      <c r="H448" s="20" t="s">
        <v>2064</v>
      </c>
      <c r="I448" s="20"/>
      <c r="J448" s="20" t="s">
        <v>2065</v>
      </c>
      <c r="K448" s="22" t="n">
        <v>4.8</v>
      </c>
      <c r="L448" s="23" t="n">
        <v>10</v>
      </c>
      <c r="M448" s="20" t="s">
        <v>100</v>
      </c>
      <c r="N448" s="24" t="n">
        <v>6.5591055</v>
      </c>
      <c r="O448" s="24" t="n">
        <v>3.3668055</v>
      </c>
      <c r="P448" s="20" t="s">
        <v>125</v>
      </c>
      <c r="Q448" s="20" t="s">
        <v>86</v>
      </c>
      <c r="R448" s="20" t="s">
        <v>86</v>
      </c>
      <c r="S448" s="20" t="s">
        <v>87</v>
      </c>
      <c r="T448" s="27" t="s">
        <v>117</v>
      </c>
      <c r="U448" s="20" t="s">
        <v>118</v>
      </c>
      <c r="V448" s="20" t="s">
        <v>90</v>
      </c>
      <c r="W448" s="21"/>
    </row>
    <row r="449" customFormat="false" ht="15" hidden="false" customHeight="false" outlineLevel="0" collapsed="false">
      <c r="A449" s="20" t="n">
        <v>448</v>
      </c>
      <c r="B449" s="20" t="s">
        <v>2066</v>
      </c>
      <c r="C449" s="20" t="s">
        <v>4</v>
      </c>
      <c r="D449" s="20" t="s">
        <v>525</v>
      </c>
      <c r="E449" s="20" t="s">
        <v>34</v>
      </c>
      <c r="F449" s="20" t="s">
        <v>2067</v>
      </c>
      <c r="G449" s="21" t="s">
        <v>2068</v>
      </c>
      <c r="H449" s="20"/>
      <c r="I449" s="20"/>
      <c r="J449" s="20" t="s">
        <v>2069</v>
      </c>
      <c r="K449" s="22"/>
      <c r="L449" s="23"/>
      <c r="M449" s="20" t="s">
        <v>84</v>
      </c>
      <c r="N449" s="24" t="n">
        <v>6.5604393</v>
      </c>
      <c r="O449" s="24" t="n">
        <v>3.3693382</v>
      </c>
      <c r="P449" s="20" t="s">
        <v>125</v>
      </c>
      <c r="Q449" s="20" t="s">
        <v>86</v>
      </c>
      <c r="R449" s="20" t="s">
        <v>86</v>
      </c>
      <c r="S449" s="20" t="s">
        <v>87</v>
      </c>
      <c r="T449" s="25" t="s">
        <v>88</v>
      </c>
      <c r="U449" s="20" t="s">
        <v>89</v>
      </c>
      <c r="V449" s="20" t="s">
        <v>90</v>
      </c>
      <c r="W449" s="21"/>
    </row>
    <row r="450" customFormat="false" ht="15" hidden="false" customHeight="false" outlineLevel="0" collapsed="false">
      <c r="A450" s="20" t="n">
        <v>449</v>
      </c>
      <c r="B450" s="20" t="s">
        <v>2070</v>
      </c>
      <c r="C450" s="20" t="s">
        <v>4</v>
      </c>
      <c r="D450" s="20" t="s">
        <v>166</v>
      </c>
      <c r="E450" s="20" t="s">
        <v>34</v>
      </c>
      <c r="F450" s="20" t="s">
        <v>2071</v>
      </c>
      <c r="G450" s="21" t="s">
        <v>167</v>
      </c>
      <c r="H450" s="20"/>
      <c r="I450" s="20"/>
      <c r="J450" s="20"/>
      <c r="K450" s="22"/>
      <c r="L450" s="23"/>
      <c r="M450" s="20" t="s">
        <v>84</v>
      </c>
      <c r="N450" s="24"/>
      <c r="O450" s="24"/>
      <c r="P450" s="20" t="s">
        <v>101</v>
      </c>
      <c r="Q450" s="20" t="s">
        <v>86</v>
      </c>
      <c r="R450" s="20" t="s">
        <v>86</v>
      </c>
      <c r="S450" s="20" t="s">
        <v>102</v>
      </c>
      <c r="T450" s="25" t="s">
        <v>88</v>
      </c>
      <c r="U450" s="20" t="s">
        <v>89</v>
      </c>
      <c r="V450" s="20" t="s">
        <v>138</v>
      </c>
      <c r="W450" s="21" t="s">
        <v>168</v>
      </c>
    </row>
    <row r="451" customFormat="false" ht="23.85" hidden="false" customHeight="false" outlineLevel="0" collapsed="false">
      <c r="A451" s="20" t="n">
        <v>450</v>
      </c>
      <c r="B451" s="20" t="s">
        <v>2072</v>
      </c>
      <c r="C451" s="20" t="s">
        <v>4</v>
      </c>
      <c r="D451" s="20" t="s">
        <v>535</v>
      </c>
      <c r="E451" s="20" t="s">
        <v>34</v>
      </c>
      <c r="F451" s="20" t="s">
        <v>2073</v>
      </c>
      <c r="G451" s="21" t="s">
        <v>1579</v>
      </c>
      <c r="H451" s="20" t="s">
        <v>2074</v>
      </c>
      <c r="I451" s="20" t="s">
        <v>2075</v>
      </c>
      <c r="J451" s="20" t="s">
        <v>2076</v>
      </c>
      <c r="K451" s="22" t="n">
        <v>4.9</v>
      </c>
      <c r="L451" s="23" t="n">
        <v>83</v>
      </c>
      <c r="M451" s="20" t="s">
        <v>100</v>
      </c>
      <c r="N451" s="24" t="n">
        <v>6.5602866</v>
      </c>
      <c r="O451" s="24" t="n">
        <v>3.3703509</v>
      </c>
      <c r="P451" s="20" t="s">
        <v>125</v>
      </c>
      <c r="Q451" s="20" t="s">
        <v>86</v>
      </c>
      <c r="R451" s="20" t="s">
        <v>86</v>
      </c>
      <c r="S451" s="20" t="s">
        <v>87</v>
      </c>
      <c r="T451" s="27" t="s">
        <v>117</v>
      </c>
      <c r="U451" s="20" t="s">
        <v>118</v>
      </c>
      <c r="V451" s="20" t="s">
        <v>90</v>
      </c>
      <c r="W451" s="21"/>
    </row>
    <row r="452" customFormat="false" ht="15" hidden="false" customHeight="false" outlineLevel="0" collapsed="false">
      <c r="A452" s="20" t="n">
        <v>451</v>
      </c>
      <c r="B452" s="20" t="s">
        <v>2077</v>
      </c>
      <c r="C452" s="20" t="s">
        <v>4</v>
      </c>
      <c r="D452" s="20" t="s">
        <v>2078</v>
      </c>
      <c r="E452" s="20" t="s">
        <v>34</v>
      </c>
      <c r="F452" s="20" t="s">
        <v>2079</v>
      </c>
      <c r="G452" s="21" t="s">
        <v>2080</v>
      </c>
      <c r="H452" s="20" t="s">
        <v>2081</v>
      </c>
      <c r="I452" s="20"/>
      <c r="J452" s="20"/>
      <c r="K452" s="22" t="n">
        <v>4.8</v>
      </c>
      <c r="L452" s="23" t="n">
        <v>50</v>
      </c>
      <c r="M452" s="20" t="s">
        <v>100</v>
      </c>
      <c r="N452" s="24" t="n">
        <v>6.56347</v>
      </c>
      <c r="O452" s="24" t="n">
        <v>3.36788</v>
      </c>
      <c r="P452" s="20" t="s">
        <v>85</v>
      </c>
      <c r="Q452" s="20" t="s">
        <v>86</v>
      </c>
      <c r="R452" s="20" t="s">
        <v>86</v>
      </c>
      <c r="S452" s="20" t="s">
        <v>87</v>
      </c>
      <c r="T452" s="27" t="s">
        <v>117</v>
      </c>
      <c r="U452" s="20" t="s">
        <v>118</v>
      </c>
      <c r="V452" s="20" t="s">
        <v>90</v>
      </c>
      <c r="W452" s="21"/>
    </row>
    <row r="453" customFormat="false" ht="15" hidden="false" customHeight="false" outlineLevel="0" collapsed="false">
      <c r="A453" s="20" t="n">
        <v>452</v>
      </c>
      <c r="B453" s="20" t="s">
        <v>2082</v>
      </c>
      <c r="C453" s="20" t="s">
        <v>4</v>
      </c>
      <c r="D453" s="20" t="s">
        <v>2083</v>
      </c>
      <c r="E453" s="20" t="s">
        <v>34</v>
      </c>
      <c r="F453" s="20" t="s">
        <v>2084</v>
      </c>
      <c r="G453" s="21" t="s">
        <v>2085</v>
      </c>
      <c r="H453" s="20" t="s">
        <v>2086</v>
      </c>
      <c r="I453" s="20"/>
      <c r="J453" s="20" t="s">
        <v>2087</v>
      </c>
      <c r="K453" s="22"/>
      <c r="L453" s="23"/>
      <c r="M453" s="20" t="s">
        <v>100</v>
      </c>
      <c r="N453" s="24" t="n">
        <v>6.5590764</v>
      </c>
      <c r="O453" s="24" t="n">
        <v>3.3693929</v>
      </c>
      <c r="P453" s="20" t="s">
        <v>125</v>
      </c>
      <c r="Q453" s="20" t="s">
        <v>86</v>
      </c>
      <c r="R453" s="20" t="s">
        <v>86</v>
      </c>
      <c r="S453" s="20" t="s">
        <v>87</v>
      </c>
      <c r="T453" s="26" t="s">
        <v>103</v>
      </c>
      <c r="U453" s="20" t="s">
        <v>104</v>
      </c>
      <c r="V453" s="20" t="s">
        <v>90</v>
      </c>
      <c r="W453" s="21"/>
    </row>
    <row r="454" customFormat="false" ht="15" hidden="false" customHeight="false" outlineLevel="0" collapsed="false">
      <c r="A454" s="20" t="n">
        <v>453</v>
      </c>
      <c r="B454" s="20" t="s">
        <v>2088</v>
      </c>
      <c r="C454" s="20" t="s">
        <v>4</v>
      </c>
      <c r="D454" s="20" t="s">
        <v>2089</v>
      </c>
      <c r="E454" s="20" t="s">
        <v>34</v>
      </c>
      <c r="F454" s="20" t="s">
        <v>2090</v>
      </c>
      <c r="G454" s="21" t="s">
        <v>2091</v>
      </c>
      <c r="H454" s="20" t="s">
        <v>2092</v>
      </c>
      <c r="I454" s="20"/>
      <c r="J454" s="20" t="s">
        <v>2093</v>
      </c>
      <c r="K454" s="22"/>
      <c r="L454" s="23"/>
      <c r="M454" s="20" t="s">
        <v>100</v>
      </c>
      <c r="N454" s="24" t="n">
        <v>6.5597645</v>
      </c>
      <c r="O454" s="24" t="n">
        <v>3.3686713</v>
      </c>
      <c r="P454" s="20" t="s">
        <v>125</v>
      </c>
      <c r="Q454" s="20" t="s">
        <v>86</v>
      </c>
      <c r="R454" s="20" t="s">
        <v>86</v>
      </c>
      <c r="S454" s="20" t="s">
        <v>87</v>
      </c>
      <c r="T454" s="26" t="s">
        <v>103</v>
      </c>
      <c r="U454" s="20" t="s">
        <v>104</v>
      </c>
      <c r="V454" s="20" t="s">
        <v>90</v>
      </c>
      <c r="W454" s="21"/>
    </row>
    <row r="455" customFormat="false" ht="23.85" hidden="false" customHeight="false" outlineLevel="0" collapsed="false">
      <c r="A455" s="20" t="n">
        <v>454</v>
      </c>
      <c r="B455" s="20" t="s">
        <v>2094</v>
      </c>
      <c r="C455" s="20" t="s">
        <v>4</v>
      </c>
      <c r="D455" s="20" t="s">
        <v>2095</v>
      </c>
      <c r="E455" s="20" t="s">
        <v>34</v>
      </c>
      <c r="F455" s="20" t="s">
        <v>2073</v>
      </c>
      <c r="G455" s="21" t="s">
        <v>2096</v>
      </c>
      <c r="H455" s="20"/>
      <c r="I455" s="20"/>
      <c r="J455" s="20" t="s">
        <v>2097</v>
      </c>
      <c r="K455" s="22"/>
      <c r="L455" s="23"/>
      <c r="M455" s="20" t="s">
        <v>84</v>
      </c>
      <c r="N455" s="24" t="n">
        <v>6.5609039</v>
      </c>
      <c r="O455" s="24" t="n">
        <v>3.3672369</v>
      </c>
      <c r="P455" s="20" t="s">
        <v>125</v>
      </c>
      <c r="Q455" s="20" t="s">
        <v>86</v>
      </c>
      <c r="R455" s="20" t="s">
        <v>86</v>
      </c>
      <c r="S455" s="20" t="s">
        <v>87</v>
      </c>
      <c r="T455" s="25" t="s">
        <v>88</v>
      </c>
      <c r="U455" s="20" t="s">
        <v>89</v>
      </c>
      <c r="V455" s="20" t="s">
        <v>90</v>
      </c>
      <c r="W455" s="21"/>
    </row>
    <row r="456" customFormat="false" ht="23.85" hidden="false" customHeight="false" outlineLevel="0" collapsed="false">
      <c r="A456" s="20" t="n">
        <v>455</v>
      </c>
      <c r="B456" s="20" t="s">
        <v>2098</v>
      </c>
      <c r="C456" s="20" t="s">
        <v>4</v>
      </c>
      <c r="D456" s="20" t="s">
        <v>2099</v>
      </c>
      <c r="E456" s="20" t="s">
        <v>34</v>
      </c>
      <c r="F456" s="20" t="s">
        <v>2100</v>
      </c>
      <c r="G456" s="21" t="s">
        <v>2101</v>
      </c>
      <c r="H456" s="20" t="s">
        <v>2102</v>
      </c>
      <c r="I456" s="20"/>
      <c r="J456" s="20" t="s">
        <v>2103</v>
      </c>
      <c r="K456" s="22" t="n">
        <v>4</v>
      </c>
      <c r="L456" s="23" t="n">
        <v>1</v>
      </c>
      <c r="M456" s="20" t="s">
        <v>100</v>
      </c>
      <c r="N456" s="24" t="n">
        <v>6.5621434</v>
      </c>
      <c r="O456" s="24" t="n">
        <v>3.3701983</v>
      </c>
      <c r="P456" s="20" t="s">
        <v>125</v>
      </c>
      <c r="Q456" s="20" t="s">
        <v>86</v>
      </c>
      <c r="R456" s="20" t="s">
        <v>86</v>
      </c>
      <c r="S456" s="20" t="s">
        <v>87</v>
      </c>
      <c r="T456" s="26" t="s">
        <v>103</v>
      </c>
      <c r="U456" s="20" t="s">
        <v>104</v>
      </c>
      <c r="V456" s="20" t="s">
        <v>90</v>
      </c>
      <c r="W456" s="21"/>
    </row>
    <row r="457" customFormat="false" ht="23.85" hidden="false" customHeight="false" outlineLevel="0" collapsed="false">
      <c r="A457" s="20" t="n">
        <v>456</v>
      </c>
      <c r="B457" s="20" t="s">
        <v>2104</v>
      </c>
      <c r="C457" s="20" t="s">
        <v>4</v>
      </c>
      <c r="D457" s="20" t="s">
        <v>2105</v>
      </c>
      <c r="E457" s="20" t="s">
        <v>34</v>
      </c>
      <c r="F457" s="20" t="s">
        <v>2106</v>
      </c>
      <c r="G457" s="21" t="s">
        <v>2107</v>
      </c>
      <c r="H457" s="20" t="s">
        <v>2108</v>
      </c>
      <c r="I457" s="20" t="s">
        <v>2109</v>
      </c>
      <c r="J457" s="20" t="s">
        <v>2110</v>
      </c>
      <c r="K457" s="22" t="n">
        <v>4.8</v>
      </c>
      <c r="L457" s="23" t="n">
        <v>53</v>
      </c>
      <c r="M457" s="20" t="s">
        <v>100</v>
      </c>
      <c r="N457" s="24" t="n">
        <v>6.5620174</v>
      </c>
      <c r="O457" s="24" t="n">
        <v>3.3709464</v>
      </c>
      <c r="P457" s="20" t="s">
        <v>125</v>
      </c>
      <c r="Q457" s="20" t="s">
        <v>86</v>
      </c>
      <c r="R457" s="20" t="s">
        <v>86</v>
      </c>
      <c r="S457" s="20" t="s">
        <v>87</v>
      </c>
      <c r="T457" s="27" t="s">
        <v>117</v>
      </c>
      <c r="U457" s="20" t="s">
        <v>118</v>
      </c>
      <c r="V457" s="20" t="s">
        <v>90</v>
      </c>
      <c r="W457" s="21"/>
    </row>
    <row r="458" customFormat="false" ht="23.85" hidden="false" customHeight="false" outlineLevel="0" collapsed="false">
      <c r="A458" s="20" t="n">
        <v>457</v>
      </c>
      <c r="B458" s="20" t="s">
        <v>2111</v>
      </c>
      <c r="C458" s="20" t="s">
        <v>4</v>
      </c>
      <c r="D458" s="20" t="s">
        <v>2112</v>
      </c>
      <c r="E458" s="20" t="s">
        <v>34</v>
      </c>
      <c r="F458" s="20" t="s">
        <v>2090</v>
      </c>
      <c r="G458" s="21" t="s">
        <v>2113</v>
      </c>
      <c r="H458" s="20" t="s">
        <v>2114</v>
      </c>
      <c r="I458" s="20"/>
      <c r="J458" s="20" t="s">
        <v>2115</v>
      </c>
      <c r="K458" s="22"/>
      <c r="L458" s="23"/>
      <c r="M458" s="20" t="s">
        <v>100</v>
      </c>
      <c r="N458" s="24" t="n">
        <v>6.5591055</v>
      </c>
      <c r="O458" s="24" t="n">
        <v>3.3668055</v>
      </c>
      <c r="P458" s="20" t="s">
        <v>125</v>
      </c>
      <c r="Q458" s="20" t="s">
        <v>86</v>
      </c>
      <c r="R458" s="20" t="s">
        <v>86</v>
      </c>
      <c r="S458" s="20" t="s">
        <v>87</v>
      </c>
      <c r="T458" s="26" t="s">
        <v>103</v>
      </c>
      <c r="U458" s="20" t="s">
        <v>104</v>
      </c>
      <c r="V458" s="20" t="s">
        <v>90</v>
      </c>
      <c r="W458" s="21"/>
    </row>
    <row r="459" customFormat="false" ht="15" hidden="false" customHeight="false" outlineLevel="0" collapsed="false">
      <c r="A459" s="20" t="n">
        <v>458</v>
      </c>
      <c r="B459" s="20" t="s">
        <v>2116</v>
      </c>
      <c r="C459" s="20" t="s">
        <v>4</v>
      </c>
      <c r="D459" s="20" t="s">
        <v>2117</v>
      </c>
      <c r="E459" s="20" t="s">
        <v>34</v>
      </c>
      <c r="F459" s="20" t="s">
        <v>2118</v>
      </c>
      <c r="G459" s="21" t="s">
        <v>2119</v>
      </c>
      <c r="H459" s="20" t="s">
        <v>2120</v>
      </c>
      <c r="I459" s="20"/>
      <c r="J459" s="20"/>
      <c r="K459" s="22"/>
      <c r="L459" s="23"/>
      <c r="M459" s="20" t="s">
        <v>100</v>
      </c>
      <c r="N459" s="24"/>
      <c r="O459" s="24"/>
      <c r="P459" s="20" t="s">
        <v>101</v>
      </c>
      <c r="Q459" s="20" t="s">
        <v>86</v>
      </c>
      <c r="R459" s="20" t="s">
        <v>86</v>
      </c>
      <c r="S459" s="20" t="s">
        <v>102</v>
      </c>
      <c r="T459" s="26" t="s">
        <v>103</v>
      </c>
      <c r="U459" s="20" t="s">
        <v>104</v>
      </c>
      <c r="V459" s="20" t="s">
        <v>138</v>
      </c>
      <c r="W459" s="21" t="s">
        <v>139</v>
      </c>
    </row>
    <row r="460" customFormat="false" ht="23.85" hidden="false" customHeight="false" outlineLevel="0" collapsed="false">
      <c r="A460" s="20" t="n">
        <v>459</v>
      </c>
      <c r="B460" s="20" t="s">
        <v>2121</v>
      </c>
      <c r="C460" s="20" t="s">
        <v>4</v>
      </c>
      <c r="D460" s="20" t="s">
        <v>2112</v>
      </c>
      <c r="E460" s="20" t="s">
        <v>34</v>
      </c>
      <c r="F460" s="20" t="s">
        <v>2122</v>
      </c>
      <c r="G460" s="21" t="s">
        <v>2123</v>
      </c>
      <c r="H460" s="20" t="s">
        <v>2124</v>
      </c>
      <c r="I460" s="20" t="s">
        <v>2125</v>
      </c>
      <c r="J460" s="20" t="s">
        <v>2126</v>
      </c>
      <c r="K460" s="22" t="n">
        <v>5</v>
      </c>
      <c r="L460" s="23" t="n">
        <v>1</v>
      </c>
      <c r="M460" s="20" t="s">
        <v>100</v>
      </c>
      <c r="N460" s="24" t="n">
        <v>6.5591055</v>
      </c>
      <c r="O460" s="24" t="n">
        <v>3.3668055</v>
      </c>
      <c r="P460" s="20" t="s">
        <v>125</v>
      </c>
      <c r="Q460" s="20" t="s">
        <v>86</v>
      </c>
      <c r="R460" s="20" t="s">
        <v>86</v>
      </c>
      <c r="S460" s="20" t="s">
        <v>87</v>
      </c>
      <c r="T460" s="27" t="s">
        <v>117</v>
      </c>
      <c r="U460" s="20" t="s">
        <v>118</v>
      </c>
      <c r="V460" s="20" t="s">
        <v>90</v>
      </c>
      <c r="W460" s="21"/>
    </row>
    <row r="461" customFormat="false" ht="23.85" hidden="false" customHeight="false" outlineLevel="0" collapsed="false">
      <c r="A461" s="20" t="n">
        <v>460</v>
      </c>
      <c r="B461" s="20" t="s">
        <v>2127</v>
      </c>
      <c r="C461" s="20" t="s">
        <v>4</v>
      </c>
      <c r="D461" s="20" t="s">
        <v>2128</v>
      </c>
      <c r="E461" s="20" t="s">
        <v>34</v>
      </c>
      <c r="F461" s="20" t="s">
        <v>2073</v>
      </c>
      <c r="G461" s="21" t="s">
        <v>2129</v>
      </c>
      <c r="H461" s="20" t="s">
        <v>2130</v>
      </c>
      <c r="I461" s="20"/>
      <c r="J461" s="20" t="s">
        <v>2131</v>
      </c>
      <c r="K461" s="22"/>
      <c r="L461" s="23"/>
      <c r="M461" s="20" t="s">
        <v>100</v>
      </c>
      <c r="N461" s="24" t="n">
        <v>6.5594261</v>
      </c>
      <c r="O461" s="24" t="n">
        <v>3.3689029</v>
      </c>
      <c r="P461" s="20" t="s">
        <v>125</v>
      </c>
      <c r="Q461" s="20" t="s">
        <v>86</v>
      </c>
      <c r="R461" s="20" t="s">
        <v>86</v>
      </c>
      <c r="S461" s="20" t="s">
        <v>87</v>
      </c>
      <c r="T461" s="26" t="s">
        <v>103</v>
      </c>
      <c r="U461" s="20" t="s">
        <v>104</v>
      </c>
      <c r="V461" s="20" t="s">
        <v>90</v>
      </c>
      <c r="W461" s="21"/>
    </row>
    <row r="462" customFormat="false" ht="23.85" hidden="false" customHeight="false" outlineLevel="0" collapsed="false">
      <c r="A462" s="20" t="n">
        <v>461</v>
      </c>
      <c r="B462" s="20" t="s">
        <v>2132</v>
      </c>
      <c r="C462" s="20" t="s">
        <v>4</v>
      </c>
      <c r="D462" s="20" t="s">
        <v>2133</v>
      </c>
      <c r="E462" s="20" t="s">
        <v>34</v>
      </c>
      <c r="F462" s="20" t="s">
        <v>2073</v>
      </c>
      <c r="G462" s="21" t="s">
        <v>2134</v>
      </c>
      <c r="H462" s="20"/>
      <c r="I462" s="20" t="s">
        <v>2135</v>
      </c>
      <c r="J462" s="20" t="s">
        <v>2136</v>
      </c>
      <c r="K462" s="22" t="n">
        <v>4.5</v>
      </c>
      <c r="L462" s="23" t="n">
        <v>132</v>
      </c>
      <c r="M462" s="20" t="s">
        <v>84</v>
      </c>
      <c r="N462" s="24" t="n">
        <v>6.5621935</v>
      </c>
      <c r="O462" s="24" t="n">
        <v>3.3723788</v>
      </c>
      <c r="P462" s="20" t="s">
        <v>125</v>
      </c>
      <c r="Q462" s="20" t="s">
        <v>86</v>
      </c>
      <c r="R462" s="20" t="s">
        <v>86</v>
      </c>
      <c r="S462" s="20" t="s">
        <v>87</v>
      </c>
      <c r="T462" s="25" t="s">
        <v>88</v>
      </c>
      <c r="U462" s="20" t="s">
        <v>89</v>
      </c>
      <c r="V462" s="20" t="s">
        <v>90</v>
      </c>
      <c r="W462" s="21"/>
    </row>
    <row r="463" customFormat="false" ht="15" hidden="false" customHeight="false" outlineLevel="0" collapsed="false">
      <c r="A463" s="20" t="n">
        <v>462</v>
      </c>
      <c r="B463" s="20" t="s">
        <v>2137</v>
      </c>
      <c r="C463" s="20" t="s">
        <v>4</v>
      </c>
      <c r="D463" s="20" t="s">
        <v>2138</v>
      </c>
      <c r="E463" s="20" t="s">
        <v>34</v>
      </c>
      <c r="F463" s="20" t="s">
        <v>2139</v>
      </c>
      <c r="G463" s="21" t="s">
        <v>2140</v>
      </c>
      <c r="H463" s="20" t="s">
        <v>2141</v>
      </c>
      <c r="I463" s="20"/>
      <c r="J463" s="20"/>
      <c r="K463" s="22"/>
      <c r="L463" s="23"/>
      <c r="M463" s="20" t="s">
        <v>100</v>
      </c>
      <c r="N463" s="24"/>
      <c r="O463" s="24"/>
      <c r="P463" s="20" t="s">
        <v>101</v>
      </c>
      <c r="Q463" s="20" t="s">
        <v>86</v>
      </c>
      <c r="R463" s="20" t="s">
        <v>86</v>
      </c>
      <c r="S463" s="20" t="s">
        <v>102</v>
      </c>
      <c r="T463" s="26" t="s">
        <v>103</v>
      </c>
      <c r="U463" s="20" t="s">
        <v>104</v>
      </c>
      <c r="V463" s="20" t="s">
        <v>90</v>
      </c>
      <c r="W463" s="21"/>
    </row>
    <row r="464" customFormat="false" ht="23.85" hidden="false" customHeight="false" outlineLevel="0" collapsed="false">
      <c r="A464" s="20" t="n">
        <v>463</v>
      </c>
      <c r="B464" s="20" t="s">
        <v>2142</v>
      </c>
      <c r="C464" s="20" t="s">
        <v>4</v>
      </c>
      <c r="D464" s="20" t="s">
        <v>2143</v>
      </c>
      <c r="E464" s="20" t="s">
        <v>34</v>
      </c>
      <c r="F464" s="20" t="s">
        <v>2106</v>
      </c>
      <c r="G464" s="21" t="s">
        <v>2144</v>
      </c>
      <c r="H464" s="20"/>
      <c r="I464" s="20"/>
      <c r="J464" s="20" t="s">
        <v>2145</v>
      </c>
      <c r="K464" s="22"/>
      <c r="L464" s="23"/>
      <c r="M464" s="20" t="s">
        <v>84</v>
      </c>
      <c r="N464" s="24" t="n">
        <v>6.5609013</v>
      </c>
      <c r="O464" s="24" t="n">
        <v>3.3715369</v>
      </c>
      <c r="P464" s="20" t="s">
        <v>125</v>
      </c>
      <c r="Q464" s="20" t="s">
        <v>86</v>
      </c>
      <c r="R464" s="20" t="s">
        <v>86</v>
      </c>
      <c r="S464" s="20" t="s">
        <v>87</v>
      </c>
      <c r="T464" s="25" t="s">
        <v>88</v>
      </c>
      <c r="U464" s="20" t="s">
        <v>89</v>
      </c>
      <c r="V464" s="20" t="s">
        <v>90</v>
      </c>
      <c r="W464" s="21"/>
    </row>
    <row r="465" customFormat="false" ht="23.85" hidden="false" customHeight="false" outlineLevel="0" collapsed="false">
      <c r="A465" s="20" t="n">
        <v>464</v>
      </c>
      <c r="B465" s="20" t="s">
        <v>2146</v>
      </c>
      <c r="C465" s="20" t="s">
        <v>4</v>
      </c>
      <c r="D465" s="20" t="s">
        <v>1632</v>
      </c>
      <c r="E465" s="20" t="s">
        <v>34</v>
      </c>
      <c r="F465" s="20" t="s">
        <v>2073</v>
      </c>
      <c r="G465" s="21" t="s">
        <v>2147</v>
      </c>
      <c r="H465" s="20"/>
      <c r="I465" s="20"/>
      <c r="J465" s="20" t="s">
        <v>2148</v>
      </c>
      <c r="K465" s="22"/>
      <c r="L465" s="23"/>
      <c r="M465" s="20" t="s">
        <v>84</v>
      </c>
      <c r="N465" s="24" t="n">
        <v>6.5607224</v>
      </c>
      <c r="O465" s="24" t="n">
        <v>3.3676871</v>
      </c>
      <c r="P465" s="20" t="s">
        <v>125</v>
      </c>
      <c r="Q465" s="20" t="s">
        <v>86</v>
      </c>
      <c r="R465" s="20" t="s">
        <v>86</v>
      </c>
      <c r="S465" s="20" t="s">
        <v>87</v>
      </c>
      <c r="T465" s="25" t="s">
        <v>88</v>
      </c>
      <c r="U465" s="20" t="s">
        <v>89</v>
      </c>
      <c r="V465" s="20" t="s">
        <v>90</v>
      </c>
      <c r="W465" s="21"/>
    </row>
    <row r="466" customFormat="false" ht="23.85" hidden="false" customHeight="false" outlineLevel="0" collapsed="false">
      <c r="A466" s="20" t="n">
        <v>465</v>
      </c>
      <c r="B466" s="20" t="s">
        <v>2149</v>
      </c>
      <c r="C466" s="20" t="s">
        <v>4</v>
      </c>
      <c r="D466" s="20" t="s">
        <v>206</v>
      </c>
      <c r="E466" s="20" t="s">
        <v>34</v>
      </c>
      <c r="F466" s="20" t="s">
        <v>2106</v>
      </c>
      <c r="G466" s="21" t="s">
        <v>218</v>
      </c>
      <c r="H466" s="20"/>
      <c r="I466" s="20"/>
      <c r="J466" s="20" t="s">
        <v>2150</v>
      </c>
      <c r="K466" s="22"/>
      <c r="L466" s="23"/>
      <c r="M466" s="20" t="s">
        <v>84</v>
      </c>
      <c r="N466" s="24" t="n">
        <v>6.559453</v>
      </c>
      <c r="O466" s="24" t="n">
        <v>3.3693809</v>
      </c>
      <c r="P466" s="20" t="s">
        <v>125</v>
      </c>
      <c r="Q466" s="20" t="s">
        <v>86</v>
      </c>
      <c r="R466" s="20" t="s">
        <v>86</v>
      </c>
      <c r="S466" s="20" t="s">
        <v>87</v>
      </c>
      <c r="T466" s="25" t="s">
        <v>88</v>
      </c>
      <c r="U466" s="20" t="s">
        <v>89</v>
      </c>
      <c r="V466" s="20" t="s">
        <v>90</v>
      </c>
      <c r="W466" s="21"/>
    </row>
    <row r="467" customFormat="false" ht="23.85" hidden="false" customHeight="false" outlineLevel="0" collapsed="false">
      <c r="A467" s="20" t="n">
        <v>466</v>
      </c>
      <c r="B467" s="20" t="s">
        <v>2151</v>
      </c>
      <c r="C467" s="20" t="s">
        <v>4</v>
      </c>
      <c r="D467" s="20" t="s">
        <v>514</v>
      </c>
      <c r="E467" s="20" t="s">
        <v>34</v>
      </c>
      <c r="F467" s="20" t="s">
        <v>2152</v>
      </c>
      <c r="G467" s="21" t="s">
        <v>2153</v>
      </c>
      <c r="H467" s="20"/>
      <c r="I467" s="20"/>
      <c r="J467" s="20" t="s">
        <v>2154</v>
      </c>
      <c r="K467" s="22"/>
      <c r="L467" s="23"/>
      <c r="M467" s="20" t="s">
        <v>84</v>
      </c>
      <c r="N467" s="24" t="n">
        <v>6.56089</v>
      </c>
      <c r="O467" s="24" t="n">
        <v>3.3695609</v>
      </c>
      <c r="P467" s="20" t="s">
        <v>125</v>
      </c>
      <c r="Q467" s="20" t="s">
        <v>86</v>
      </c>
      <c r="R467" s="20" t="s">
        <v>86</v>
      </c>
      <c r="S467" s="20" t="s">
        <v>87</v>
      </c>
      <c r="T467" s="25" t="s">
        <v>88</v>
      </c>
      <c r="U467" s="20" t="s">
        <v>89</v>
      </c>
      <c r="V467" s="20" t="s">
        <v>90</v>
      </c>
      <c r="W467" s="21"/>
    </row>
    <row r="468" customFormat="false" ht="23.85" hidden="false" customHeight="false" outlineLevel="0" collapsed="false">
      <c r="A468" s="20" t="n">
        <v>467</v>
      </c>
      <c r="B468" s="20" t="s">
        <v>2155</v>
      </c>
      <c r="C468" s="20" t="s">
        <v>4</v>
      </c>
      <c r="D468" s="20" t="s">
        <v>2156</v>
      </c>
      <c r="E468" s="20" t="s">
        <v>34</v>
      </c>
      <c r="F468" s="20" t="s">
        <v>2157</v>
      </c>
      <c r="G468" s="21" t="s">
        <v>2158</v>
      </c>
      <c r="H468" s="20" t="s">
        <v>2159</v>
      </c>
      <c r="I468" s="20"/>
      <c r="J468" s="20" t="s">
        <v>2160</v>
      </c>
      <c r="K468" s="22" t="n">
        <v>4.2</v>
      </c>
      <c r="L468" s="23" t="n">
        <v>49</v>
      </c>
      <c r="M468" s="20" t="s">
        <v>100</v>
      </c>
      <c r="N468" s="24" t="n">
        <v>6.5601511</v>
      </c>
      <c r="O468" s="24" t="n">
        <v>3.3743457</v>
      </c>
      <c r="P468" s="20" t="s">
        <v>125</v>
      </c>
      <c r="Q468" s="20" t="s">
        <v>86</v>
      </c>
      <c r="R468" s="20" t="s">
        <v>86</v>
      </c>
      <c r="S468" s="20" t="s">
        <v>87</v>
      </c>
      <c r="T468" s="27" t="s">
        <v>117</v>
      </c>
      <c r="U468" s="20" t="s">
        <v>118</v>
      </c>
      <c r="V468" s="20" t="s">
        <v>90</v>
      </c>
      <c r="W468" s="21"/>
    </row>
    <row r="469" customFormat="false" ht="15" hidden="false" customHeight="false" outlineLevel="0" collapsed="false">
      <c r="A469" s="20" t="n">
        <v>468</v>
      </c>
      <c r="B469" s="20" t="s">
        <v>2161</v>
      </c>
      <c r="C469" s="20" t="s">
        <v>4</v>
      </c>
      <c r="D469" s="20" t="s">
        <v>2162</v>
      </c>
      <c r="E469" s="20" t="s">
        <v>34</v>
      </c>
      <c r="F469" s="20" t="s">
        <v>2139</v>
      </c>
      <c r="G469" s="21" t="s">
        <v>2163</v>
      </c>
      <c r="H469" s="20" t="s">
        <v>2164</v>
      </c>
      <c r="I469" s="20"/>
      <c r="J469" s="20"/>
      <c r="K469" s="22"/>
      <c r="L469" s="23"/>
      <c r="M469" s="20" t="s">
        <v>100</v>
      </c>
      <c r="N469" s="24"/>
      <c r="O469" s="24"/>
      <c r="P469" s="20" t="s">
        <v>101</v>
      </c>
      <c r="Q469" s="20" t="s">
        <v>86</v>
      </c>
      <c r="R469" s="20" t="s">
        <v>86</v>
      </c>
      <c r="S469" s="20" t="s">
        <v>102</v>
      </c>
      <c r="T469" s="26" t="s">
        <v>103</v>
      </c>
      <c r="U469" s="20" t="s">
        <v>104</v>
      </c>
      <c r="V469" s="20" t="s">
        <v>90</v>
      </c>
      <c r="W469" s="21"/>
    </row>
    <row r="470" customFormat="false" ht="23.85" hidden="false" customHeight="false" outlineLevel="0" collapsed="false">
      <c r="A470" s="20" t="n">
        <v>469</v>
      </c>
      <c r="B470" s="20" t="s">
        <v>2165</v>
      </c>
      <c r="C470" s="20" t="s">
        <v>4</v>
      </c>
      <c r="D470" s="20" t="s">
        <v>1625</v>
      </c>
      <c r="E470" s="20" t="s">
        <v>34</v>
      </c>
      <c r="F470" s="20" t="s">
        <v>2090</v>
      </c>
      <c r="G470" s="21" t="s">
        <v>2166</v>
      </c>
      <c r="H470" s="20" t="s">
        <v>2167</v>
      </c>
      <c r="I470" s="20" t="s">
        <v>2168</v>
      </c>
      <c r="J470" s="20" t="s">
        <v>2169</v>
      </c>
      <c r="K470" s="22" t="n">
        <v>5</v>
      </c>
      <c r="L470" s="23" t="n">
        <v>11</v>
      </c>
      <c r="M470" s="20" t="s">
        <v>100</v>
      </c>
      <c r="N470" s="24" t="n">
        <v>6.5625392</v>
      </c>
      <c r="O470" s="24" t="n">
        <v>3.3708246</v>
      </c>
      <c r="P470" s="20" t="s">
        <v>125</v>
      </c>
      <c r="Q470" s="20" t="s">
        <v>86</v>
      </c>
      <c r="R470" s="20" t="s">
        <v>86</v>
      </c>
      <c r="S470" s="20" t="s">
        <v>87</v>
      </c>
      <c r="T470" s="27" t="s">
        <v>117</v>
      </c>
      <c r="U470" s="20" t="s">
        <v>118</v>
      </c>
      <c r="V470" s="20" t="s">
        <v>90</v>
      </c>
      <c r="W470" s="21"/>
    </row>
    <row r="471" customFormat="false" ht="15" hidden="false" customHeight="false" outlineLevel="0" collapsed="false">
      <c r="A471" s="20" t="n">
        <v>470</v>
      </c>
      <c r="B471" s="20" t="s">
        <v>2170</v>
      </c>
      <c r="C471" s="20" t="s">
        <v>4</v>
      </c>
      <c r="D471" s="20" t="s">
        <v>369</v>
      </c>
      <c r="E471" s="20" t="s">
        <v>34</v>
      </c>
      <c r="F471" s="20" t="s">
        <v>2171</v>
      </c>
      <c r="G471" s="21" t="s">
        <v>370</v>
      </c>
      <c r="H471" s="20" t="s">
        <v>2172</v>
      </c>
      <c r="I471" s="20" t="s">
        <v>2173</v>
      </c>
      <c r="J471" s="20" t="s">
        <v>2174</v>
      </c>
      <c r="K471" s="22"/>
      <c r="L471" s="23"/>
      <c r="M471" s="20" t="s">
        <v>100</v>
      </c>
      <c r="N471" s="24" t="n">
        <v>6.5588957</v>
      </c>
      <c r="O471" s="24" t="n">
        <v>3.3691192</v>
      </c>
      <c r="P471" s="20" t="s">
        <v>125</v>
      </c>
      <c r="Q471" s="20" t="s">
        <v>86</v>
      </c>
      <c r="R471" s="20" t="s">
        <v>86</v>
      </c>
      <c r="S471" s="20" t="s">
        <v>87</v>
      </c>
      <c r="T471" s="27" t="s">
        <v>117</v>
      </c>
      <c r="U471" s="20" t="s">
        <v>118</v>
      </c>
      <c r="V471" s="20" t="s">
        <v>90</v>
      </c>
      <c r="W471" s="21"/>
    </row>
    <row r="472" customFormat="false" ht="23.85" hidden="false" customHeight="false" outlineLevel="0" collapsed="false">
      <c r="A472" s="20" t="n">
        <v>471</v>
      </c>
      <c r="B472" s="20" t="s">
        <v>2175</v>
      </c>
      <c r="C472" s="20" t="s">
        <v>4</v>
      </c>
      <c r="D472" s="20" t="s">
        <v>141</v>
      </c>
      <c r="E472" s="20" t="s">
        <v>34</v>
      </c>
      <c r="F472" s="20" t="s">
        <v>2090</v>
      </c>
      <c r="G472" s="21" t="s">
        <v>142</v>
      </c>
      <c r="H472" s="20" t="s">
        <v>2176</v>
      </c>
      <c r="I472" s="20"/>
      <c r="J472" s="20" t="s">
        <v>2177</v>
      </c>
      <c r="K472" s="22"/>
      <c r="L472" s="23"/>
      <c r="M472" s="20" t="s">
        <v>100</v>
      </c>
      <c r="N472" s="24" t="n">
        <v>6.5602345</v>
      </c>
      <c r="O472" s="24" t="n">
        <v>3.369262</v>
      </c>
      <c r="P472" s="20" t="s">
        <v>125</v>
      </c>
      <c r="Q472" s="20" t="s">
        <v>86</v>
      </c>
      <c r="R472" s="20" t="s">
        <v>86</v>
      </c>
      <c r="S472" s="20" t="s">
        <v>87</v>
      </c>
      <c r="T472" s="26" t="s">
        <v>103</v>
      </c>
      <c r="U472" s="20" t="s">
        <v>104</v>
      </c>
      <c r="V472" s="20" t="s">
        <v>90</v>
      </c>
      <c r="W472" s="21"/>
    </row>
    <row r="473" customFormat="false" ht="23.85" hidden="false" customHeight="false" outlineLevel="0" collapsed="false">
      <c r="A473" s="20" t="n">
        <v>472</v>
      </c>
      <c r="B473" s="20" t="s">
        <v>2178</v>
      </c>
      <c r="C473" s="20" t="s">
        <v>4</v>
      </c>
      <c r="D473" s="20" t="s">
        <v>1733</v>
      </c>
      <c r="E473" s="20" t="s">
        <v>34</v>
      </c>
      <c r="F473" s="20" t="s">
        <v>2073</v>
      </c>
      <c r="G473" s="21" t="s">
        <v>2179</v>
      </c>
      <c r="H473" s="20" t="s">
        <v>2180</v>
      </c>
      <c r="I473" s="20" t="s">
        <v>2181</v>
      </c>
      <c r="J473" s="20" t="s">
        <v>2182</v>
      </c>
      <c r="K473" s="22" t="n">
        <v>3.8</v>
      </c>
      <c r="L473" s="23" t="n">
        <v>62</v>
      </c>
      <c r="M473" s="20" t="s">
        <v>100</v>
      </c>
      <c r="N473" s="24" t="n">
        <v>6.5594179</v>
      </c>
      <c r="O473" s="24" t="n">
        <v>3.3691526</v>
      </c>
      <c r="P473" s="20" t="s">
        <v>125</v>
      </c>
      <c r="Q473" s="20" t="s">
        <v>86</v>
      </c>
      <c r="R473" s="20" t="s">
        <v>86</v>
      </c>
      <c r="S473" s="20" t="s">
        <v>87</v>
      </c>
      <c r="T473" s="27" t="s">
        <v>117</v>
      </c>
      <c r="U473" s="20" t="s">
        <v>118</v>
      </c>
      <c r="V473" s="20" t="s">
        <v>90</v>
      </c>
      <c r="W473" s="21"/>
    </row>
    <row r="474" customFormat="false" ht="23.85" hidden="false" customHeight="false" outlineLevel="0" collapsed="false">
      <c r="A474" s="20" t="n">
        <v>473</v>
      </c>
      <c r="B474" s="20" t="s">
        <v>2183</v>
      </c>
      <c r="C474" s="20" t="s">
        <v>4</v>
      </c>
      <c r="D474" s="20" t="s">
        <v>953</v>
      </c>
      <c r="E474" s="20" t="s">
        <v>34</v>
      </c>
      <c r="F474" s="20" t="s">
        <v>2073</v>
      </c>
      <c r="G474" s="21" t="s">
        <v>1189</v>
      </c>
      <c r="H474" s="20" t="s">
        <v>2184</v>
      </c>
      <c r="I474" s="20"/>
      <c r="J474" s="20" t="s">
        <v>2185</v>
      </c>
      <c r="K474" s="22"/>
      <c r="L474" s="23"/>
      <c r="M474" s="20" t="s">
        <v>100</v>
      </c>
      <c r="N474" s="24" t="n">
        <v>6.5598589</v>
      </c>
      <c r="O474" s="24" t="n">
        <v>3.3701046</v>
      </c>
      <c r="P474" s="20" t="s">
        <v>125</v>
      </c>
      <c r="Q474" s="20" t="s">
        <v>86</v>
      </c>
      <c r="R474" s="20" t="s">
        <v>86</v>
      </c>
      <c r="S474" s="20" t="s">
        <v>87</v>
      </c>
      <c r="T474" s="26" t="s">
        <v>103</v>
      </c>
      <c r="U474" s="20" t="s">
        <v>104</v>
      </c>
      <c r="V474" s="20" t="s">
        <v>90</v>
      </c>
      <c r="W474" s="21"/>
    </row>
    <row r="475" customFormat="false" ht="15" hidden="false" customHeight="false" outlineLevel="0" collapsed="false">
      <c r="A475" s="20" t="n">
        <v>474</v>
      </c>
      <c r="B475" s="20" t="s">
        <v>2186</v>
      </c>
      <c r="C475" s="20" t="s">
        <v>4</v>
      </c>
      <c r="D475" s="20" t="s">
        <v>1240</v>
      </c>
      <c r="E475" s="20" t="s">
        <v>34</v>
      </c>
      <c r="F475" s="20" t="s">
        <v>2073</v>
      </c>
      <c r="G475" s="21" t="s">
        <v>2187</v>
      </c>
      <c r="H475" s="20" t="s">
        <v>2188</v>
      </c>
      <c r="I475" s="20"/>
      <c r="J475" s="20"/>
      <c r="K475" s="22" t="n">
        <v>4.5</v>
      </c>
      <c r="L475" s="23" t="n">
        <v>160</v>
      </c>
      <c r="M475" s="20" t="s">
        <v>100</v>
      </c>
      <c r="N475" s="24" t="n">
        <v>6.56423</v>
      </c>
      <c r="O475" s="24" t="n">
        <v>3.37687</v>
      </c>
      <c r="P475" s="20" t="s">
        <v>85</v>
      </c>
      <c r="Q475" s="20" t="s">
        <v>86</v>
      </c>
      <c r="R475" s="20" t="s">
        <v>86</v>
      </c>
      <c r="S475" s="20" t="s">
        <v>87</v>
      </c>
      <c r="T475" s="27" t="s">
        <v>117</v>
      </c>
      <c r="U475" s="20" t="s">
        <v>118</v>
      </c>
      <c r="V475" s="20" t="s">
        <v>90</v>
      </c>
      <c r="W475" s="21"/>
    </row>
    <row r="476" customFormat="false" ht="23.85" hidden="false" customHeight="false" outlineLevel="0" collapsed="false">
      <c r="A476" s="20" t="n">
        <v>475</v>
      </c>
      <c r="B476" s="20" t="s">
        <v>2189</v>
      </c>
      <c r="C476" s="20" t="s">
        <v>4</v>
      </c>
      <c r="D476" s="20" t="s">
        <v>2190</v>
      </c>
      <c r="E476" s="20" t="s">
        <v>34</v>
      </c>
      <c r="F476" s="20" t="s">
        <v>2191</v>
      </c>
      <c r="G476" s="21" t="s">
        <v>2192</v>
      </c>
      <c r="H476" s="20" t="s">
        <v>2193</v>
      </c>
      <c r="I476" s="20"/>
      <c r="J476" s="20"/>
      <c r="K476" s="22" t="n">
        <v>4.2</v>
      </c>
      <c r="L476" s="23" t="n">
        <v>472</v>
      </c>
      <c r="M476" s="20" t="s">
        <v>100</v>
      </c>
      <c r="N476" s="24"/>
      <c r="O476" s="24"/>
      <c r="P476" s="20" t="s">
        <v>101</v>
      </c>
      <c r="Q476" s="20" t="s">
        <v>86</v>
      </c>
      <c r="R476" s="20" t="s">
        <v>86</v>
      </c>
      <c r="S476" s="20" t="s">
        <v>102</v>
      </c>
      <c r="T476" s="27" t="s">
        <v>117</v>
      </c>
      <c r="U476" s="20" t="s">
        <v>118</v>
      </c>
      <c r="V476" s="20" t="s">
        <v>90</v>
      </c>
      <c r="W476" s="21"/>
    </row>
    <row r="477" customFormat="false" ht="23.85" hidden="false" customHeight="false" outlineLevel="0" collapsed="false">
      <c r="A477" s="20" t="n">
        <v>476</v>
      </c>
      <c r="B477" s="20" t="s">
        <v>2194</v>
      </c>
      <c r="C477" s="20" t="s">
        <v>4</v>
      </c>
      <c r="D477" s="20" t="s">
        <v>448</v>
      </c>
      <c r="E477" s="20" t="s">
        <v>35</v>
      </c>
      <c r="F477" s="20" t="s">
        <v>2195</v>
      </c>
      <c r="G477" s="21" t="s">
        <v>2196</v>
      </c>
      <c r="H477" s="20" t="s">
        <v>2197</v>
      </c>
      <c r="I477" s="20" t="s">
        <v>2198</v>
      </c>
      <c r="J477" s="20" t="s">
        <v>2199</v>
      </c>
      <c r="K477" s="22"/>
      <c r="L477" s="23"/>
      <c r="M477" s="20" t="s">
        <v>100</v>
      </c>
      <c r="N477" s="24" t="n">
        <v>6.5603042</v>
      </c>
      <c r="O477" s="24" t="n">
        <v>3.3700472</v>
      </c>
      <c r="P477" s="20" t="s">
        <v>125</v>
      </c>
      <c r="Q477" s="20" t="s">
        <v>86</v>
      </c>
      <c r="R477" s="20" t="s">
        <v>86</v>
      </c>
      <c r="S477" s="20" t="s">
        <v>87</v>
      </c>
      <c r="T477" s="27" t="s">
        <v>117</v>
      </c>
      <c r="U477" s="20" t="s">
        <v>118</v>
      </c>
      <c r="V477" s="20" t="s">
        <v>90</v>
      </c>
      <c r="W477" s="21"/>
    </row>
    <row r="478" customFormat="false" ht="15" hidden="false" customHeight="false" outlineLevel="0" collapsed="false">
      <c r="A478" s="20" t="n">
        <v>477</v>
      </c>
      <c r="B478" s="20" t="s">
        <v>2200</v>
      </c>
      <c r="C478" s="20" t="s">
        <v>4</v>
      </c>
      <c r="D478" s="20" t="s">
        <v>2201</v>
      </c>
      <c r="E478" s="20" t="s">
        <v>35</v>
      </c>
      <c r="F478" s="20" t="s">
        <v>2202</v>
      </c>
      <c r="G478" s="21" t="s">
        <v>2201</v>
      </c>
      <c r="H478" s="20" t="s">
        <v>2203</v>
      </c>
      <c r="I478" s="20"/>
      <c r="J478" s="20"/>
      <c r="K478" s="22" t="n">
        <v>4</v>
      </c>
      <c r="L478" s="23" t="n">
        <v>26</v>
      </c>
      <c r="M478" s="20" t="s">
        <v>100</v>
      </c>
      <c r="N478" s="24" t="n">
        <v>6.56418</v>
      </c>
      <c r="O478" s="24" t="n">
        <v>3.37126</v>
      </c>
      <c r="P478" s="20" t="s">
        <v>85</v>
      </c>
      <c r="Q478" s="20" t="s">
        <v>86</v>
      </c>
      <c r="R478" s="20" t="s">
        <v>86</v>
      </c>
      <c r="S478" s="20" t="s">
        <v>87</v>
      </c>
      <c r="T478" s="27" t="s">
        <v>117</v>
      </c>
      <c r="U478" s="20" t="s">
        <v>118</v>
      </c>
      <c r="V478" s="20" t="s">
        <v>90</v>
      </c>
      <c r="W478" s="21"/>
    </row>
    <row r="479" customFormat="false" ht="23.85" hidden="false" customHeight="false" outlineLevel="0" collapsed="false">
      <c r="A479" s="20" t="n">
        <v>478</v>
      </c>
      <c r="B479" s="20" t="s">
        <v>2204</v>
      </c>
      <c r="C479" s="20" t="s">
        <v>4</v>
      </c>
      <c r="D479" s="20" t="s">
        <v>547</v>
      </c>
      <c r="E479" s="20" t="s">
        <v>35</v>
      </c>
      <c r="F479" s="20" t="s">
        <v>2205</v>
      </c>
      <c r="G479" s="21" t="s">
        <v>2206</v>
      </c>
      <c r="H479" s="20" t="s">
        <v>2207</v>
      </c>
      <c r="I479" s="20"/>
      <c r="J479" s="20" t="s">
        <v>2208</v>
      </c>
      <c r="K479" s="22"/>
      <c r="L479" s="23"/>
      <c r="M479" s="20" t="s">
        <v>100</v>
      </c>
      <c r="N479" s="24" t="n">
        <v>6.5612718</v>
      </c>
      <c r="O479" s="24" t="n">
        <v>3.3698869</v>
      </c>
      <c r="P479" s="20" t="s">
        <v>125</v>
      </c>
      <c r="Q479" s="20" t="s">
        <v>86</v>
      </c>
      <c r="R479" s="20" t="s">
        <v>86</v>
      </c>
      <c r="S479" s="20" t="s">
        <v>87</v>
      </c>
      <c r="T479" s="26" t="s">
        <v>103</v>
      </c>
      <c r="U479" s="20" t="s">
        <v>104</v>
      </c>
      <c r="V479" s="20" t="s">
        <v>90</v>
      </c>
      <c r="W479" s="21"/>
    </row>
    <row r="480" customFormat="false" ht="15" hidden="false" customHeight="false" outlineLevel="0" collapsed="false">
      <c r="A480" s="20" t="n">
        <v>479</v>
      </c>
      <c r="B480" s="20" t="s">
        <v>2209</v>
      </c>
      <c r="C480" s="20" t="s">
        <v>5</v>
      </c>
      <c r="D480" s="20" t="s">
        <v>2210</v>
      </c>
      <c r="E480" s="20" t="s">
        <v>18</v>
      </c>
      <c r="F480" s="20" t="s">
        <v>82</v>
      </c>
      <c r="G480" s="21" t="s">
        <v>2211</v>
      </c>
      <c r="H480" s="20" t="s">
        <v>2212</v>
      </c>
      <c r="I480" s="20"/>
      <c r="J480" s="20"/>
      <c r="K480" s="22"/>
      <c r="L480" s="23"/>
      <c r="M480" s="20" t="s">
        <v>100</v>
      </c>
      <c r="N480" s="24"/>
      <c r="O480" s="24"/>
      <c r="P480" s="20" t="s">
        <v>101</v>
      </c>
      <c r="Q480" s="20" t="s">
        <v>86</v>
      </c>
      <c r="R480" s="20" t="s">
        <v>86</v>
      </c>
      <c r="S480" s="20" t="s">
        <v>102</v>
      </c>
      <c r="T480" s="26" t="s">
        <v>103</v>
      </c>
      <c r="U480" s="20" t="s">
        <v>104</v>
      </c>
      <c r="V480" s="20" t="s">
        <v>138</v>
      </c>
      <c r="W480" s="21" t="s">
        <v>1009</v>
      </c>
    </row>
    <row r="481" customFormat="false" ht="15" hidden="false" customHeight="false" outlineLevel="0" collapsed="false">
      <c r="A481" s="20" t="n">
        <v>480</v>
      </c>
      <c r="B481" s="20" t="s">
        <v>2213</v>
      </c>
      <c r="C481" s="20" t="s">
        <v>5</v>
      </c>
      <c r="D481" s="20" t="s">
        <v>2214</v>
      </c>
      <c r="E481" s="20" t="s">
        <v>18</v>
      </c>
      <c r="F481" s="20" t="s">
        <v>93</v>
      </c>
      <c r="G481" s="21" t="s">
        <v>2214</v>
      </c>
      <c r="H481" s="20"/>
      <c r="I481" s="20"/>
      <c r="J481" s="20"/>
      <c r="K481" s="22" t="n">
        <v>3.9</v>
      </c>
      <c r="L481" s="23" t="n">
        <v>123</v>
      </c>
      <c r="M481" s="20" t="s">
        <v>84</v>
      </c>
      <c r="N481" s="24" t="n">
        <v>6.57106</v>
      </c>
      <c r="O481" s="24" t="n">
        <v>3.37171</v>
      </c>
      <c r="P481" s="20" t="s">
        <v>85</v>
      </c>
      <c r="Q481" s="20" t="s">
        <v>86</v>
      </c>
      <c r="R481" s="20" t="s">
        <v>86</v>
      </c>
      <c r="S481" s="20" t="s">
        <v>87</v>
      </c>
      <c r="T481" s="25" t="s">
        <v>88</v>
      </c>
      <c r="U481" s="20" t="s">
        <v>89</v>
      </c>
      <c r="V481" s="20" t="s">
        <v>90</v>
      </c>
      <c r="W481" s="21"/>
    </row>
    <row r="482" customFormat="false" ht="15" hidden="false" customHeight="false" outlineLevel="0" collapsed="false">
      <c r="A482" s="20" t="n">
        <v>481</v>
      </c>
      <c r="B482" s="20" t="s">
        <v>2215</v>
      </c>
      <c r="C482" s="20" t="s">
        <v>5</v>
      </c>
      <c r="D482" s="20" t="s">
        <v>2216</v>
      </c>
      <c r="E482" s="20" t="s">
        <v>18</v>
      </c>
      <c r="F482" s="20" t="s">
        <v>82</v>
      </c>
      <c r="G482" s="21" t="s">
        <v>2216</v>
      </c>
      <c r="H482" s="20"/>
      <c r="I482" s="20"/>
      <c r="J482" s="20"/>
      <c r="K482" s="22"/>
      <c r="L482" s="23"/>
      <c r="M482" s="20" t="s">
        <v>84</v>
      </c>
      <c r="N482" s="24" t="n">
        <v>6.56968</v>
      </c>
      <c r="O482" s="24" t="n">
        <v>3.37192</v>
      </c>
      <c r="P482" s="20" t="s">
        <v>85</v>
      </c>
      <c r="Q482" s="20" t="s">
        <v>86</v>
      </c>
      <c r="R482" s="20" t="s">
        <v>86</v>
      </c>
      <c r="S482" s="20" t="s">
        <v>87</v>
      </c>
      <c r="T482" s="25" t="s">
        <v>88</v>
      </c>
      <c r="U482" s="20" t="s">
        <v>89</v>
      </c>
      <c r="V482" s="20" t="s">
        <v>90</v>
      </c>
      <c r="W482" s="21"/>
    </row>
    <row r="483" customFormat="false" ht="15" hidden="false" customHeight="false" outlineLevel="0" collapsed="false">
      <c r="A483" s="20" t="n">
        <v>482</v>
      </c>
      <c r="B483" s="20" t="s">
        <v>2217</v>
      </c>
      <c r="C483" s="20" t="s">
        <v>5</v>
      </c>
      <c r="D483" s="20" t="s">
        <v>2218</v>
      </c>
      <c r="E483" s="20" t="s">
        <v>18</v>
      </c>
      <c r="F483" s="20" t="s">
        <v>2219</v>
      </c>
      <c r="G483" s="21" t="s">
        <v>2218</v>
      </c>
      <c r="H483" s="20"/>
      <c r="I483" s="20"/>
      <c r="J483" s="20"/>
      <c r="K483" s="22" t="n">
        <v>2.7</v>
      </c>
      <c r="L483" s="23" t="n">
        <v>10</v>
      </c>
      <c r="M483" s="20" t="s">
        <v>84</v>
      </c>
      <c r="N483" s="24" t="n">
        <v>6.57646</v>
      </c>
      <c r="O483" s="24" t="n">
        <v>3.36536</v>
      </c>
      <c r="P483" s="20" t="s">
        <v>85</v>
      </c>
      <c r="Q483" s="20" t="s">
        <v>86</v>
      </c>
      <c r="R483" s="20" t="s">
        <v>86</v>
      </c>
      <c r="S483" s="20" t="s">
        <v>87</v>
      </c>
      <c r="T483" s="25" t="s">
        <v>88</v>
      </c>
      <c r="U483" s="20" t="s">
        <v>89</v>
      </c>
      <c r="V483" s="20" t="s">
        <v>90</v>
      </c>
      <c r="W483" s="21"/>
    </row>
    <row r="484" customFormat="false" ht="15" hidden="false" customHeight="false" outlineLevel="0" collapsed="false">
      <c r="A484" s="20" t="n">
        <v>483</v>
      </c>
      <c r="B484" s="20" t="s">
        <v>2220</v>
      </c>
      <c r="C484" s="20" t="s">
        <v>5</v>
      </c>
      <c r="D484" s="20" t="s">
        <v>2221</v>
      </c>
      <c r="E484" s="20" t="s">
        <v>18</v>
      </c>
      <c r="F484" s="20" t="s">
        <v>82</v>
      </c>
      <c r="G484" s="21" t="s">
        <v>2222</v>
      </c>
      <c r="H484" s="20"/>
      <c r="I484" s="20"/>
      <c r="J484" s="20"/>
      <c r="K484" s="22" t="n">
        <v>2.8</v>
      </c>
      <c r="L484" s="23" t="n">
        <v>5</v>
      </c>
      <c r="M484" s="20" t="s">
        <v>84</v>
      </c>
      <c r="N484" s="24" t="n">
        <v>6.57431</v>
      </c>
      <c r="O484" s="24" t="n">
        <v>3.37262</v>
      </c>
      <c r="P484" s="20" t="s">
        <v>85</v>
      </c>
      <c r="Q484" s="20" t="s">
        <v>86</v>
      </c>
      <c r="R484" s="20" t="s">
        <v>86</v>
      </c>
      <c r="S484" s="20" t="s">
        <v>87</v>
      </c>
      <c r="T484" s="25" t="s">
        <v>88</v>
      </c>
      <c r="U484" s="20" t="s">
        <v>89</v>
      </c>
      <c r="V484" s="20" t="s">
        <v>90</v>
      </c>
      <c r="W484" s="21"/>
    </row>
    <row r="485" customFormat="false" ht="15" hidden="false" customHeight="false" outlineLevel="0" collapsed="false">
      <c r="A485" s="20" t="n">
        <v>484</v>
      </c>
      <c r="B485" s="20" t="s">
        <v>2223</v>
      </c>
      <c r="C485" s="20" t="s">
        <v>5</v>
      </c>
      <c r="D485" s="20" t="s">
        <v>2224</v>
      </c>
      <c r="E485" s="20" t="s">
        <v>18</v>
      </c>
      <c r="F485" s="20" t="s">
        <v>82</v>
      </c>
      <c r="G485" s="21" t="s">
        <v>2224</v>
      </c>
      <c r="H485" s="20"/>
      <c r="I485" s="20"/>
      <c r="J485" s="20"/>
      <c r="K485" s="22" t="n">
        <v>4.1</v>
      </c>
      <c r="L485" s="23" t="n">
        <v>34</v>
      </c>
      <c r="M485" s="20" t="s">
        <v>84</v>
      </c>
      <c r="N485" s="24" t="n">
        <v>6.57273</v>
      </c>
      <c r="O485" s="24" t="n">
        <v>3.37082</v>
      </c>
      <c r="P485" s="20" t="s">
        <v>85</v>
      </c>
      <c r="Q485" s="20" t="s">
        <v>86</v>
      </c>
      <c r="R485" s="20" t="s">
        <v>86</v>
      </c>
      <c r="S485" s="20" t="s">
        <v>87</v>
      </c>
      <c r="T485" s="25" t="s">
        <v>88</v>
      </c>
      <c r="U485" s="20" t="s">
        <v>89</v>
      </c>
      <c r="V485" s="20" t="s">
        <v>90</v>
      </c>
      <c r="W485" s="21"/>
    </row>
    <row r="486" customFormat="false" ht="15" hidden="false" customHeight="false" outlineLevel="0" collapsed="false">
      <c r="A486" s="20" t="n">
        <v>485</v>
      </c>
      <c r="B486" s="20" t="s">
        <v>2225</v>
      </c>
      <c r="C486" s="20" t="s">
        <v>5</v>
      </c>
      <c r="D486" s="20" t="s">
        <v>2226</v>
      </c>
      <c r="E486" s="20" t="s">
        <v>18</v>
      </c>
      <c r="F486" s="20" t="s">
        <v>82</v>
      </c>
      <c r="G486" s="21" t="s">
        <v>2226</v>
      </c>
      <c r="H486" s="20"/>
      <c r="I486" s="20"/>
      <c r="J486" s="20"/>
      <c r="K486" s="22" t="n">
        <v>5</v>
      </c>
      <c r="L486" s="23" t="n">
        <v>1</v>
      </c>
      <c r="M486" s="20" t="s">
        <v>84</v>
      </c>
      <c r="N486" s="24" t="n">
        <v>6.56737</v>
      </c>
      <c r="O486" s="24" t="n">
        <v>3.36789</v>
      </c>
      <c r="P486" s="20" t="s">
        <v>85</v>
      </c>
      <c r="Q486" s="20" t="s">
        <v>86</v>
      </c>
      <c r="R486" s="20" t="s">
        <v>86</v>
      </c>
      <c r="S486" s="20" t="s">
        <v>87</v>
      </c>
      <c r="T486" s="25" t="s">
        <v>88</v>
      </c>
      <c r="U486" s="20" t="s">
        <v>89</v>
      </c>
      <c r="V486" s="20" t="s">
        <v>90</v>
      </c>
      <c r="W486" s="21"/>
    </row>
    <row r="487" customFormat="false" ht="23.85" hidden="false" customHeight="false" outlineLevel="0" collapsed="false">
      <c r="A487" s="20" t="n">
        <v>486</v>
      </c>
      <c r="B487" s="20" t="s">
        <v>2227</v>
      </c>
      <c r="C487" s="20" t="s">
        <v>5</v>
      </c>
      <c r="D487" s="20" t="s">
        <v>2228</v>
      </c>
      <c r="E487" s="20" t="s">
        <v>18</v>
      </c>
      <c r="F487" s="20" t="s">
        <v>93</v>
      </c>
      <c r="G487" s="21" t="s">
        <v>2229</v>
      </c>
      <c r="H487" s="20"/>
      <c r="I487" s="20"/>
      <c r="J487" s="20"/>
      <c r="K487" s="22"/>
      <c r="L487" s="23"/>
      <c r="M487" s="20" t="s">
        <v>84</v>
      </c>
      <c r="N487" s="24" t="n">
        <v>6.57366</v>
      </c>
      <c r="O487" s="24" t="n">
        <v>3.35884</v>
      </c>
      <c r="P487" s="20" t="s">
        <v>85</v>
      </c>
      <c r="Q487" s="20" t="s">
        <v>86</v>
      </c>
      <c r="R487" s="20" t="s">
        <v>86</v>
      </c>
      <c r="S487" s="20" t="s">
        <v>87</v>
      </c>
      <c r="T487" s="25" t="s">
        <v>88</v>
      </c>
      <c r="U487" s="20" t="s">
        <v>89</v>
      </c>
      <c r="V487" s="20" t="s">
        <v>90</v>
      </c>
      <c r="W487" s="21"/>
    </row>
    <row r="488" customFormat="false" ht="15" hidden="false" customHeight="false" outlineLevel="0" collapsed="false">
      <c r="A488" s="20" t="n">
        <v>487</v>
      </c>
      <c r="B488" s="20" t="s">
        <v>2230</v>
      </c>
      <c r="C488" s="20" t="s">
        <v>5</v>
      </c>
      <c r="D488" s="20" t="s">
        <v>296</v>
      </c>
      <c r="E488" s="20" t="s">
        <v>18</v>
      </c>
      <c r="F488" s="20" t="s">
        <v>82</v>
      </c>
      <c r="G488" s="21" t="s">
        <v>2231</v>
      </c>
      <c r="H488" s="20" t="s">
        <v>2232</v>
      </c>
      <c r="I488" s="20"/>
      <c r="J488" s="20"/>
      <c r="K488" s="22" t="n">
        <v>4</v>
      </c>
      <c r="L488" s="23" t="n">
        <v>34</v>
      </c>
      <c r="M488" s="20" t="s">
        <v>100</v>
      </c>
      <c r="N488" s="24" t="n">
        <v>6.56736</v>
      </c>
      <c r="O488" s="24" t="n">
        <v>3.36738</v>
      </c>
      <c r="P488" s="20" t="s">
        <v>110</v>
      </c>
      <c r="Q488" s="20" t="s">
        <v>86</v>
      </c>
      <c r="R488" s="20" t="s">
        <v>86</v>
      </c>
      <c r="S488" s="20" t="s">
        <v>87</v>
      </c>
      <c r="T488" s="27" t="s">
        <v>117</v>
      </c>
      <c r="U488" s="20" t="s">
        <v>118</v>
      </c>
      <c r="V488" s="20" t="s">
        <v>138</v>
      </c>
      <c r="W488" s="21" t="s">
        <v>139</v>
      </c>
    </row>
    <row r="489" customFormat="false" ht="15" hidden="false" customHeight="false" outlineLevel="0" collapsed="false">
      <c r="A489" s="20" t="n">
        <v>488</v>
      </c>
      <c r="B489" s="20" t="s">
        <v>2233</v>
      </c>
      <c r="C489" s="20" t="s">
        <v>5</v>
      </c>
      <c r="D489" s="20"/>
      <c r="E489" s="20" t="s">
        <v>18</v>
      </c>
      <c r="F489" s="20"/>
      <c r="G489" s="21"/>
      <c r="H489" s="20"/>
      <c r="I489" s="20"/>
      <c r="J489" s="20"/>
      <c r="K489" s="22" t="n">
        <v>4.3</v>
      </c>
      <c r="L489" s="23" t="n">
        <v>2426</v>
      </c>
      <c r="M489" s="20" t="s">
        <v>84</v>
      </c>
      <c r="N489" s="24" t="n">
        <v>6.57288</v>
      </c>
      <c r="O489" s="24" t="n">
        <v>3.35886</v>
      </c>
      <c r="P489" s="20" t="s">
        <v>85</v>
      </c>
      <c r="Q489" s="20" t="s">
        <v>86</v>
      </c>
      <c r="R489" s="20" t="s">
        <v>86</v>
      </c>
      <c r="S489" s="20" t="s">
        <v>87</v>
      </c>
      <c r="T489" s="25" t="s">
        <v>88</v>
      </c>
      <c r="U489" s="20" t="s">
        <v>89</v>
      </c>
      <c r="V489" s="20" t="s">
        <v>90</v>
      </c>
      <c r="W489" s="21"/>
    </row>
    <row r="490" customFormat="false" ht="15" hidden="false" customHeight="false" outlineLevel="0" collapsed="false">
      <c r="A490" s="20" t="n">
        <v>489</v>
      </c>
      <c r="B490" s="20" t="s">
        <v>2234</v>
      </c>
      <c r="C490" s="20" t="s">
        <v>5</v>
      </c>
      <c r="D490" s="20" t="s">
        <v>2235</v>
      </c>
      <c r="E490" s="20" t="s">
        <v>18</v>
      </c>
      <c r="F490" s="20" t="s">
        <v>82</v>
      </c>
      <c r="G490" s="21" t="s">
        <v>2236</v>
      </c>
      <c r="H490" s="20"/>
      <c r="I490" s="20"/>
      <c r="J490" s="20"/>
      <c r="K490" s="22" t="n">
        <v>2</v>
      </c>
      <c r="L490" s="23" t="n">
        <v>1</v>
      </c>
      <c r="M490" s="20" t="s">
        <v>84</v>
      </c>
      <c r="N490" s="24" t="n">
        <v>6.57295</v>
      </c>
      <c r="O490" s="24" t="n">
        <v>3.36525</v>
      </c>
      <c r="P490" s="20" t="s">
        <v>85</v>
      </c>
      <c r="Q490" s="20" t="s">
        <v>86</v>
      </c>
      <c r="R490" s="20" t="s">
        <v>86</v>
      </c>
      <c r="S490" s="20" t="s">
        <v>87</v>
      </c>
      <c r="T490" s="25" t="s">
        <v>88</v>
      </c>
      <c r="U490" s="20" t="s">
        <v>89</v>
      </c>
      <c r="V490" s="20" t="s">
        <v>90</v>
      </c>
      <c r="W490" s="21"/>
    </row>
    <row r="491" customFormat="false" ht="15" hidden="false" customHeight="false" outlineLevel="0" collapsed="false">
      <c r="A491" s="20" t="n">
        <v>490</v>
      </c>
      <c r="B491" s="20" t="s">
        <v>2237</v>
      </c>
      <c r="C491" s="20" t="s">
        <v>5</v>
      </c>
      <c r="D491" s="20" t="s">
        <v>2238</v>
      </c>
      <c r="E491" s="20" t="s">
        <v>18</v>
      </c>
      <c r="F491" s="20" t="s">
        <v>113</v>
      </c>
      <c r="G491" s="21" t="s">
        <v>2239</v>
      </c>
      <c r="H491" s="20" t="s">
        <v>2240</v>
      </c>
      <c r="I491" s="20"/>
      <c r="J491" s="20"/>
      <c r="K491" s="22"/>
      <c r="L491" s="23"/>
      <c r="M491" s="20" t="s">
        <v>100</v>
      </c>
      <c r="N491" s="24"/>
      <c r="O491" s="24"/>
      <c r="P491" s="20" t="s">
        <v>101</v>
      </c>
      <c r="Q491" s="20" t="s">
        <v>86</v>
      </c>
      <c r="R491" s="20" t="s">
        <v>86</v>
      </c>
      <c r="S491" s="20" t="s">
        <v>102</v>
      </c>
      <c r="T491" s="26" t="s">
        <v>103</v>
      </c>
      <c r="U491" s="20" t="s">
        <v>104</v>
      </c>
      <c r="V491" s="20" t="s">
        <v>138</v>
      </c>
      <c r="W491" s="21" t="s">
        <v>181</v>
      </c>
    </row>
    <row r="492" customFormat="false" ht="15" hidden="false" customHeight="false" outlineLevel="0" collapsed="false">
      <c r="A492" s="20" t="n">
        <v>491</v>
      </c>
      <c r="B492" s="20" t="s">
        <v>2241</v>
      </c>
      <c r="C492" s="20" t="s">
        <v>5</v>
      </c>
      <c r="D492" s="20" t="s">
        <v>2242</v>
      </c>
      <c r="E492" s="20" t="s">
        <v>18</v>
      </c>
      <c r="F492" s="20" t="s">
        <v>82</v>
      </c>
      <c r="G492" s="21" t="s">
        <v>2243</v>
      </c>
      <c r="H492" s="20" t="s">
        <v>2244</v>
      </c>
      <c r="I492" s="20"/>
      <c r="J492" s="20"/>
      <c r="K492" s="22" t="n">
        <v>5</v>
      </c>
      <c r="L492" s="23" t="n">
        <v>1</v>
      </c>
      <c r="M492" s="20" t="s">
        <v>100</v>
      </c>
      <c r="N492" s="24" t="n">
        <v>6.57642</v>
      </c>
      <c r="O492" s="24" t="n">
        <v>3.36534</v>
      </c>
      <c r="P492" s="20" t="s">
        <v>110</v>
      </c>
      <c r="Q492" s="20" t="s">
        <v>86</v>
      </c>
      <c r="R492" s="20" t="s">
        <v>86</v>
      </c>
      <c r="S492" s="20" t="s">
        <v>87</v>
      </c>
      <c r="T492" s="26" t="s">
        <v>103</v>
      </c>
      <c r="U492" s="20" t="s">
        <v>104</v>
      </c>
      <c r="V492" s="20" t="s">
        <v>138</v>
      </c>
      <c r="W492" s="21" t="s">
        <v>1009</v>
      </c>
    </row>
    <row r="493" customFormat="false" ht="15" hidden="false" customHeight="false" outlineLevel="0" collapsed="false">
      <c r="A493" s="20" t="n">
        <v>492</v>
      </c>
      <c r="B493" s="20" t="s">
        <v>2245</v>
      </c>
      <c r="C493" s="20" t="s">
        <v>5</v>
      </c>
      <c r="D493" s="20" t="s">
        <v>2246</v>
      </c>
      <c r="E493" s="20" t="s">
        <v>18</v>
      </c>
      <c r="F493" s="20" t="s">
        <v>2247</v>
      </c>
      <c r="G493" s="21" t="s">
        <v>2246</v>
      </c>
      <c r="H493" s="20"/>
      <c r="I493" s="20"/>
      <c r="J493" s="20"/>
      <c r="K493" s="22"/>
      <c r="L493" s="23"/>
      <c r="M493" s="20" t="s">
        <v>84</v>
      </c>
      <c r="N493" s="24" t="n">
        <v>6.56679</v>
      </c>
      <c r="O493" s="24" t="n">
        <v>3.36877</v>
      </c>
      <c r="P493" s="20" t="s">
        <v>85</v>
      </c>
      <c r="Q493" s="20" t="s">
        <v>86</v>
      </c>
      <c r="R493" s="20" t="s">
        <v>86</v>
      </c>
      <c r="S493" s="20" t="s">
        <v>87</v>
      </c>
      <c r="T493" s="25" t="s">
        <v>88</v>
      </c>
      <c r="U493" s="20" t="s">
        <v>89</v>
      </c>
      <c r="V493" s="20" t="s">
        <v>90</v>
      </c>
      <c r="W493" s="21"/>
    </row>
    <row r="494" customFormat="false" ht="15" hidden="false" customHeight="false" outlineLevel="0" collapsed="false">
      <c r="A494" s="20" t="n">
        <v>493</v>
      </c>
      <c r="B494" s="20" t="s">
        <v>2248</v>
      </c>
      <c r="C494" s="20" t="s">
        <v>5</v>
      </c>
      <c r="D494" s="20" t="s">
        <v>2249</v>
      </c>
      <c r="E494" s="20" t="s">
        <v>18</v>
      </c>
      <c r="F494" s="20" t="s">
        <v>82</v>
      </c>
      <c r="G494" s="21" t="s">
        <v>2249</v>
      </c>
      <c r="H494" s="20"/>
      <c r="I494" s="20"/>
      <c r="J494" s="20"/>
      <c r="K494" s="22" t="n">
        <v>3.8</v>
      </c>
      <c r="L494" s="23" t="n">
        <v>371</v>
      </c>
      <c r="M494" s="20" t="s">
        <v>84</v>
      </c>
      <c r="N494" s="24" t="n">
        <v>6.56948</v>
      </c>
      <c r="O494" s="24" t="n">
        <v>3.37286</v>
      </c>
      <c r="P494" s="20" t="s">
        <v>85</v>
      </c>
      <c r="Q494" s="20" t="s">
        <v>86</v>
      </c>
      <c r="R494" s="20" t="s">
        <v>86</v>
      </c>
      <c r="S494" s="20" t="s">
        <v>87</v>
      </c>
      <c r="T494" s="25" t="s">
        <v>88</v>
      </c>
      <c r="U494" s="20" t="s">
        <v>89</v>
      </c>
      <c r="V494" s="20" t="s">
        <v>90</v>
      </c>
      <c r="W494" s="21"/>
    </row>
    <row r="495" customFormat="false" ht="15" hidden="false" customHeight="false" outlineLevel="0" collapsed="false">
      <c r="A495" s="20" t="n">
        <v>494</v>
      </c>
      <c r="B495" s="20" t="s">
        <v>2250</v>
      </c>
      <c r="C495" s="20" t="s">
        <v>5</v>
      </c>
      <c r="D495" s="20" t="s">
        <v>2251</v>
      </c>
      <c r="E495" s="20" t="s">
        <v>18</v>
      </c>
      <c r="F495" s="20" t="s">
        <v>82</v>
      </c>
      <c r="G495" s="21" t="s">
        <v>2251</v>
      </c>
      <c r="H495" s="20"/>
      <c r="I495" s="20"/>
      <c r="J495" s="20"/>
      <c r="K495" s="22" t="n">
        <v>4.5</v>
      </c>
      <c r="L495" s="23" t="n">
        <v>6</v>
      </c>
      <c r="M495" s="20" t="s">
        <v>84</v>
      </c>
      <c r="N495" s="24" t="n">
        <v>6.56956</v>
      </c>
      <c r="O495" s="24" t="n">
        <v>3.3733</v>
      </c>
      <c r="P495" s="20" t="s">
        <v>85</v>
      </c>
      <c r="Q495" s="20" t="s">
        <v>86</v>
      </c>
      <c r="R495" s="20" t="s">
        <v>86</v>
      </c>
      <c r="S495" s="20" t="s">
        <v>87</v>
      </c>
      <c r="T495" s="25" t="s">
        <v>88</v>
      </c>
      <c r="U495" s="20" t="s">
        <v>89</v>
      </c>
      <c r="V495" s="20" t="s">
        <v>90</v>
      </c>
      <c r="W495" s="21"/>
    </row>
    <row r="496" customFormat="false" ht="15" hidden="false" customHeight="false" outlineLevel="0" collapsed="false">
      <c r="A496" s="20" t="n">
        <v>495</v>
      </c>
      <c r="B496" s="20" t="s">
        <v>2252</v>
      </c>
      <c r="C496" s="20" t="s">
        <v>5</v>
      </c>
      <c r="D496" s="20" t="s">
        <v>2253</v>
      </c>
      <c r="E496" s="20" t="s">
        <v>18</v>
      </c>
      <c r="F496" s="20" t="s">
        <v>82</v>
      </c>
      <c r="G496" s="21" t="s">
        <v>2253</v>
      </c>
      <c r="H496" s="20"/>
      <c r="I496" s="20"/>
      <c r="J496" s="20"/>
      <c r="K496" s="22" t="n">
        <v>4.2</v>
      </c>
      <c r="L496" s="23" t="n">
        <v>18</v>
      </c>
      <c r="M496" s="20" t="s">
        <v>84</v>
      </c>
      <c r="N496" s="24" t="n">
        <v>6.57014</v>
      </c>
      <c r="O496" s="24" t="n">
        <v>3.36511</v>
      </c>
      <c r="P496" s="20" t="s">
        <v>85</v>
      </c>
      <c r="Q496" s="20" t="s">
        <v>86</v>
      </c>
      <c r="R496" s="20" t="s">
        <v>86</v>
      </c>
      <c r="S496" s="20" t="s">
        <v>87</v>
      </c>
      <c r="T496" s="25" t="s">
        <v>88</v>
      </c>
      <c r="U496" s="20" t="s">
        <v>89</v>
      </c>
      <c r="V496" s="20" t="s">
        <v>90</v>
      </c>
      <c r="W496" s="21"/>
    </row>
    <row r="497" customFormat="false" ht="15" hidden="false" customHeight="false" outlineLevel="0" collapsed="false">
      <c r="A497" s="20" t="n">
        <v>496</v>
      </c>
      <c r="B497" s="20" t="s">
        <v>2254</v>
      </c>
      <c r="C497" s="20" t="s">
        <v>5</v>
      </c>
      <c r="D497" s="20" t="s">
        <v>2214</v>
      </c>
      <c r="E497" s="20" t="s">
        <v>18</v>
      </c>
      <c r="F497" s="20" t="s">
        <v>2255</v>
      </c>
      <c r="G497" s="21" t="s">
        <v>2214</v>
      </c>
      <c r="H497" s="20"/>
      <c r="I497" s="20"/>
      <c r="J497" s="20"/>
      <c r="K497" s="22" t="n">
        <v>4.2</v>
      </c>
      <c r="L497" s="23" t="n">
        <v>97</v>
      </c>
      <c r="M497" s="20" t="s">
        <v>84</v>
      </c>
      <c r="N497" s="24" t="n">
        <v>6.57149</v>
      </c>
      <c r="O497" s="24" t="n">
        <v>3.37068</v>
      </c>
      <c r="P497" s="20" t="s">
        <v>85</v>
      </c>
      <c r="Q497" s="20" t="s">
        <v>86</v>
      </c>
      <c r="R497" s="20" t="s">
        <v>86</v>
      </c>
      <c r="S497" s="20" t="s">
        <v>87</v>
      </c>
      <c r="T497" s="25" t="s">
        <v>88</v>
      </c>
      <c r="U497" s="20" t="s">
        <v>89</v>
      </c>
      <c r="V497" s="20" t="s">
        <v>90</v>
      </c>
      <c r="W497" s="21"/>
    </row>
    <row r="498" customFormat="false" ht="15" hidden="false" customHeight="false" outlineLevel="0" collapsed="false">
      <c r="A498" s="20" t="n">
        <v>497</v>
      </c>
      <c r="B498" s="20" t="s">
        <v>2256</v>
      </c>
      <c r="C498" s="20" t="s">
        <v>5</v>
      </c>
      <c r="D498" s="20" t="s">
        <v>2257</v>
      </c>
      <c r="E498" s="20" t="s">
        <v>18</v>
      </c>
      <c r="F498" s="20" t="s">
        <v>2258</v>
      </c>
      <c r="G498" s="21" t="s">
        <v>2259</v>
      </c>
      <c r="H498" s="20"/>
      <c r="I498" s="20"/>
      <c r="J498" s="20"/>
      <c r="K498" s="22" t="n">
        <v>4.3</v>
      </c>
      <c r="L498" s="23" t="n">
        <v>628</v>
      </c>
      <c r="M498" s="20" t="s">
        <v>84</v>
      </c>
      <c r="N498" s="24" t="n">
        <v>6.56557</v>
      </c>
      <c r="O498" s="24" t="n">
        <v>3.36711</v>
      </c>
      <c r="P498" s="20" t="s">
        <v>85</v>
      </c>
      <c r="Q498" s="20" t="s">
        <v>86</v>
      </c>
      <c r="R498" s="20" t="s">
        <v>86</v>
      </c>
      <c r="S498" s="20" t="s">
        <v>87</v>
      </c>
      <c r="T498" s="25" t="s">
        <v>88</v>
      </c>
      <c r="U498" s="20" t="s">
        <v>89</v>
      </c>
      <c r="V498" s="20" t="s">
        <v>90</v>
      </c>
      <c r="W498" s="21"/>
    </row>
    <row r="499" customFormat="false" ht="15" hidden="false" customHeight="false" outlineLevel="0" collapsed="false">
      <c r="A499" s="20" t="n">
        <v>498</v>
      </c>
      <c r="B499" s="20" t="s">
        <v>2260</v>
      </c>
      <c r="C499" s="20" t="s">
        <v>5</v>
      </c>
      <c r="D499" s="20" t="s">
        <v>2261</v>
      </c>
      <c r="E499" s="20" t="s">
        <v>18</v>
      </c>
      <c r="F499" s="20" t="s">
        <v>2262</v>
      </c>
      <c r="G499" s="21" t="s">
        <v>2261</v>
      </c>
      <c r="H499" s="20"/>
      <c r="I499" s="20"/>
      <c r="J499" s="20"/>
      <c r="K499" s="22" t="n">
        <v>4</v>
      </c>
      <c r="L499" s="23" t="n">
        <v>70</v>
      </c>
      <c r="M499" s="20" t="s">
        <v>84</v>
      </c>
      <c r="N499" s="24" t="n">
        <v>6.56961</v>
      </c>
      <c r="O499" s="24" t="n">
        <v>3.37574</v>
      </c>
      <c r="P499" s="20" t="s">
        <v>85</v>
      </c>
      <c r="Q499" s="20" t="s">
        <v>86</v>
      </c>
      <c r="R499" s="20" t="s">
        <v>86</v>
      </c>
      <c r="S499" s="20" t="s">
        <v>87</v>
      </c>
      <c r="T499" s="25" t="s">
        <v>88</v>
      </c>
      <c r="U499" s="20" t="s">
        <v>89</v>
      </c>
      <c r="V499" s="20" t="s">
        <v>90</v>
      </c>
      <c r="W499" s="21"/>
    </row>
    <row r="500" customFormat="false" ht="15" hidden="false" customHeight="false" outlineLevel="0" collapsed="false">
      <c r="A500" s="20" t="n">
        <v>499</v>
      </c>
      <c r="B500" s="20" t="s">
        <v>2263</v>
      </c>
      <c r="C500" s="20" t="s">
        <v>5</v>
      </c>
      <c r="D500" s="20" t="s">
        <v>81</v>
      </c>
      <c r="E500" s="20" t="s">
        <v>18</v>
      </c>
      <c r="F500" s="20" t="s">
        <v>93</v>
      </c>
      <c r="G500" s="21" t="s">
        <v>2264</v>
      </c>
      <c r="H500" s="20"/>
      <c r="I500" s="20"/>
      <c r="J500" s="20"/>
      <c r="K500" s="22" t="n">
        <v>1</v>
      </c>
      <c r="L500" s="23" t="n">
        <v>1</v>
      </c>
      <c r="M500" s="20" t="s">
        <v>84</v>
      </c>
      <c r="N500" s="24" t="n">
        <v>6.5719</v>
      </c>
      <c r="O500" s="24" t="n">
        <v>3.36264</v>
      </c>
      <c r="P500" s="20" t="s">
        <v>85</v>
      </c>
      <c r="Q500" s="20" t="s">
        <v>86</v>
      </c>
      <c r="R500" s="20" t="s">
        <v>86</v>
      </c>
      <c r="S500" s="20" t="s">
        <v>87</v>
      </c>
      <c r="T500" s="25" t="s">
        <v>88</v>
      </c>
      <c r="U500" s="20" t="s">
        <v>89</v>
      </c>
      <c r="V500" s="20" t="s">
        <v>90</v>
      </c>
      <c r="W500" s="21"/>
    </row>
    <row r="501" customFormat="false" ht="15" hidden="false" customHeight="false" outlineLevel="0" collapsed="false">
      <c r="A501" s="20" t="n">
        <v>500</v>
      </c>
      <c r="B501" s="20" t="s">
        <v>2265</v>
      </c>
      <c r="C501" s="20" t="s">
        <v>5</v>
      </c>
      <c r="D501" s="20" t="s">
        <v>2266</v>
      </c>
      <c r="E501" s="20" t="s">
        <v>18</v>
      </c>
      <c r="F501" s="20" t="s">
        <v>82</v>
      </c>
      <c r="G501" s="21" t="s">
        <v>2267</v>
      </c>
      <c r="H501" s="20"/>
      <c r="I501" s="20"/>
      <c r="J501" s="20"/>
      <c r="K501" s="22"/>
      <c r="L501" s="23"/>
      <c r="M501" s="20" t="s">
        <v>84</v>
      </c>
      <c r="N501" s="24"/>
      <c r="O501" s="24"/>
      <c r="P501" s="20" t="s">
        <v>101</v>
      </c>
      <c r="Q501" s="20" t="s">
        <v>86</v>
      </c>
      <c r="R501" s="20" t="s">
        <v>86</v>
      </c>
      <c r="S501" s="20" t="s">
        <v>102</v>
      </c>
      <c r="T501" s="25" t="s">
        <v>88</v>
      </c>
      <c r="U501" s="20" t="s">
        <v>89</v>
      </c>
      <c r="V501" s="20" t="s">
        <v>138</v>
      </c>
      <c r="W501" s="21" t="s">
        <v>139</v>
      </c>
    </row>
    <row r="502" customFormat="false" ht="15" hidden="false" customHeight="false" outlineLevel="0" collapsed="false">
      <c r="A502" s="20" t="n">
        <v>501</v>
      </c>
      <c r="B502" s="20" t="s">
        <v>2268</v>
      </c>
      <c r="C502" s="20" t="s">
        <v>5</v>
      </c>
      <c r="D502" s="20" t="s">
        <v>2269</v>
      </c>
      <c r="E502" s="20" t="s">
        <v>18</v>
      </c>
      <c r="F502" s="20" t="s">
        <v>2270</v>
      </c>
      <c r="G502" s="21" t="s">
        <v>2269</v>
      </c>
      <c r="H502" s="20"/>
      <c r="I502" s="20"/>
      <c r="J502" s="20"/>
      <c r="K502" s="22" t="n">
        <v>5</v>
      </c>
      <c r="L502" s="23" t="n">
        <v>1</v>
      </c>
      <c r="M502" s="20" t="s">
        <v>84</v>
      </c>
      <c r="N502" s="24" t="n">
        <v>6.5734</v>
      </c>
      <c r="O502" s="24" t="n">
        <v>3.36902</v>
      </c>
      <c r="P502" s="20" t="s">
        <v>85</v>
      </c>
      <c r="Q502" s="20" t="s">
        <v>86</v>
      </c>
      <c r="R502" s="20" t="s">
        <v>86</v>
      </c>
      <c r="S502" s="20" t="s">
        <v>87</v>
      </c>
      <c r="T502" s="25" t="s">
        <v>88</v>
      </c>
      <c r="U502" s="20" t="s">
        <v>89</v>
      </c>
      <c r="V502" s="20" t="s">
        <v>90</v>
      </c>
      <c r="W502" s="21"/>
    </row>
    <row r="503" customFormat="false" ht="15" hidden="false" customHeight="false" outlineLevel="0" collapsed="false">
      <c r="A503" s="20" t="n">
        <v>502</v>
      </c>
      <c r="B503" s="20" t="s">
        <v>2271</v>
      </c>
      <c r="C503" s="20" t="s">
        <v>5</v>
      </c>
      <c r="D503" s="20"/>
      <c r="E503" s="20" t="s">
        <v>18</v>
      </c>
      <c r="F503" s="20"/>
      <c r="G503" s="21"/>
      <c r="H503" s="20"/>
      <c r="I503" s="20"/>
      <c r="J503" s="20"/>
      <c r="K503" s="22" t="n">
        <v>4.2</v>
      </c>
      <c r="L503" s="23" t="n">
        <v>942</v>
      </c>
      <c r="M503" s="20" t="s">
        <v>84</v>
      </c>
      <c r="N503" s="24" t="n">
        <v>6.56557</v>
      </c>
      <c r="O503" s="24" t="n">
        <v>3.36711</v>
      </c>
      <c r="P503" s="20" t="s">
        <v>85</v>
      </c>
      <c r="Q503" s="20" t="s">
        <v>86</v>
      </c>
      <c r="R503" s="20" t="s">
        <v>86</v>
      </c>
      <c r="S503" s="20" t="s">
        <v>87</v>
      </c>
      <c r="T503" s="25" t="s">
        <v>88</v>
      </c>
      <c r="U503" s="20" t="s">
        <v>89</v>
      </c>
      <c r="V503" s="20" t="s">
        <v>90</v>
      </c>
      <c r="W503" s="21"/>
    </row>
    <row r="504" customFormat="false" ht="15" hidden="false" customHeight="false" outlineLevel="0" collapsed="false">
      <c r="A504" s="20" t="n">
        <v>503</v>
      </c>
      <c r="B504" s="20" t="s">
        <v>2272</v>
      </c>
      <c r="C504" s="20" t="s">
        <v>5</v>
      </c>
      <c r="D504" s="20" t="s">
        <v>2273</v>
      </c>
      <c r="E504" s="20" t="s">
        <v>18</v>
      </c>
      <c r="F504" s="20" t="s">
        <v>82</v>
      </c>
      <c r="G504" s="21" t="s">
        <v>2273</v>
      </c>
      <c r="H504" s="20"/>
      <c r="I504" s="20"/>
      <c r="J504" s="20"/>
      <c r="K504" s="22"/>
      <c r="L504" s="23"/>
      <c r="M504" s="20" t="s">
        <v>84</v>
      </c>
      <c r="N504" s="24" t="n">
        <v>6.57642</v>
      </c>
      <c r="O504" s="24" t="n">
        <v>3.36534</v>
      </c>
      <c r="P504" s="20" t="s">
        <v>85</v>
      </c>
      <c r="Q504" s="20" t="s">
        <v>86</v>
      </c>
      <c r="R504" s="20" t="s">
        <v>86</v>
      </c>
      <c r="S504" s="20" t="s">
        <v>87</v>
      </c>
      <c r="T504" s="25" t="s">
        <v>88</v>
      </c>
      <c r="U504" s="20" t="s">
        <v>89</v>
      </c>
      <c r="V504" s="20" t="s">
        <v>90</v>
      </c>
      <c r="W504" s="21"/>
    </row>
    <row r="505" customFormat="false" ht="23.85" hidden="false" customHeight="false" outlineLevel="0" collapsed="false">
      <c r="A505" s="20" t="n">
        <v>504</v>
      </c>
      <c r="B505" s="20" t="s">
        <v>2274</v>
      </c>
      <c r="C505" s="20" t="s">
        <v>5</v>
      </c>
      <c r="D505" s="20" t="s">
        <v>2228</v>
      </c>
      <c r="E505" s="20" t="s">
        <v>18</v>
      </c>
      <c r="F505" s="20" t="s">
        <v>2275</v>
      </c>
      <c r="G505" s="21" t="s">
        <v>2276</v>
      </c>
      <c r="H505" s="20"/>
      <c r="I505" s="20"/>
      <c r="J505" s="20"/>
      <c r="K505" s="22" t="n">
        <v>5</v>
      </c>
      <c r="L505" s="23" t="n">
        <v>10</v>
      </c>
      <c r="M505" s="20" t="s">
        <v>84</v>
      </c>
      <c r="N505" s="24" t="n">
        <v>6.57191</v>
      </c>
      <c r="O505" s="24" t="n">
        <v>3.37526</v>
      </c>
      <c r="P505" s="20" t="s">
        <v>85</v>
      </c>
      <c r="Q505" s="20" t="s">
        <v>86</v>
      </c>
      <c r="R505" s="20" t="s">
        <v>86</v>
      </c>
      <c r="S505" s="20" t="s">
        <v>87</v>
      </c>
      <c r="T505" s="25" t="s">
        <v>88</v>
      </c>
      <c r="U505" s="20" t="s">
        <v>89</v>
      </c>
      <c r="V505" s="20" t="s">
        <v>90</v>
      </c>
      <c r="W505" s="21"/>
    </row>
    <row r="506" customFormat="false" ht="15" hidden="false" customHeight="false" outlineLevel="0" collapsed="false">
      <c r="A506" s="20" t="n">
        <v>505</v>
      </c>
      <c r="B506" s="20" t="s">
        <v>2277</v>
      </c>
      <c r="C506" s="20" t="s">
        <v>5</v>
      </c>
      <c r="D506" s="20" t="s">
        <v>2278</v>
      </c>
      <c r="E506" s="20" t="s">
        <v>18</v>
      </c>
      <c r="F506" s="20" t="s">
        <v>93</v>
      </c>
      <c r="G506" s="21" t="s">
        <v>2278</v>
      </c>
      <c r="H506" s="20"/>
      <c r="I506" s="20"/>
      <c r="J506" s="20"/>
      <c r="K506" s="22" t="n">
        <v>4.5</v>
      </c>
      <c r="L506" s="23" t="n">
        <v>2</v>
      </c>
      <c r="M506" s="20" t="s">
        <v>84</v>
      </c>
      <c r="N506" s="24" t="n">
        <v>6.57188</v>
      </c>
      <c r="O506" s="24" t="n">
        <v>3.37115</v>
      </c>
      <c r="P506" s="20" t="s">
        <v>85</v>
      </c>
      <c r="Q506" s="20" t="s">
        <v>86</v>
      </c>
      <c r="R506" s="20" t="s">
        <v>86</v>
      </c>
      <c r="S506" s="20" t="s">
        <v>87</v>
      </c>
      <c r="T506" s="25" t="s">
        <v>88</v>
      </c>
      <c r="U506" s="20" t="s">
        <v>89</v>
      </c>
      <c r="V506" s="20" t="s">
        <v>90</v>
      </c>
      <c r="W506" s="21"/>
    </row>
    <row r="507" customFormat="false" ht="15" hidden="false" customHeight="false" outlineLevel="0" collapsed="false">
      <c r="A507" s="20" t="n">
        <v>506</v>
      </c>
      <c r="B507" s="20" t="s">
        <v>2279</v>
      </c>
      <c r="C507" s="20" t="s">
        <v>5</v>
      </c>
      <c r="D507" s="20" t="s">
        <v>81</v>
      </c>
      <c r="E507" s="20" t="s">
        <v>18</v>
      </c>
      <c r="F507" s="20" t="s">
        <v>93</v>
      </c>
      <c r="G507" s="21" t="s">
        <v>2280</v>
      </c>
      <c r="H507" s="20"/>
      <c r="I507" s="20"/>
      <c r="J507" s="20"/>
      <c r="K507" s="22" t="n">
        <v>5</v>
      </c>
      <c r="L507" s="23" t="n">
        <v>1</v>
      </c>
      <c r="M507" s="20" t="s">
        <v>84</v>
      </c>
      <c r="N507" s="24" t="n">
        <v>6.57095</v>
      </c>
      <c r="O507" s="24" t="n">
        <v>3.36424</v>
      </c>
      <c r="P507" s="20" t="s">
        <v>85</v>
      </c>
      <c r="Q507" s="20" t="s">
        <v>86</v>
      </c>
      <c r="R507" s="20" t="s">
        <v>86</v>
      </c>
      <c r="S507" s="20" t="s">
        <v>87</v>
      </c>
      <c r="T507" s="25" t="s">
        <v>88</v>
      </c>
      <c r="U507" s="20" t="s">
        <v>89</v>
      </c>
      <c r="V507" s="20" t="s">
        <v>90</v>
      </c>
      <c r="W507" s="21"/>
    </row>
    <row r="508" customFormat="false" ht="15" hidden="false" customHeight="false" outlineLevel="0" collapsed="false">
      <c r="A508" s="20" t="n">
        <v>507</v>
      </c>
      <c r="B508" s="20" t="s">
        <v>2281</v>
      </c>
      <c r="C508" s="20" t="s">
        <v>5</v>
      </c>
      <c r="D508" s="20" t="s">
        <v>296</v>
      </c>
      <c r="E508" s="20" t="s">
        <v>18</v>
      </c>
      <c r="F508" s="20" t="s">
        <v>82</v>
      </c>
      <c r="G508" s="21" t="s">
        <v>296</v>
      </c>
      <c r="H508" s="20"/>
      <c r="I508" s="20"/>
      <c r="J508" s="20"/>
      <c r="K508" s="22" t="n">
        <v>4.1</v>
      </c>
      <c r="L508" s="23" t="n">
        <v>16</v>
      </c>
      <c r="M508" s="20" t="s">
        <v>84</v>
      </c>
      <c r="N508" s="24" t="n">
        <v>6.56743</v>
      </c>
      <c r="O508" s="24" t="n">
        <v>3.36728</v>
      </c>
      <c r="P508" s="20" t="s">
        <v>85</v>
      </c>
      <c r="Q508" s="20" t="s">
        <v>86</v>
      </c>
      <c r="R508" s="20" t="s">
        <v>86</v>
      </c>
      <c r="S508" s="20" t="s">
        <v>87</v>
      </c>
      <c r="T508" s="25" t="s">
        <v>88</v>
      </c>
      <c r="U508" s="20" t="s">
        <v>89</v>
      </c>
      <c r="V508" s="20" t="s">
        <v>90</v>
      </c>
      <c r="W508" s="21"/>
    </row>
    <row r="509" customFormat="false" ht="15" hidden="false" customHeight="false" outlineLevel="0" collapsed="false">
      <c r="A509" s="20" t="n">
        <v>508</v>
      </c>
      <c r="B509" s="20" t="s">
        <v>2282</v>
      </c>
      <c r="C509" s="20" t="s">
        <v>5</v>
      </c>
      <c r="D509" s="20" t="s">
        <v>2283</v>
      </c>
      <c r="E509" s="20" t="s">
        <v>18</v>
      </c>
      <c r="F509" s="20" t="s">
        <v>93</v>
      </c>
      <c r="G509" s="21" t="s">
        <v>2283</v>
      </c>
      <c r="H509" s="20"/>
      <c r="I509" s="20"/>
      <c r="J509" s="20"/>
      <c r="K509" s="22" t="n">
        <v>2.3</v>
      </c>
      <c r="L509" s="23" t="n">
        <v>3</v>
      </c>
      <c r="M509" s="20" t="s">
        <v>84</v>
      </c>
      <c r="N509" s="24" t="n">
        <v>6.56995</v>
      </c>
      <c r="O509" s="24" t="n">
        <v>3.36464</v>
      </c>
      <c r="P509" s="20" t="s">
        <v>85</v>
      </c>
      <c r="Q509" s="20" t="s">
        <v>86</v>
      </c>
      <c r="R509" s="20" t="s">
        <v>86</v>
      </c>
      <c r="S509" s="20" t="s">
        <v>87</v>
      </c>
      <c r="T509" s="25" t="s">
        <v>88</v>
      </c>
      <c r="U509" s="20" t="s">
        <v>89</v>
      </c>
      <c r="V509" s="20" t="s">
        <v>90</v>
      </c>
      <c r="W509" s="21"/>
    </row>
    <row r="510" customFormat="false" ht="15" hidden="false" customHeight="false" outlineLevel="0" collapsed="false">
      <c r="A510" s="20" t="n">
        <v>509</v>
      </c>
      <c r="B510" s="20" t="s">
        <v>2284</v>
      </c>
      <c r="C510" s="20" t="s">
        <v>5</v>
      </c>
      <c r="D510" s="20" t="s">
        <v>2285</v>
      </c>
      <c r="E510" s="20" t="s">
        <v>18</v>
      </c>
      <c r="F510" s="20" t="s">
        <v>82</v>
      </c>
      <c r="G510" s="21" t="s">
        <v>2285</v>
      </c>
      <c r="H510" s="20"/>
      <c r="I510" s="20"/>
      <c r="J510" s="20"/>
      <c r="K510" s="22" t="n">
        <v>3.6</v>
      </c>
      <c r="L510" s="23" t="n">
        <v>301</v>
      </c>
      <c r="M510" s="20" t="s">
        <v>84</v>
      </c>
      <c r="N510" s="24" t="n">
        <v>6.56905</v>
      </c>
      <c r="O510" s="24" t="n">
        <v>3.3725</v>
      </c>
      <c r="P510" s="20" t="s">
        <v>85</v>
      </c>
      <c r="Q510" s="20" t="s">
        <v>86</v>
      </c>
      <c r="R510" s="20" t="s">
        <v>86</v>
      </c>
      <c r="S510" s="20" t="s">
        <v>87</v>
      </c>
      <c r="T510" s="25" t="s">
        <v>88</v>
      </c>
      <c r="U510" s="20" t="s">
        <v>89</v>
      </c>
      <c r="V510" s="20" t="s">
        <v>90</v>
      </c>
      <c r="W510" s="21"/>
    </row>
    <row r="511" customFormat="false" ht="15" hidden="false" customHeight="false" outlineLevel="0" collapsed="false">
      <c r="A511" s="20" t="n">
        <v>510</v>
      </c>
      <c r="B511" s="20" t="s">
        <v>2286</v>
      </c>
      <c r="C511" s="20" t="s">
        <v>5</v>
      </c>
      <c r="D511" s="20" t="s">
        <v>2287</v>
      </c>
      <c r="E511" s="20" t="s">
        <v>18</v>
      </c>
      <c r="F511" s="20" t="s">
        <v>93</v>
      </c>
      <c r="G511" s="21" t="s">
        <v>2288</v>
      </c>
      <c r="H511" s="20"/>
      <c r="I511" s="20"/>
      <c r="J511" s="20"/>
      <c r="K511" s="22"/>
      <c r="L511" s="23"/>
      <c r="M511" s="20" t="s">
        <v>84</v>
      </c>
      <c r="N511" s="24" t="n">
        <v>6.5718</v>
      </c>
      <c r="O511" s="24" t="n">
        <v>3.36394</v>
      </c>
      <c r="P511" s="20" t="s">
        <v>85</v>
      </c>
      <c r="Q511" s="20" t="s">
        <v>86</v>
      </c>
      <c r="R511" s="20" t="s">
        <v>86</v>
      </c>
      <c r="S511" s="20" t="s">
        <v>87</v>
      </c>
      <c r="T511" s="25" t="s">
        <v>88</v>
      </c>
      <c r="U511" s="20" t="s">
        <v>89</v>
      </c>
      <c r="V511" s="20" t="s">
        <v>90</v>
      </c>
      <c r="W511" s="21"/>
    </row>
    <row r="512" customFormat="false" ht="15" hidden="false" customHeight="false" outlineLevel="0" collapsed="false">
      <c r="A512" s="20" t="n">
        <v>511</v>
      </c>
      <c r="B512" s="20" t="s">
        <v>2289</v>
      </c>
      <c r="C512" s="20" t="s">
        <v>5</v>
      </c>
      <c r="D512" s="20" t="s">
        <v>2290</v>
      </c>
      <c r="E512" s="20" t="s">
        <v>18</v>
      </c>
      <c r="F512" s="20" t="s">
        <v>82</v>
      </c>
      <c r="G512" s="21" t="s">
        <v>2291</v>
      </c>
      <c r="H512" s="20" t="s">
        <v>2292</v>
      </c>
      <c r="I512" s="20"/>
      <c r="J512" s="20"/>
      <c r="K512" s="22" t="n">
        <v>4.9</v>
      </c>
      <c r="L512" s="23" t="n">
        <v>19</v>
      </c>
      <c r="M512" s="20" t="s">
        <v>100</v>
      </c>
      <c r="N512" s="24" t="n">
        <v>6.57643</v>
      </c>
      <c r="O512" s="24" t="n">
        <v>3.37143</v>
      </c>
      <c r="P512" s="20" t="s">
        <v>110</v>
      </c>
      <c r="Q512" s="20" t="s">
        <v>86</v>
      </c>
      <c r="R512" s="20" t="s">
        <v>86</v>
      </c>
      <c r="S512" s="20" t="s">
        <v>87</v>
      </c>
      <c r="T512" s="27" t="s">
        <v>117</v>
      </c>
      <c r="U512" s="20" t="s">
        <v>118</v>
      </c>
      <c r="V512" s="20" t="s">
        <v>138</v>
      </c>
      <c r="W512" s="21" t="s">
        <v>538</v>
      </c>
    </row>
    <row r="513" customFormat="false" ht="15" hidden="false" customHeight="false" outlineLevel="0" collapsed="false">
      <c r="A513" s="20" t="n">
        <v>512</v>
      </c>
      <c r="B513" s="20" t="s">
        <v>2293</v>
      </c>
      <c r="C513" s="20" t="s">
        <v>5</v>
      </c>
      <c r="D513" s="20" t="s">
        <v>2294</v>
      </c>
      <c r="E513" s="20" t="s">
        <v>18</v>
      </c>
      <c r="F513" s="20" t="s">
        <v>93</v>
      </c>
      <c r="G513" s="21" t="s">
        <v>2294</v>
      </c>
      <c r="H513" s="20"/>
      <c r="I513" s="20"/>
      <c r="J513" s="20"/>
      <c r="K513" s="22" t="n">
        <v>4.5</v>
      </c>
      <c r="L513" s="23" t="n">
        <v>4</v>
      </c>
      <c r="M513" s="20" t="s">
        <v>84</v>
      </c>
      <c r="N513" s="24" t="n">
        <v>6.5715</v>
      </c>
      <c r="O513" s="24" t="n">
        <v>3.37102</v>
      </c>
      <c r="P513" s="20" t="s">
        <v>85</v>
      </c>
      <c r="Q513" s="20" t="s">
        <v>86</v>
      </c>
      <c r="R513" s="20" t="s">
        <v>86</v>
      </c>
      <c r="S513" s="20" t="s">
        <v>87</v>
      </c>
      <c r="T513" s="25" t="s">
        <v>88</v>
      </c>
      <c r="U513" s="20" t="s">
        <v>89</v>
      </c>
      <c r="V513" s="20" t="s">
        <v>90</v>
      </c>
      <c r="W513" s="21"/>
    </row>
    <row r="514" customFormat="false" ht="15" hidden="false" customHeight="false" outlineLevel="0" collapsed="false">
      <c r="A514" s="20" t="n">
        <v>513</v>
      </c>
      <c r="B514" s="20" t="s">
        <v>2295</v>
      </c>
      <c r="C514" s="20" t="s">
        <v>5</v>
      </c>
      <c r="D514" s="20" t="s">
        <v>2296</v>
      </c>
      <c r="E514" s="20" t="s">
        <v>18</v>
      </c>
      <c r="F514" s="20" t="s">
        <v>2297</v>
      </c>
      <c r="G514" s="21" t="s">
        <v>2298</v>
      </c>
      <c r="H514" s="20"/>
      <c r="I514" s="20"/>
      <c r="J514" s="20"/>
      <c r="K514" s="22" t="n">
        <v>2.1</v>
      </c>
      <c r="L514" s="23" t="n">
        <v>15</v>
      </c>
      <c r="M514" s="20" t="s">
        <v>84</v>
      </c>
      <c r="N514" s="24" t="n">
        <v>6.56723</v>
      </c>
      <c r="O514" s="24" t="n">
        <v>3.36727</v>
      </c>
      <c r="P514" s="20" t="s">
        <v>85</v>
      </c>
      <c r="Q514" s="20" t="s">
        <v>86</v>
      </c>
      <c r="R514" s="20" t="s">
        <v>86</v>
      </c>
      <c r="S514" s="20" t="s">
        <v>87</v>
      </c>
      <c r="T514" s="25" t="s">
        <v>88</v>
      </c>
      <c r="U514" s="20" t="s">
        <v>89</v>
      </c>
      <c r="V514" s="20" t="s">
        <v>90</v>
      </c>
      <c r="W514" s="21"/>
    </row>
    <row r="515" customFormat="false" ht="15" hidden="false" customHeight="false" outlineLevel="0" collapsed="false">
      <c r="A515" s="20" t="n">
        <v>514</v>
      </c>
      <c r="B515" s="20" t="s">
        <v>2299</v>
      </c>
      <c r="C515" s="20" t="s">
        <v>5</v>
      </c>
      <c r="D515" s="20" t="s">
        <v>2300</v>
      </c>
      <c r="E515" s="20" t="s">
        <v>18</v>
      </c>
      <c r="F515" s="20" t="s">
        <v>82</v>
      </c>
      <c r="G515" s="21" t="s">
        <v>2300</v>
      </c>
      <c r="H515" s="20"/>
      <c r="I515" s="20"/>
      <c r="J515" s="20"/>
      <c r="K515" s="22" t="n">
        <v>5</v>
      </c>
      <c r="L515" s="23" t="n">
        <v>4</v>
      </c>
      <c r="M515" s="20" t="s">
        <v>84</v>
      </c>
      <c r="N515" s="24" t="n">
        <v>6.57773</v>
      </c>
      <c r="O515" s="24" t="n">
        <v>3.3656</v>
      </c>
      <c r="P515" s="20" t="s">
        <v>85</v>
      </c>
      <c r="Q515" s="20" t="s">
        <v>86</v>
      </c>
      <c r="R515" s="20" t="s">
        <v>86</v>
      </c>
      <c r="S515" s="20" t="s">
        <v>87</v>
      </c>
      <c r="T515" s="25" t="s">
        <v>88</v>
      </c>
      <c r="U515" s="20" t="s">
        <v>89</v>
      </c>
      <c r="V515" s="20" t="s">
        <v>90</v>
      </c>
      <c r="W515" s="21"/>
    </row>
    <row r="516" customFormat="false" ht="15" hidden="false" customHeight="false" outlineLevel="0" collapsed="false">
      <c r="A516" s="20" t="n">
        <v>515</v>
      </c>
      <c r="B516" s="20" t="s">
        <v>2301</v>
      </c>
      <c r="C516" s="20" t="s">
        <v>5</v>
      </c>
      <c r="D516" s="20" t="s">
        <v>2302</v>
      </c>
      <c r="E516" s="20" t="s">
        <v>18</v>
      </c>
      <c r="F516" s="20" t="s">
        <v>82</v>
      </c>
      <c r="G516" s="21" t="s">
        <v>2303</v>
      </c>
      <c r="H516" s="20"/>
      <c r="I516" s="20"/>
      <c r="J516" s="20"/>
      <c r="K516" s="22"/>
      <c r="L516" s="23"/>
      <c r="M516" s="20" t="s">
        <v>84</v>
      </c>
      <c r="N516" s="24" t="n">
        <v>6.57072</v>
      </c>
      <c r="O516" s="24" t="n">
        <v>3.37234</v>
      </c>
      <c r="P516" s="20" t="s">
        <v>85</v>
      </c>
      <c r="Q516" s="20" t="s">
        <v>86</v>
      </c>
      <c r="R516" s="20" t="s">
        <v>86</v>
      </c>
      <c r="S516" s="20" t="s">
        <v>87</v>
      </c>
      <c r="T516" s="25" t="s">
        <v>88</v>
      </c>
      <c r="U516" s="20" t="s">
        <v>89</v>
      </c>
      <c r="V516" s="20" t="s">
        <v>90</v>
      </c>
      <c r="W516" s="21"/>
    </row>
    <row r="517" customFormat="false" ht="15" hidden="false" customHeight="false" outlineLevel="0" collapsed="false">
      <c r="A517" s="20" t="n">
        <v>516</v>
      </c>
      <c r="B517" s="20" t="s">
        <v>2304</v>
      </c>
      <c r="C517" s="20" t="s">
        <v>5</v>
      </c>
      <c r="D517" s="20" t="s">
        <v>92</v>
      </c>
      <c r="E517" s="20" t="s">
        <v>18</v>
      </c>
      <c r="F517" s="20" t="s">
        <v>2305</v>
      </c>
      <c r="G517" s="21" t="s">
        <v>2306</v>
      </c>
      <c r="H517" s="20"/>
      <c r="I517" s="20"/>
      <c r="J517" s="20"/>
      <c r="K517" s="22" t="n">
        <v>5</v>
      </c>
      <c r="L517" s="23" t="n">
        <v>1</v>
      </c>
      <c r="M517" s="20" t="s">
        <v>84</v>
      </c>
      <c r="N517" s="24" t="n">
        <v>6.56984</v>
      </c>
      <c r="O517" s="24" t="n">
        <v>3.3668</v>
      </c>
      <c r="P517" s="20" t="s">
        <v>85</v>
      </c>
      <c r="Q517" s="20" t="s">
        <v>86</v>
      </c>
      <c r="R517" s="20" t="s">
        <v>86</v>
      </c>
      <c r="S517" s="20" t="s">
        <v>87</v>
      </c>
      <c r="T517" s="25" t="s">
        <v>88</v>
      </c>
      <c r="U517" s="20" t="s">
        <v>89</v>
      </c>
      <c r="V517" s="20" t="s">
        <v>90</v>
      </c>
      <c r="W517" s="21"/>
    </row>
    <row r="518" customFormat="false" ht="15" hidden="false" customHeight="false" outlineLevel="0" collapsed="false">
      <c r="A518" s="20" t="n">
        <v>517</v>
      </c>
      <c r="B518" s="20" t="s">
        <v>2307</v>
      </c>
      <c r="C518" s="20" t="s">
        <v>5</v>
      </c>
      <c r="D518" s="20" t="s">
        <v>2308</v>
      </c>
      <c r="E518" s="20" t="s">
        <v>18</v>
      </c>
      <c r="F518" s="20" t="s">
        <v>82</v>
      </c>
      <c r="G518" s="21" t="s">
        <v>2309</v>
      </c>
      <c r="H518" s="20" t="s">
        <v>2310</v>
      </c>
      <c r="I518" s="20"/>
      <c r="J518" s="20"/>
      <c r="K518" s="22"/>
      <c r="L518" s="23"/>
      <c r="M518" s="20" t="s">
        <v>100</v>
      </c>
      <c r="N518" s="24"/>
      <c r="O518" s="24"/>
      <c r="P518" s="20" t="s">
        <v>101</v>
      </c>
      <c r="Q518" s="20" t="s">
        <v>86</v>
      </c>
      <c r="R518" s="20" t="s">
        <v>86</v>
      </c>
      <c r="S518" s="20" t="s">
        <v>102</v>
      </c>
      <c r="T518" s="26" t="s">
        <v>103</v>
      </c>
      <c r="U518" s="20" t="s">
        <v>104</v>
      </c>
      <c r="V518" s="20" t="s">
        <v>138</v>
      </c>
      <c r="W518" s="21" t="s">
        <v>1009</v>
      </c>
    </row>
    <row r="519" customFormat="false" ht="15" hidden="false" customHeight="false" outlineLevel="0" collapsed="false">
      <c r="A519" s="20" t="n">
        <v>518</v>
      </c>
      <c r="B519" s="20" t="s">
        <v>2311</v>
      </c>
      <c r="C519" s="20" t="s">
        <v>5</v>
      </c>
      <c r="D519" s="20" t="s">
        <v>2312</v>
      </c>
      <c r="E519" s="20" t="s">
        <v>18</v>
      </c>
      <c r="F519" s="20" t="s">
        <v>82</v>
      </c>
      <c r="G519" s="21" t="s">
        <v>2312</v>
      </c>
      <c r="H519" s="20"/>
      <c r="I519" s="20"/>
      <c r="J519" s="20"/>
      <c r="K519" s="22"/>
      <c r="L519" s="23"/>
      <c r="M519" s="20" t="s">
        <v>84</v>
      </c>
      <c r="N519" s="24" t="n">
        <v>6.5775</v>
      </c>
      <c r="O519" s="24" t="n">
        <v>3.37069</v>
      </c>
      <c r="P519" s="20" t="s">
        <v>85</v>
      </c>
      <c r="Q519" s="20" t="s">
        <v>86</v>
      </c>
      <c r="R519" s="20" t="s">
        <v>86</v>
      </c>
      <c r="S519" s="20" t="s">
        <v>87</v>
      </c>
      <c r="T519" s="25" t="s">
        <v>88</v>
      </c>
      <c r="U519" s="20" t="s">
        <v>89</v>
      </c>
      <c r="V519" s="20" t="s">
        <v>90</v>
      </c>
      <c r="W519" s="21"/>
    </row>
    <row r="520" customFormat="false" ht="15" hidden="false" customHeight="false" outlineLevel="0" collapsed="false">
      <c r="A520" s="20" t="n">
        <v>519</v>
      </c>
      <c r="B520" s="20" t="s">
        <v>2313</v>
      </c>
      <c r="C520" s="20" t="s">
        <v>5</v>
      </c>
      <c r="D520" s="20" t="s">
        <v>2314</v>
      </c>
      <c r="E520" s="20" t="s">
        <v>18</v>
      </c>
      <c r="F520" s="20" t="s">
        <v>82</v>
      </c>
      <c r="G520" s="21" t="s">
        <v>2314</v>
      </c>
      <c r="H520" s="20"/>
      <c r="I520" s="20"/>
      <c r="J520" s="20"/>
      <c r="K520" s="22"/>
      <c r="L520" s="23"/>
      <c r="M520" s="20" t="s">
        <v>84</v>
      </c>
      <c r="N520" s="24" t="n">
        <v>6.57642</v>
      </c>
      <c r="O520" s="24" t="n">
        <v>3.36534</v>
      </c>
      <c r="P520" s="20" t="s">
        <v>85</v>
      </c>
      <c r="Q520" s="20" t="s">
        <v>86</v>
      </c>
      <c r="R520" s="20" t="s">
        <v>86</v>
      </c>
      <c r="S520" s="20" t="s">
        <v>87</v>
      </c>
      <c r="T520" s="25" t="s">
        <v>88</v>
      </c>
      <c r="U520" s="20" t="s">
        <v>89</v>
      </c>
      <c r="V520" s="20" t="s">
        <v>90</v>
      </c>
      <c r="W520" s="21"/>
    </row>
    <row r="521" customFormat="false" ht="15" hidden="false" customHeight="false" outlineLevel="0" collapsed="false">
      <c r="A521" s="20" t="n">
        <v>520</v>
      </c>
      <c r="B521" s="20" t="s">
        <v>2315</v>
      </c>
      <c r="C521" s="20" t="s">
        <v>5</v>
      </c>
      <c r="D521" s="20" t="s">
        <v>81</v>
      </c>
      <c r="E521" s="20" t="s">
        <v>18</v>
      </c>
      <c r="F521" s="20" t="s">
        <v>93</v>
      </c>
      <c r="G521" s="21" t="s">
        <v>2316</v>
      </c>
      <c r="H521" s="20"/>
      <c r="I521" s="20"/>
      <c r="J521" s="20"/>
      <c r="K521" s="22" t="n">
        <v>3</v>
      </c>
      <c r="L521" s="23" t="n">
        <v>1</v>
      </c>
      <c r="M521" s="20" t="s">
        <v>84</v>
      </c>
      <c r="N521" s="24" t="n">
        <v>6.57066</v>
      </c>
      <c r="O521" s="24" t="n">
        <v>3.36437</v>
      </c>
      <c r="P521" s="20" t="s">
        <v>85</v>
      </c>
      <c r="Q521" s="20" t="s">
        <v>86</v>
      </c>
      <c r="R521" s="20" t="s">
        <v>86</v>
      </c>
      <c r="S521" s="20" t="s">
        <v>87</v>
      </c>
      <c r="T521" s="25" t="s">
        <v>88</v>
      </c>
      <c r="U521" s="20" t="s">
        <v>89</v>
      </c>
      <c r="V521" s="20" t="s">
        <v>90</v>
      </c>
      <c r="W521" s="21"/>
    </row>
    <row r="522" customFormat="false" ht="15" hidden="false" customHeight="false" outlineLevel="0" collapsed="false">
      <c r="A522" s="20" t="n">
        <v>521</v>
      </c>
      <c r="B522" s="20" t="s">
        <v>2317</v>
      </c>
      <c r="C522" s="20" t="s">
        <v>5</v>
      </c>
      <c r="D522" s="20" t="s">
        <v>2318</v>
      </c>
      <c r="E522" s="20" t="s">
        <v>18</v>
      </c>
      <c r="F522" s="20" t="s">
        <v>82</v>
      </c>
      <c r="G522" s="21" t="s">
        <v>2318</v>
      </c>
      <c r="H522" s="20"/>
      <c r="I522" s="20"/>
      <c r="J522" s="20"/>
      <c r="K522" s="22" t="n">
        <v>3.3</v>
      </c>
      <c r="L522" s="23" t="n">
        <v>40</v>
      </c>
      <c r="M522" s="20" t="s">
        <v>84</v>
      </c>
      <c r="N522" s="24" t="n">
        <v>6.57426</v>
      </c>
      <c r="O522" s="24" t="n">
        <v>3.37121</v>
      </c>
      <c r="P522" s="20" t="s">
        <v>85</v>
      </c>
      <c r="Q522" s="20" t="s">
        <v>86</v>
      </c>
      <c r="R522" s="20" t="s">
        <v>86</v>
      </c>
      <c r="S522" s="20" t="s">
        <v>87</v>
      </c>
      <c r="T522" s="25" t="s">
        <v>88</v>
      </c>
      <c r="U522" s="20" t="s">
        <v>89</v>
      </c>
      <c r="V522" s="20" t="s">
        <v>90</v>
      </c>
      <c r="W522" s="21"/>
    </row>
    <row r="523" customFormat="false" ht="15" hidden="false" customHeight="false" outlineLevel="0" collapsed="false">
      <c r="A523" s="20" t="n">
        <v>522</v>
      </c>
      <c r="B523" s="20" t="s">
        <v>2319</v>
      </c>
      <c r="C523" s="20" t="s">
        <v>5</v>
      </c>
      <c r="D523" s="20" t="s">
        <v>2320</v>
      </c>
      <c r="E523" s="20" t="s">
        <v>18</v>
      </c>
      <c r="F523" s="20" t="s">
        <v>93</v>
      </c>
      <c r="G523" s="21" t="s">
        <v>2321</v>
      </c>
      <c r="H523" s="20"/>
      <c r="I523" s="20"/>
      <c r="J523" s="20"/>
      <c r="K523" s="22" t="n">
        <v>3.8</v>
      </c>
      <c r="L523" s="23" t="n">
        <v>6</v>
      </c>
      <c r="M523" s="20" t="s">
        <v>84</v>
      </c>
      <c r="N523" s="24" t="n">
        <v>6.57283</v>
      </c>
      <c r="O523" s="24" t="n">
        <v>3.35972</v>
      </c>
      <c r="P523" s="20" t="s">
        <v>85</v>
      </c>
      <c r="Q523" s="20" t="s">
        <v>86</v>
      </c>
      <c r="R523" s="20" t="s">
        <v>86</v>
      </c>
      <c r="S523" s="20" t="s">
        <v>87</v>
      </c>
      <c r="T523" s="25" t="s">
        <v>88</v>
      </c>
      <c r="U523" s="20" t="s">
        <v>89</v>
      </c>
      <c r="V523" s="20" t="s">
        <v>90</v>
      </c>
      <c r="W523" s="21"/>
    </row>
    <row r="524" customFormat="false" ht="15" hidden="false" customHeight="false" outlineLevel="0" collapsed="false">
      <c r="A524" s="20" t="n">
        <v>523</v>
      </c>
      <c r="B524" s="20" t="s">
        <v>2322</v>
      </c>
      <c r="C524" s="20" t="s">
        <v>5</v>
      </c>
      <c r="D524" s="20" t="s">
        <v>2323</v>
      </c>
      <c r="E524" s="20" t="s">
        <v>18</v>
      </c>
      <c r="F524" s="20" t="s">
        <v>82</v>
      </c>
      <c r="G524" s="21" t="s">
        <v>2324</v>
      </c>
      <c r="H524" s="20"/>
      <c r="I524" s="20"/>
      <c r="J524" s="20"/>
      <c r="K524" s="22" t="n">
        <v>4</v>
      </c>
      <c r="L524" s="23" t="n">
        <v>4</v>
      </c>
      <c r="M524" s="20" t="s">
        <v>84</v>
      </c>
      <c r="N524" s="24" t="n">
        <v>6.56726</v>
      </c>
      <c r="O524" s="24" t="n">
        <v>3.36731</v>
      </c>
      <c r="P524" s="20" t="s">
        <v>85</v>
      </c>
      <c r="Q524" s="20" t="s">
        <v>86</v>
      </c>
      <c r="R524" s="20" t="s">
        <v>86</v>
      </c>
      <c r="S524" s="20" t="s">
        <v>87</v>
      </c>
      <c r="T524" s="25" t="s">
        <v>88</v>
      </c>
      <c r="U524" s="20" t="s">
        <v>89</v>
      </c>
      <c r="V524" s="20" t="s">
        <v>90</v>
      </c>
      <c r="W524" s="21"/>
    </row>
    <row r="525" customFormat="false" ht="15" hidden="false" customHeight="false" outlineLevel="0" collapsed="false">
      <c r="A525" s="20" t="n">
        <v>524</v>
      </c>
      <c r="B525" s="20" t="s">
        <v>2325</v>
      </c>
      <c r="C525" s="20" t="s">
        <v>5</v>
      </c>
      <c r="D525" s="20"/>
      <c r="E525" s="20" t="s">
        <v>18</v>
      </c>
      <c r="F525" s="20"/>
      <c r="G525" s="21"/>
      <c r="H525" s="20"/>
      <c r="I525" s="20"/>
      <c r="J525" s="20"/>
      <c r="K525" s="22" t="n">
        <v>4.6</v>
      </c>
      <c r="L525" s="23" t="n">
        <v>275</v>
      </c>
      <c r="M525" s="20" t="s">
        <v>84</v>
      </c>
      <c r="N525" s="24" t="n">
        <v>6.5737</v>
      </c>
      <c r="O525" s="24" t="n">
        <v>3.35883</v>
      </c>
      <c r="P525" s="20" t="s">
        <v>85</v>
      </c>
      <c r="Q525" s="20" t="s">
        <v>86</v>
      </c>
      <c r="R525" s="20" t="s">
        <v>86</v>
      </c>
      <c r="S525" s="20" t="s">
        <v>87</v>
      </c>
      <c r="T525" s="25" t="s">
        <v>88</v>
      </c>
      <c r="U525" s="20" t="s">
        <v>89</v>
      </c>
      <c r="V525" s="20" t="s">
        <v>90</v>
      </c>
      <c r="W525" s="21"/>
    </row>
    <row r="526" customFormat="false" ht="15" hidden="false" customHeight="false" outlineLevel="0" collapsed="false">
      <c r="A526" s="20" t="n">
        <v>525</v>
      </c>
      <c r="B526" s="20" t="s">
        <v>2326</v>
      </c>
      <c r="C526" s="20" t="s">
        <v>5</v>
      </c>
      <c r="D526" s="20"/>
      <c r="E526" s="20" t="s">
        <v>18</v>
      </c>
      <c r="F526" s="20"/>
      <c r="G526" s="21"/>
      <c r="H526" s="20"/>
      <c r="I526" s="20"/>
      <c r="J526" s="20"/>
      <c r="K526" s="22" t="n">
        <v>4.4</v>
      </c>
      <c r="L526" s="23" t="n">
        <v>856</v>
      </c>
      <c r="M526" s="20" t="s">
        <v>84</v>
      </c>
      <c r="N526" s="24" t="n">
        <v>6.57436</v>
      </c>
      <c r="O526" s="24" t="n">
        <v>3.36083</v>
      </c>
      <c r="P526" s="20" t="s">
        <v>85</v>
      </c>
      <c r="Q526" s="20" t="s">
        <v>86</v>
      </c>
      <c r="R526" s="20" t="s">
        <v>86</v>
      </c>
      <c r="S526" s="20" t="s">
        <v>87</v>
      </c>
      <c r="T526" s="25" t="s">
        <v>88</v>
      </c>
      <c r="U526" s="20" t="s">
        <v>89</v>
      </c>
      <c r="V526" s="20" t="s">
        <v>90</v>
      </c>
      <c r="W526" s="21"/>
    </row>
    <row r="527" customFormat="false" ht="15" hidden="false" customHeight="false" outlineLevel="0" collapsed="false">
      <c r="A527" s="20" t="n">
        <v>526</v>
      </c>
      <c r="B527" s="20" t="s">
        <v>2327</v>
      </c>
      <c r="C527" s="20" t="s">
        <v>5</v>
      </c>
      <c r="D527" s="20" t="s">
        <v>1589</v>
      </c>
      <c r="E527" s="20" t="s">
        <v>18</v>
      </c>
      <c r="F527" s="20" t="s">
        <v>2328</v>
      </c>
      <c r="G527" s="21" t="s">
        <v>2329</v>
      </c>
      <c r="H527" s="20"/>
      <c r="I527" s="20"/>
      <c r="J527" s="20"/>
      <c r="K527" s="22"/>
      <c r="L527" s="23"/>
      <c r="M527" s="20" t="s">
        <v>84</v>
      </c>
      <c r="N527" s="24" t="n">
        <v>6.57249</v>
      </c>
      <c r="O527" s="24" t="n">
        <v>3.3625</v>
      </c>
      <c r="P527" s="20" t="s">
        <v>85</v>
      </c>
      <c r="Q527" s="20" t="s">
        <v>86</v>
      </c>
      <c r="R527" s="20" t="s">
        <v>86</v>
      </c>
      <c r="S527" s="20" t="s">
        <v>87</v>
      </c>
      <c r="T527" s="25" t="s">
        <v>88</v>
      </c>
      <c r="U527" s="20" t="s">
        <v>89</v>
      </c>
      <c r="V527" s="20" t="s">
        <v>90</v>
      </c>
      <c r="W527" s="21"/>
    </row>
    <row r="528" customFormat="false" ht="15" hidden="false" customHeight="false" outlineLevel="0" collapsed="false">
      <c r="A528" s="20" t="n">
        <v>527</v>
      </c>
      <c r="B528" s="20" t="s">
        <v>2330</v>
      </c>
      <c r="C528" s="20" t="s">
        <v>5</v>
      </c>
      <c r="D528" s="20" t="s">
        <v>2235</v>
      </c>
      <c r="E528" s="20" t="s">
        <v>18</v>
      </c>
      <c r="F528" s="20" t="s">
        <v>82</v>
      </c>
      <c r="G528" s="21" t="s">
        <v>2236</v>
      </c>
      <c r="H528" s="20"/>
      <c r="I528" s="20"/>
      <c r="J528" s="20"/>
      <c r="K528" s="22"/>
      <c r="L528" s="23"/>
      <c r="M528" s="20" t="s">
        <v>84</v>
      </c>
      <c r="N528" s="24" t="n">
        <v>6.573</v>
      </c>
      <c r="O528" s="24" t="n">
        <v>3.36532</v>
      </c>
      <c r="P528" s="20" t="s">
        <v>85</v>
      </c>
      <c r="Q528" s="20" t="s">
        <v>86</v>
      </c>
      <c r="R528" s="20" t="s">
        <v>86</v>
      </c>
      <c r="S528" s="20" t="s">
        <v>87</v>
      </c>
      <c r="T528" s="25" t="s">
        <v>88</v>
      </c>
      <c r="U528" s="20" t="s">
        <v>89</v>
      </c>
      <c r="V528" s="20" t="s">
        <v>90</v>
      </c>
      <c r="W528" s="21"/>
    </row>
    <row r="529" customFormat="false" ht="15" hidden="false" customHeight="false" outlineLevel="0" collapsed="false">
      <c r="A529" s="20" t="n">
        <v>528</v>
      </c>
      <c r="B529" s="20" t="s">
        <v>2331</v>
      </c>
      <c r="C529" s="20" t="s">
        <v>5</v>
      </c>
      <c r="D529" s="20" t="s">
        <v>2332</v>
      </c>
      <c r="E529" s="20" t="s">
        <v>18</v>
      </c>
      <c r="F529" s="20" t="s">
        <v>82</v>
      </c>
      <c r="G529" s="21" t="s">
        <v>2332</v>
      </c>
      <c r="H529" s="20"/>
      <c r="I529" s="20"/>
      <c r="J529" s="20"/>
      <c r="K529" s="22" t="n">
        <v>4.4</v>
      </c>
      <c r="L529" s="23" t="n">
        <v>8</v>
      </c>
      <c r="M529" s="20" t="s">
        <v>84</v>
      </c>
      <c r="N529" s="24" t="n">
        <v>6.5774</v>
      </c>
      <c r="O529" s="24" t="n">
        <v>3.36907</v>
      </c>
      <c r="P529" s="20" t="s">
        <v>85</v>
      </c>
      <c r="Q529" s="20" t="s">
        <v>86</v>
      </c>
      <c r="R529" s="20" t="s">
        <v>86</v>
      </c>
      <c r="S529" s="20" t="s">
        <v>87</v>
      </c>
      <c r="T529" s="25" t="s">
        <v>88</v>
      </c>
      <c r="U529" s="20" t="s">
        <v>89</v>
      </c>
      <c r="V529" s="20" t="s">
        <v>90</v>
      </c>
      <c r="W529" s="21"/>
    </row>
    <row r="530" customFormat="false" ht="15" hidden="false" customHeight="false" outlineLevel="0" collapsed="false">
      <c r="A530" s="20" t="n">
        <v>529</v>
      </c>
      <c r="B530" s="20" t="s">
        <v>2333</v>
      </c>
      <c r="C530" s="20" t="s">
        <v>5</v>
      </c>
      <c r="D530" s="20" t="s">
        <v>2296</v>
      </c>
      <c r="E530" s="20" t="s">
        <v>18</v>
      </c>
      <c r="F530" s="20" t="s">
        <v>93</v>
      </c>
      <c r="G530" s="21" t="s">
        <v>2334</v>
      </c>
      <c r="H530" s="20"/>
      <c r="I530" s="20"/>
      <c r="J530" s="20"/>
      <c r="K530" s="22" t="n">
        <v>3</v>
      </c>
      <c r="L530" s="23" t="n">
        <v>20</v>
      </c>
      <c r="M530" s="20" t="s">
        <v>84</v>
      </c>
      <c r="N530" s="24" t="n">
        <v>6.56761</v>
      </c>
      <c r="O530" s="24" t="n">
        <v>3.36719</v>
      </c>
      <c r="P530" s="20" t="s">
        <v>85</v>
      </c>
      <c r="Q530" s="20" t="s">
        <v>86</v>
      </c>
      <c r="R530" s="20" t="s">
        <v>86</v>
      </c>
      <c r="S530" s="20" t="s">
        <v>87</v>
      </c>
      <c r="T530" s="25" t="s">
        <v>88</v>
      </c>
      <c r="U530" s="20" t="s">
        <v>89</v>
      </c>
      <c r="V530" s="20" t="s">
        <v>90</v>
      </c>
      <c r="W530" s="21"/>
    </row>
    <row r="531" customFormat="false" ht="15" hidden="false" customHeight="false" outlineLevel="0" collapsed="false">
      <c r="A531" s="20" t="n">
        <v>530</v>
      </c>
      <c r="B531" s="20" t="s">
        <v>2335</v>
      </c>
      <c r="C531" s="20" t="s">
        <v>5</v>
      </c>
      <c r="D531" s="20" t="s">
        <v>2336</v>
      </c>
      <c r="E531" s="20" t="s">
        <v>18</v>
      </c>
      <c r="F531" s="20" t="s">
        <v>113</v>
      </c>
      <c r="G531" s="21" t="s">
        <v>2337</v>
      </c>
      <c r="H531" s="20" t="s">
        <v>2338</v>
      </c>
      <c r="I531" s="20"/>
      <c r="J531" s="20"/>
      <c r="K531" s="22"/>
      <c r="L531" s="23"/>
      <c r="M531" s="20" t="s">
        <v>100</v>
      </c>
      <c r="N531" s="24"/>
      <c r="O531" s="24"/>
      <c r="P531" s="20" t="s">
        <v>101</v>
      </c>
      <c r="Q531" s="20" t="s">
        <v>86</v>
      </c>
      <c r="R531" s="20" t="s">
        <v>86</v>
      </c>
      <c r="S531" s="20" t="s">
        <v>102</v>
      </c>
      <c r="T531" s="26" t="s">
        <v>103</v>
      </c>
      <c r="U531" s="20" t="s">
        <v>104</v>
      </c>
      <c r="V531" s="20" t="s">
        <v>138</v>
      </c>
      <c r="W531" s="21" t="s">
        <v>181</v>
      </c>
    </row>
    <row r="532" customFormat="false" ht="15" hidden="false" customHeight="false" outlineLevel="0" collapsed="false">
      <c r="A532" s="20" t="n">
        <v>531</v>
      </c>
      <c r="B532" s="20" t="s">
        <v>2339</v>
      </c>
      <c r="C532" s="20" t="s">
        <v>5</v>
      </c>
      <c r="D532" s="20" t="s">
        <v>2340</v>
      </c>
      <c r="E532" s="20" t="s">
        <v>18</v>
      </c>
      <c r="F532" s="20" t="s">
        <v>82</v>
      </c>
      <c r="G532" s="21" t="s">
        <v>2341</v>
      </c>
      <c r="H532" s="20"/>
      <c r="I532" s="20"/>
      <c r="J532" s="20"/>
      <c r="K532" s="22" t="n">
        <v>5</v>
      </c>
      <c r="L532" s="23" t="n">
        <v>1</v>
      </c>
      <c r="M532" s="20" t="s">
        <v>84</v>
      </c>
      <c r="N532" s="24" t="n">
        <v>6.57642</v>
      </c>
      <c r="O532" s="24" t="n">
        <v>3.36534</v>
      </c>
      <c r="P532" s="20" t="s">
        <v>85</v>
      </c>
      <c r="Q532" s="20" t="s">
        <v>86</v>
      </c>
      <c r="R532" s="20" t="s">
        <v>86</v>
      </c>
      <c r="S532" s="20" t="s">
        <v>87</v>
      </c>
      <c r="T532" s="25" t="s">
        <v>88</v>
      </c>
      <c r="U532" s="20" t="s">
        <v>89</v>
      </c>
      <c r="V532" s="20" t="s">
        <v>90</v>
      </c>
      <c r="W532" s="21"/>
    </row>
    <row r="533" customFormat="false" ht="15" hidden="false" customHeight="false" outlineLevel="0" collapsed="false">
      <c r="A533" s="20" t="n">
        <v>532</v>
      </c>
      <c r="B533" s="20" t="s">
        <v>2342</v>
      </c>
      <c r="C533" s="20" t="s">
        <v>5</v>
      </c>
      <c r="D533" s="20"/>
      <c r="E533" s="20" t="s">
        <v>18</v>
      </c>
      <c r="F533" s="20"/>
      <c r="G533" s="21"/>
      <c r="H533" s="20"/>
      <c r="I533" s="20"/>
      <c r="J533" s="20"/>
      <c r="K533" s="22" t="n">
        <v>4.1</v>
      </c>
      <c r="L533" s="23" t="n">
        <v>1459</v>
      </c>
      <c r="M533" s="20" t="s">
        <v>84</v>
      </c>
      <c r="N533" s="24" t="n">
        <v>6.5689</v>
      </c>
      <c r="O533" s="24" t="n">
        <v>3.37191</v>
      </c>
      <c r="P533" s="20" t="s">
        <v>85</v>
      </c>
      <c r="Q533" s="20" t="s">
        <v>86</v>
      </c>
      <c r="R533" s="20" t="s">
        <v>86</v>
      </c>
      <c r="S533" s="20" t="s">
        <v>87</v>
      </c>
      <c r="T533" s="25" t="s">
        <v>88</v>
      </c>
      <c r="U533" s="20" t="s">
        <v>89</v>
      </c>
      <c r="V533" s="20" t="s">
        <v>90</v>
      </c>
      <c r="W533" s="21"/>
    </row>
    <row r="534" customFormat="false" ht="15" hidden="false" customHeight="false" outlineLevel="0" collapsed="false">
      <c r="A534" s="20" t="n">
        <v>533</v>
      </c>
      <c r="B534" s="20" t="s">
        <v>2343</v>
      </c>
      <c r="C534" s="20" t="s">
        <v>5</v>
      </c>
      <c r="D534" s="20" t="s">
        <v>2344</v>
      </c>
      <c r="E534" s="20" t="s">
        <v>18</v>
      </c>
      <c r="F534" s="20" t="s">
        <v>82</v>
      </c>
      <c r="G534" s="21" t="s">
        <v>2345</v>
      </c>
      <c r="H534" s="20" t="s">
        <v>2346</v>
      </c>
      <c r="I534" s="20"/>
      <c r="J534" s="20"/>
      <c r="K534" s="22"/>
      <c r="L534" s="23"/>
      <c r="M534" s="20" t="s">
        <v>100</v>
      </c>
      <c r="N534" s="24"/>
      <c r="O534" s="24"/>
      <c r="P534" s="20" t="s">
        <v>101</v>
      </c>
      <c r="Q534" s="20" t="s">
        <v>86</v>
      </c>
      <c r="R534" s="20" t="s">
        <v>86</v>
      </c>
      <c r="S534" s="20" t="s">
        <v>102</v>
      </c>
      <c r="T534" s="26" t="s">
        <v>103</v>
      </c>
      <c r="U534" s="20" t="s">
        <v>104</v>
      </c>
      <c r="V534" s="20" t="s">
        <v>138</v>
      </c>
      <c r="W534" s="21" t="s">
        <v>139</v>
      </c>
    </row>
    <row r="535" customFormat="false" ht="15" hidden="false" customHeight="false" outlineLevel="0" collapsed="false">
      <c r="A535" s="20" t="n">
        <v>534</v>
      </c>
      <c r="B535" s="20" t="s">
        <v>2347</v>
      </c>
      <c r="C535" s="20" t="s">
        <v>5</v>
      </c>
      <c r="D535" s="20"/>
      <c r="E535" s="20" t="s">
        <v>18</v>
      </c>
      <c r="F535" s="20"/>
      <c r="G535" s="21"/>
      <c r="H535" s="20"/>
      <c r="I535" s="20"/>
      <c r="J535" s="20"/>
      <c r="K535" s="22" t="n">
        <v>4.2</v>
      </c>
      <c r="L535" s="23" t="n">
        <v>112</v>
      </c>
      <c r="M535" s="20" t="s">
        <v>84</v>
      </c>
      <c r="N535" s="24" t="n">
        <v>6.5717</v>
      </c>
      <c r="O535" s="24" t="n">
        <v>3.36619</v>
      </c>
      <c r="P535" s="20" t="s">
        <v>85</v>
      </c>
      <c r="Q535" s="20" t="s">
        <v>86</v>
      </c>
      <c r="R535" s="20" t="s">
        <v>86</v>
      </c>
      <c r="S535" s="20" t="s">
        <v>87</v>
      </c>
      <c r="T535" s="25" t="s">
        <v>88</v>
      </c>
      <c r="U535" s="20" t="s">
        <v>89</v>
      </c>
      <c r="V535" s="20" t="s">
        <v>90</v>
      </c>
      <c r="W535" s="21"/>
    </row>
    <row r="536" customFormat="false" ht="15" hidden="false" customHeight="false" outlineLevel="0" collapsed="false">
      <c r="A536" s="20" t="n">
        <v>535</v>
      </c>
      <c r="B536" s="20" t="s">
        <v>2348</v>
      </c>
      <c r="C536" s="20" t="s">
        <v>5</v>
      </c>
      <c r="D536" s="20" t="s">
        <v>2349</v>
      </c>
      <c r="E536" s="20" t="s">
        <v>18</v>
      </c>
      <c r="F536" s="20" t="s">
        <v>82</v>
      </c>
      <c r="G536" s="21" t="s">
        <v>2349</v>
      </c>
      <c r="H536" s="20"/>
      <c r="I536" s="20"/>
      <c r="J536" s="20"/>
      <c r="K536" s="22" t="n">
        <v>4.3</v>
      </c>
      <c r="L536" s="23" t="n">
        <v>72</v>
      </c>
      <c r="M536" s="20" t="s">
        <v>84</v>
      </c>
      <c r="N536" s="24" t="n">
        <v>6.57017</v>
      </c>
      <c r="O536" s="24" t="n">
        <v>3.36524</v>
      </c>
      <c r="P536" s="20" t="s">
        <v>85</v>
      </c>
      <c r="Q536" s="20" t="s">
        <v>86</v>
      </c>
      <c r="R536" s="20" t="s">
        <v>86</v>
      </c>
      <c r="S536" s="20" t="s">
        <v>87</v>
      </c>
      <c r="T536" s="25" t="s">
        <v>88</v>
      </c>
      <c r="U536" s="20" t="s">
        <v>89</v>
      </c>
      <c r="V536" s="20" t="s">
        <v>90</v>
      </c>
      <c r="W536" s="21"/>
    </row>
    <row r="537" customFormat="false" ht="15" hidden="false" customHeight="false" outlineLevel="0" collapsed="false">
      <c r="A537" s="20" t="n">
        <v>536</v>
      </c>
      <c r="B537" s="20" t="s">
        <v>2350</v>
      </c>
      <c r="C537" s="20" t="s">
        <v>5</v>
      </c>
      <c r="D537" s="20" t="s">
        <v>2351</v>
      </c>
      <c r="E537" s="20" t="s">
        <v>18</v>
      </c>
      <c r="F537" s="20" t="s">
        <v>93</v>
      </c>
      <c r="G537" s="21" t="s">
        <v>2351</v>
      </c>
      <c r="H537" s="20"/>
      <c r="I537" s="20"/>
      <c r="J537" s="20"/>
      <c r="K537" s="22"/>
      <c r="L537" s="23"/>
      <c r="M537" s="20" t="s">
        <v>84</v>
      </c>
      <c r="N537" s="24" t="n">
        <v>6.57147</v>
      </c>
      <c r="O537" s="24" t="n">
        <v>3.37098</v>
      </c>
      <c r="P537" s="20" t="s">
        <v>85</v>
      </c>
      <c r="Q537" s="20" t="s">
        <v>86</v>
      </c>
      <c r="R537" s="20" t="s">
        <v>86</v>
      </c>
      <c r="S537" s="20" t="s">
        <v>87</v>
      </c>
      <c r="T537" s="25" t="s">
        <v>88</v>
      </c>
      <c r="U537" s="20" t="s">
        <v>89</v>
      </c>
      <c r="V537" s="20" t="s">
        <v>90</v>
      </c>
      <c r="W537" s="21"/>
    </row>
    <row r="538" customFormat="false" ht="15" hidden="false" customHeight="false" outlineLevel="0" collapsed="false">
      <c r="A538" s="20" t="n">
        <v>537</v>
      </c>
      <c r="B538" s="20" t="s">
        <v>2352</v>
      </c>
      <c r="C538" s="20" t="s">
        <v>5</v>
      </c>
      <c r="D538" s="20" t="s">
        <v>296</v>
      </c>
      <c r="E538" s="20" t="s">
        <v>18</v>
      </c>
      <c r="F538" s="20" t="s">
        <v>93</v>
      </c>
      <c r="G538" s="21" t="s">
        <v>296</v>
      </c>
      <c r="H538" s="20"/>
      <c r="I538" s="20"/>
      <c r="J538" s="20"/>
      <c r="K538" s="22" t="n">
        <v>4.1</v>
      </c>
      <c r="L538" s="23" t="n">
        <v>34</v>
      </c>
      <c r="M538" s="20" t="s">
        <v>84</v>
      </c>
      <c r="N538" s="24" t="n">
        <v>6.56725</v>
      </c>
      <c r="O538" s="24" t="n">
        <v>3.36731</v>
      </c>
      <c r="P538" s="20" t="s">
        <v>85</v>
      </c>
      <c r="Q538" s="20" t="s">
        <v>86</v>
      </c>
      <c r="R538" s="20" t="s">
        <v>86</v>
      </c>
      <c r="S538" s="20" t="s">
        <v>87</v>
      </c>
      <c r="T538" s="25" t="s">
        <v>88</v>
      </c>
      <c r="U538" s="20" t="s">
        <v>89</v>
      </c>
      <c r="V538" s="20" t="s">
        <v>90</v>
      </c>
      <c r="W538" s="21"/>
    </row>
    <row r="539" customFormat="false" ht="15" hidden="false" customHeight="false" outlineLevel="0" collapsed="false">
      <c r="A539" s="20" t="n">
        <v>538</v>
      </c>
      <c r="B539" s="20" t="s">
        <v>2353</v>
      </c>
      <c r="C539" s="20" t="s">
        <v>5</v>
      </c>
      <c r="D539" s="20" t="s">
        <v>2354</v>
      </c>
      <c r="E539" s="20" t="s">
        <v>18</v>
      </c>
      <c r="F539" s="20" t="s">
        <v>82</v>
      </c>
      <c r="G539" s="21" t="s">
        <v>2354</v>
      </c>
      <c r="H539" s="20"/>
      <c r="I539" s="20"/>
      <c r="J539" s="20"/>
      <c r="K539" s="22" t="n">
        <v>4.9</v>
      </c>
      <c r="L539" s="23" t="n">
        <v>17</v>
      </c>
      <c r="M539" s="20" t="s">
        <v>84</v>
      </c>
      <c r="N539" s="24" t="n">
        <v>6.57239</v>
      </c>
      <c r="O539" s="24" t="n">
        <v>3.37398</v>
      </c>
      <c r="P539" s="20" t="s">
        <v>85</v>
      </c>
      <c r="Q539" s="20" t="s">
        <v>86</v>
      </c>
      <c r="R539" s="20" t="s">
        <v>86</v>
      </c>
      <c r="S539" s="20" t="s">
        <v>87</v>
      </c>
      <c r="T539" s="25" t="s">
        <v>88</v>
      </c>
      <c r="U539" s="20" t="s">
        <v>89</v>
      </c>
      <c r="V539" s="20" t="s">
        <v>90</v>
      </c>
      <c r="W539" s="21"/>
    </row>
    <row r="540" customFormat="false" ht="15" hidden="false" customHeight="false" outlineLevel="0" collapsed="false">
      <c r="A540" s="20" t="n">
        <v>539</v>
      </c>
      <c r="B540" s="20" t="s">
        <v>2355</v>
      </c>
      <c r="C540" s="20" t="s">
        <v>5</v>
      </c>
      <c r="D540" s="20" t="s">
        <v>2356</v>
      </c>
      <c r="E540" s="20" t="s">
        <v>18</v>
      </c>
      <c r="F540" s="20" t="s">
        <v>2357</v>
      </c>
      <c r="G540" s="21" t="s">
        <v>2356</v>
      </c>
      <c r="H540" s="20"/>
      <c r="I540" s="20"/>
      <c r="J540" s="20"/>
      <c r="K540" s="22"/>
      <c r="L540" s="23"/>
      <c r="M540" s="20" t="s">
        <v>84</v>
      </c>
      <c r="N540" s="24" t="n">
        <v>6.56938</v>
      </c>
      <c r="O540" s="24" t="n">
        <v>3.36627</v>
      </c>
      <c r="P540" s="20" t="s">
        <v>85</v>
      </c>
      <c r="Q540" s="20" t="s">
        <v>86</v>
      </c>
      <c r="R540" s="20" t="s">
        <v>86</v>
      </c>
      <c r="S540" s="20" t="s">
        <v>87</v>
      </c>
      <c r="T540" s="25" t="s">
        <v>88</v>
      </c>
      <c r="U540" s="20" t="s">
        <v>89</v>
      </c>
      <c r="V540" s="20" t="s">
        <v>90</v>
      </c>
      <c r="W540" s="21"/>
    </row>
    <row r="541" customFormat="false" ht="15" hidden="false" customHeight="false" outlineLevel="0" collapsed="false">
      <c r="A541" s="20" t="n">
        <v>540</v>
      </c>
      <c r="B541" s="20" t="s">
        <v>2358</v>
      </c>
      <c r="C541" s="20" t="s">
        <v>5</v>
      </c>
      <c r="D541" s="20" t="s">
        <v>2359</v>
      </c>
      <c r="E541" s="20" t="s">
        <v>18</v>
      </c>
      <c r="F541" s="20" t="s">
        <v>82</v>
      </c>
      <c r="G541" s="21" t="s">
        <v>2359</v>
      </c>
      <c r="H541" s="20"/>
      <c r="I541" s="20"/>
      <c r="J541" s="20"/>
      <c r="K541" s="22" t="n">
        <v>3.1</v>
      </c>
      <c r="L541" s="23" t="n">
        <v>8</v>
      </c>
      <c r="M541" s="20" t="s">
        <v>84</v>
      </c>
      <c r="N541" s="24" t="n">
        <v>6.56552</v>
      </c>
      <c r="O541" s="24" t="n">
        <v>3.37035</v>
      </c>
      <c r="P541" s="20" t="s">
        <v>85</v>
      </c>
      <c r="Q541" s="20" t="s">
        <v>86</v>
      </c>
      <c r="R541" s="20" t="s">
        <v>86</v>
      </c>
      <c r="S541" s="20" t="s">
        <v>87</v>
      </c>
      <c r="T541" s="25" t="s">
        <v>88</v>
      </c>
      <c r="U541" s="20" t="s">
        <v>89</v>
      </c>
      <c r="V541" s="20" t="s">
        <v>90</v>
      </c>
      <c r="W541" s="21"/>
    </row>
    <row r="542" customFormat="false" ht="15" hidden="false" customHeight="false" outlineLevel="0" collapsed="false">
      <c r="A542" s="20" t="n">
        <v>541</v>
      </c>
      <c r="B542" s="20" t="s">
        <v>2360</v>
      </c>
      <c r="C542" s="20" t="s">
        <v>5</v>
      </c>
      <c r="D542" s="20" t="s">
        <v>2296</v>
      </c>
      <c r="E542" s="20" t="s">
        <v>18</v>
      </c>
      <c r="F542" s="20" t="s">
        <v>2361</v>
      </c>
      <c r="G542" s="21" t="s">
        <v>2334</v>
      </c>
      <c r="H542" s="20"/>
      <c r="I542" s="20"/>
      <c r="J542" s="20"/>
      <c r="K542" s="22" t="n">
        <v>4.1</v>
      </c>
      <c r="L542" s="23" t="n">
        <v>25</v>
      </c>
      <c r="M542" s="20" t="s">
        <v>84</v>
      </c>
      <c r="N542" s="24" t="n">
        <v>6.5676</v>
      </c>
      <c r="O542" s="24" t="n">
        <v>3.36721</v>
      </c>
      <c r="P542" s="20" t="s">
        <v>85</v>
      </c>
      <c r="Q542" s="20" t="s">
        <v>86</v>
      </c>
      <c r="R542" s="20" t="s">
        <v>86</v>
      </c>
      <c r="S542" s="20" t="s">
        <v>87</v>
      </c>
      <c r="T542" s="25" t="s">
        <v>88</v>
      </c>
      <c r="U542" s="20" t="s">
        <v>89</v>
      </c>
      <c r="V542" s="20" t="s">
        <v>90</v>
      </c>
      <c r="W542" s="21"/>
    </row>
    <row r="543" customFormat="false" ht="15" hidden="false" customHeight="false" outlineLevel="0" collapsed="false">
      <c r="A543" s="20" t="n">
        <v>542</v>
      </c>
      <c r="B543" s="20" t="s">
        <v>2362</v>
      </c>
      <c r="C543" s="20" t="s">
        <v>5</v>
      </c>
      <c r="D543" s="20"/>
      <c r="E543" s="20" t="s">
        <v>19</v>
      </c>
      <c r="F543" s="20"/>
      <c r="G543" s="21"/>
      <c r="H543" s="20"/>
      <c r="I543" s="20"/>
      <c r="J543" s="20"/>
      <c r="K543" s="22" t="n">
        <v>4</v>
      </c>
      <c r="L543" s="23" t="n">
        <v>1492</v>
      </c>
      <c r="M543" s="20" t="s">
        <v>84</v>
      </c>
      <c r="N543" s="24" t="n">
        <v>6.57362</v>
      </c>
      <c r="O543" s="24" t="n">
        <v>3.36702</v>
      </c>
      <c r="P543" s="20" t="s">
        <v>85</v>
      </c>
      <c r="Q543" s="20" t="s">
        <v>86</v>
      </c>
      <c r="R543" s="20" t="s">
        <v>86</v>
      </c>
      <c r="S543" s="20" t="s">
        <v>87</v>
      </c>
      <c r="T543" s="25" t="s">
        <v>88</v>
      </c>
      <c r="U543" s="20" t="s">
        <v>89</v>
      </c>
      <c r="V543" s="20" t="s">
        <v>90</v>
      </c>
      <c r="W543" s="21"/>
    </row>
    <row r="544" customFormat="false" ht="15" hidden="false" customHeight="false" outlineLevel="0" collapsed="false">
      <c r="A544" s="20" t="n">
        <v>543</v>
      </c>
      <c r="B544" s="20" t="s">
        <v>2363</v>
      </c>
      <c r="C544" s="20" t="s">
        <v>5</v>
      </c>
      <c r="D544" s="20"/>
      <c r="E544" s="20" t="s">
        <v>19</v>
      </c>
      <c r="F544" s="20"/>
      <c r="G544" s="21"/>
      <c r="H544" s="20"/>
      <c r="I544" s="20"/>
      <c r="J544" s="20"/>
      <c r="K544" s="22" t="n">
        <v>4.1</v>
      </c>
      <c r="L544" s="23" t="n">
        <v>29</v>
      </c>
      <c r="M544" s="20" t="s">
        <v>84</v>
      </c>
      <c r="N544" s="24" t="n">
        <v>6.57614</v>
      </c>
      <c r="O544" s="24" t="n">
        <v>3.3676</v>
      </c>
      <c r="P544" s="20" t="s">
        <v>85</v>
      </c>
      <c r="Q544" s="20" t="s">
        <v>86</v>
      </c>
      <c r="R544" s="20" t="s">
        <v>86</v>
      </c>
      <c r="S544" s="20" t="s">
        <v>87</v>
      </c>
      <c r="T544" s="25" t="s">
        <v>88</v>
      </c>
      <c r="U544" s="20" t="s">
        <v>89</v>
      </c>
      <c r="V544" s="20" t="s">
        <v>90</v>
      </c>
      <c r="W544" s="21"/>
    </row>
    <row r="545" customFormat="false" ht="15" hidden="false" customHeight="false" outlineLevel="0" collapsed="false">
      <c r="A545" s="20" t="n">
        <v>544</v>
      </c>
      <c r="B545" s="20" t="s">
        <v>2364</v>
      </c>
      <c r="C545" s="20" t="s">
        <v>5</v>
      </c>
      <c r="D545" s="20"/>
      <c r="E545" s="20" t="s">
        <v>19</v>
      </c>
      <c r="F545" s="20"/>
      <c r="G545" s="21"/>
      <c r="H545" s="20"/>
      <c r="I545" s="20"/>
      <c r="J545" s="20"/>
      <c r="K545" s="22" t="n">
        <v>3.5</v>
      </c>
      <c r="L545" s="23" t="n">
        <v>158</v>
      </c>
      <c r="M545" s="20" t="s">
        <v>84</v>
      </c>
      <c r="N545" s="24" t="n">
        <v>6.57333</v>
      </c>
      <c r="O545" s="24" t="n">
        <v>3.37198</v>
      </c>
      <c r="P545" s="20" t="s">
        <v>85</v>
      </c>
      <c r="Q545" s="20" t="s">
        <v>86</v>
      </c>
      <c r="R545" s="20" t="s">
        <v>86</v>
      </c>
      <c r="S545" s="20" t="s">
        <v>87</v>
      </c>
      <c r="T545" s="25" t="s">
        <v>88</v>
      </c>
      <c r="U545" s="20" t="s">
        <v>89</v>
      </c>
      <c r="V545" s="20" t="s">
        <v>90</v>
      </c>
      <c r="W545" s="21"/>
    </row>
    <row r="546" customFormat="false" ht="15" hidden="false" customHeight="false" outlineLevel="0" collapsed="false">
      <c r="A546" s="20" t="n">
        <v>545</v>
      </c>
      <c r="B546" s="20" t="s">
        <v>2365</v>
      </c>
      <c r="C546" s="20" t="s">
        <v>5</v>
      </c>
      <c r="D546" s="20"/>
      <c r="E546" s="20" t="s">
        <v>19</v>
      </c>
      <c r="F546" s="20"/>
      <c r="G546" s="21"/>
      <c r="H546" s="20"/>
      <c r="I546" s="20"/>
      <c r="J546" s="20"/>
      <c r="K546" s="22" t="n">
        <v>4.5</v>
      </c>
      <c r="L546" s="23" t="n">
        <v>2181</v>
      </c>
      <c r="M546" s="20" t="s">
        <v>84</v>
      </c>
      <c r="N546" s="24" t="n">
        <v>6.57339</v>
      </c>
      <c r="O546" s="24" t="n">
        <v>3.36678</v>
      </c>
      <c r="P546" s="20" t="s">
        <v>85</v>
      </c>
      <c r="Q546" s="20" t="s">
        <v>86</v>
      </c>
      <c r="R546" s="20" t="s">
        <v>86</v>
      </c>
      <c r="S546" s="20" t="s">
        <v>87</v>
      </c>
      <c r="T546" s="25" t="s">
        <v>88</v>
      </c>
      <c r="U546" s="20" t="s">
        <v>89</v>
      </c>
      <c r="V546" s="20" t="s">
        <v>90</v>
      </c>
      <c r="W546" s="21"/>
    </row>
    <row r="547" customFormat="false" ht="15" hidden="false" customHeight="false" outlineLevel="0" collapsed="false">
      <c r="A547" s="20" t="n">
        <v>546</v>
      </c>
      <c r="B547" s="20" t="s">
        <v>2366</v>
      </c>
      <c r="C547" s="20" t="s">
        <v>5</v>
      </c>
      <c r="D547" s="20"/>
      <c r="E547" s="20" t="s">
        <v>19</v>
      </c>
      <c r="F547" s="20"/>
      <c r="G547" s="21"/>
      <c r="H547" s="20"/>
      <c r="I547" s="20"/>
      <c r="J547" s="20"/>
      <c r="K547" s="22" t="n">
        <v>3.9</v>
      </c>
      <c r="L547" s="23" t="n">
        <v>122</v>
      </c>
      <c r="M547" s="20" t="s">
        <v>84</v>
      </c>
      <c r="N547" s="24" t="n">
        <v>6.57618</v>
      </c>
      <c r="O547" s="24" t="n">
        <v>3.36783</v>
      </c>
      <c r="P547" s="20" t="s">
        <v>85</v>
      </c>
      <c r="Q547" s="20" t="s">
        <v>86</v>
      </c>
      <c r="R547" s="20" t="s">
        <v>86</v>
      </c>
      <c r="S547" s="20" t="s">
        <v>87</v>
      </c>
      <c r="T547" s="25" t="s">
        <v>88</v>
      </c>
      <c r="U547" s="20" t="s">
        <v>89</v>
      </c>
      <c r="V547" s="20" t="s">
        <v>90</v>
      </c>
      <c r="W547" s="21"/>
    </row>
    <row r="548" customFormat="false" ht="15" hidden="false" customHeight="false" outlineLevel="0" collapsed="false">
      <c r="A548" s="20" t="n">
        <v>547</v>
      </c>
      <c r="B548" s="20" t="s">
        <v>2367</v>
      </c>
      <c r="C548" s="20" t="s">
        <v>5</v>
      </c>
      <c r="D548" s="20"/>
      <c r="E548" s="20" t="s">
        <v>19</v>
      </c>
      <c r="F548" s="20"/>
      <c r="G548" s="21"/>
      <c r="H548" s="20"/>
      <c r="I548" s="20"/>
      <c r="J548" s="20"/>
      <c r="K548" s="22"/>
      <c r="L548" s="23"/>
      <c r="M548" s="20" t="s">
        <v>84</v>
      </c>
      <c r="N548" s="24" t="n">
        <v>6.57787</v>
      </c>
      <c r="O548" s="24" t="n">
        <v>3.36157</v>
      </c>
      <c r="P548" s="20" t="s">
        <v>85</v>
      </c>
      <c r="Q548" s="20" t="s">
        <v>86</v>
      </c>
      <c r="R548" s="20" t="s">
        <v>86</v>
      </c>
      <c r="S548" s="20" t="s">
        <v>87</v>
      </c>
      <c r="T548" s="25" t="s">
        <v>88</v>
      </c>
      <c r="U548" s="20" t="s">
        <v>89</v>
      </c>
      <c r="V548" s="20" t="s">
        <v>90</v>
      </c>
      <c r="W548" s="21"/>
    </row>
    <row r="549" customFormat="false" ht="15" hidden="false" customHeight="false" outlineLevel="0" collapsed="false">
      <c r="A549" s="20" t="n">
        <v>548</v>
      </c>
      <c r="B549" s="20" t="s">
        <v>2368</v>
      </c>
      <c r="C549" s="20" t="s">
        <v>5</v>
      </c>
      <c r="D549" s="20"/>
      <c r="E549" s="20" t="s">
        <v>19</v>
      </c>
      <c r="F549" s="20"/>
      <c r="G549" s="21"/>
      <c r="H549" s="20"/>
      <c r="I549" s="20"/>
      <c r="J549" s="20"/>
      <c r="K549" s="22" t="n">
        <v>3.5</v>
      </c>
      <c r="L549" s="23" t="n">
        <v>390</v>
      </c>
      <c r="M549" s="20" t="s">
        <v>84</v>
      </c>
      <c r="N549" s="24" t="n">
        <v>6.57523</v>
      </c>
      <c r="O549" s="24" t="n">
        <v>3.37399</v>
      </c>
      <c r="P549" s="20" t="s">
        <v>85</v>
      </c>
      <c r="Q549" s="20" t="s">
        <v>86</v>
      </c>
      <c r="R549" s="20" t="s">
        <v>86</v>
      </c>
      <c r="S549" s="20" t="s">
        <v>87</v>
      </c>
      <c r="T549" s="25" t="s">
        <v>88</v>
      </c>
      <c r="U549" s="20" t="s">
        <v>89</v>
      </c>
      <c r="V549" s="20" t="s">
        <v>90</v>
      </c>
      <c r="W549" s="21"/>
    </row>
    <row r="550" customFormat="false" ht="15" hidden="false" customHeight="false" outlineLevel="0" collapsed="false">
      <c r="A550" s="20" t="n">
        <v>549</v>
      </c>
      <c r="B550" s="20" t="s">
        <v>2369</v>
      </c>
      <c r="C550" s="20" t="s">
        <v>5</v>
      </c>
      <c r="D550" s="20"/>
      <c r="E550" s="20" t="s">
        <v>19</v>
      </c>
      <c r="F550" s="20"/>
      <c r="G550" s="21"/>
      <c r="H550" s="20"/>
      <c r="I550" s="20"/>
      <c r="J550" s="20"/>
      <c r="K550" s="22" t="n">
        <v>4</v>
      </c>
      <c r="L550" s="23" t="n">
        <v>584</v>
      </c>
      <c r="M550" s="20" t="s">
        <v>84</v>
      </c>
      <c r="N550" s="24" t="n">
        <v>6.57379</v>
      </c>
      <c r="O550" s="24" t="n">
        <v>3.35839</v>
      </c>
      <c r="P550" s="20" t="s">
        <v>85</v>
      </c>
      <c r="Q550" s="20" t="s">
        <v>86</v>
      </c>
      <c r="R550" s="20" t="s">
        <v>86</v>
      </c>
      <c r="S550" s="20" t="s">
        <v>87</v>
      </c>
      <c r="T550" s="25" t="s">
        <v>88</v>
      </c>
      <c r="U550" s="20" t="s">
        <v>89</v>
      </c>
      <c r="V550" s="20" t="s">
        <v>90</v>
      </c>
      <c r="W550" s="21"/>
    </row>
    <row r="551" customFormat="false" ht="15" hidden="false" customHeight="false" outlineLevel="0" collapsed="false">
      <c r="A551" s="20" t="n">
        <v>550</v>
      </c>
      <c r="B551" s="20" t="s">
        <v>2370</v>
      </c>
      <c r="C551" s="20" t="s">
        <v>5</v>
      </c>
      <c r="D551" s="20" t="s">
        <v>2371</v>
      </c>
      <c r="E551" s="20" t="s">
        <v>19</v>
      </c>
      <c r="F551" s="20" t="s">
        <v>2372</v>
      </c>
      <c r="G551" s="21" t="s">
        <v>2373</v>
      </c>
      <c r="H551" s="20" t="s">
        <v>2374</v>
      </c>
      <c r="I551" s="20"/>
      <c r="J551" s="20"/>
      <c r="K551" s="22" t="n">
        <v>3.3</v>
      </c>
      <c r="L551" s="23" t="n">
        <v>340</v>
      </c>
      <c r="M551" s="20" t="s">
        <v>100</v>
      </c>
      <c r="N551" s="24" t="n">
        <v>6.56869</v>
      </c>
      <c r="O551" s="24" t="n">
        <v>3.37289</v>
      </c>
      <c r="P551" s="20" t="s">
        <v>110</v>
      </c>
      <c r="Q551" s="20" t="s">
        <v>86</v>
      </c>
      <c r="R551" s="20" t="s">
        <v>86</v>
      </c>
      <c r="S551" s="20" t="s">
        <v>87</v>
      </c>
      <c r="T551" s="27" t="s">
        <v>117</v>
      </c>
      <c r="U551" s="20" t="s">
        <v>118</v>
      </c>
      <c r="V551" s="20" t="s">
        <v>138</v>
      </c>
      <c r="W551" s="21" t="s">
        <v>299</v>
      </c>
    </row>
    <row r="552" customFormat="false" ht="15" hidden="false" customHeight="false" outlineLevel="0" collapsed="false">
      <c r="A552" s="20" t="n">
        <v>551</v>
      </c>
      <c r="B552" s="20" t="s">
        <v>2375</v>
      </c>
      <c r="C552" s="20" t="s">
        <v>5</v>
      </c>
      <c r="D552" s="20" t="s">
        <v>2376</v>
      </c>
      <c r="E552" s="20" t="s">
        <v>19</v>
      </c>
      <c r="F552" s="20" t="s">
        <v>2372</v>
      </c>
      <c r="G552" s="21" t="s">
        <v>2376</v>
      </c>
      <c r="H552" s="20"/>
      <c r="I552" s="20"/>
      <c r="J552" s="20"/>
      <c r="K552" s="22" t="n">
        <v>4.5</v>
      </c>
      <c r="L552" s="23" t="n">
        <v>50</v>
      </c>
      <c r="M552" s="20" t="s">
        <v>84</v>
      </c>
      <c r="N552" s="24" t="n">
        <v>6.57602</v>
      </c>
      <c r="O552" s="24" t="n">
        <v>3.36609</v>
      </c>
      <c r="P552" s="20" t="s">
        <v>85</v>
      </c>
      <c r="Q552" s="20" t="s">
        <v>86</v>
      </c>
      <c r="R552" s="20" t="s">
        <v>86</v>
      </c>
      <c r="S552" s="20" t="s">
        <v>87</v>
      </c>
      <c r="T552" s="25" t="s">
        <v>88</v>
      </c>
      <c r="U552" s="20" t="s">
        <v>89</v>
      </c>
      <c r="V552" s="20" t="s">
        <v>90</v>
      </c>
      <c r="W552" s="21"/>
    </row>
    <row r="553" customFormat="false" ht="15" hidden="false" customHeight="false" outlineLevel="0" collapsed="false">
      <c r="A553" s="20" t="n">
        <v>552</v>
      </c>
      <c r="B553" s="20" t="s">
        <v>2377</v>
      </c>
      <c r="C553" s="20" t="s">
        <v>5</v>
      </c>
      <c r="D553" s="20"/>
      <c r="E553" s="20" t="s">
        <v>19</v>
      </c>
      <c r="F553" s="20"/>
      <c r="G553" s="21"/>
      <c r="H553" s="20"/>
      <c r="I553" s="20"/>
      <c r="J553" s="20"/>
      <c r="K553" s="22" t="n">
        <v>3.9</v>
      </c>
      <c r="L553" s="23" t="n">
        <v>208</v>
      </c>
      <c r="M553" s="20" t="s">
        <v>84</v>
      </c>
      <c r="N553" s="24" t="n">
        <v>6.57341</v>
      </c>
      <c r="O553" s="24" t="n">
        <v>3.36719</v>
      </c>
      <c r="P553" s="20" t="s">
        <v>85</v>
      </c>
      <c r="Q553" s="20" t="s">
        <v>86</v>
      </c>
      <c r="R553" s="20" t="s">
        <v>86</v>
      </c>
      <c r="S553" s="20" t="s">
        <v>87</v>
      </c>
      <c r="T553" s="25" t="s">
        <v>88</v>
      </c>
      <c r="U553" s="20" t="s">
        <v>89</v>
      </c>
      <c r="V553" s="20" t="s">
        <v>90</v>
      </c>
      <c r="W553" s="21"/>
    </row>
    <row r="554" customFormat="false" ht="15" hidden="false" customHeight="false" outlineLevel="0" collapsed="false">
      <c r="A554" s="20" t="n">
        <v>553</v>
      </c>
      <c r="B554" s="20" t="s">
        <v>2378</v>
      </c>
      <c r="C554" s="20" t="s">
        <v>5</v>
      </c>
      <c r="D554" s="20"/>
      <c r="E554" s="20" t="s">
        <v>19</v>
      </c>
      <c r="F554" s="20"/>
      <c r="G554" s="21"/>
      <c r="H554" s="20"/>
      <c r="I554" s="20"/>
      <c r="J554" s="20"/>
      <c r="K554" s="22" t="n">
        <v>3.8</v>
      </c>
      <c r="L554" s="23" t="n">
        <v>271</v>
      </c>
      <c r="M554" s="20" t="s">
        <v>84</v>
      </c>
      <c r="N554" s="24" t="n">
        <v>6.57566</v>
      </c>
      <c r="O554" s="24" t="n">
        <v>3.36336</v>
      </c>
      <c r="P554" s="20" t="s">
        <v>85</v>
      </c>
      <c r="Q554" s="20" t="s">
        <v>86</v>
      </c>
      <c r="R554" s="20" t="s">
        <v>86</v>
      </c>
      <c r="S554" s="20" t="s">
        <v>87</v>
      </c>
      <c r="T554" s="25" t="s">
        <v>88</v>
      </c>
      <c r="U554" s="20" t="s">
        <v>89</v>
      </c>
      <c r="V554" s="20" t="s">
        <v>90</v>
      </c>
      <c r="W554" s="21"/>
    </row>
    <row r="555" customFormat="false" ht="15" hidden="false" customHeight="false" outlineLevel="0" collapsed="false">
      <c r="A555" s="20" t="n">
        <v>554</v>
      </c>
      <c r="B555" s="20" t="s">
        <v>2379</v>
      </c>
      <c r="C555" s="20" t="s">
        <v>5</v>
      </c>
      <c r="D555" s="20" t="s">
        <v>2380</v>
      </c>
      <c r="E555" s="20" t="s">
        <v>19</v>
      </c>
      <c r="F555" s="20" t="s">
        <v>2372</v>
      </c>
      <c r="G555" s="21" t="s">
        <v>2381</v>
      </c>
      <c r="H555" s="20" t="s">
        <v>2382</v>
      </c>
      <c r="I555" s="20"/>
      <c r="J555" s="20"/>
      <c r="K555" s="22" t="n">
        <v>4.2</v>
      </c>
      <c r="L555" s="23" t="n">
        <v>1605</v>
      </c>
      <c r="M555" s="20" t="s">
        <v>100</v>
      </c>
      <c r="N555" s="24"/>
      <c r="O555" s="24"/>
      <c r="P555" s="20" t="s">
        <v>101</v>
      </c>
      <c r="Q555" s="20" t="s">
        <v>86</v>
      </c>
      <c r="R555" s="20" t="s">
        <v>86</v>
      </c>
      <c r="S555" s="20" t="s">
        <v>102</v>
      </c>
      <c r="T555" s="27" t="s">
        <v>117</v>
      </c>
      <c r="U555" s="20" t="s">
        <v>118</v>
      </c>
      <c r="V555" s="20" t="s">
        <v>138</v>
      </c>
      <c r="W555" s="21" t="s">
        <v>299</v>
      </c>
    </row>
    <row r="556" customFormat="false" ht="15" hidden="false" customHeight="false" outlineLevel="0" collapsed="false">
      <c r="A556" s="20" t="n">
        <v>555</v>
      </c>
      <c r="B556" s="20" t="s">
        <v>2383</v>
      </c>
      <c r="C556" s="20" t="s">
        <v>5</v>
      </c>
      <c r="D556" s="20"/>
      <c r="E556" s="20" t="s">
        <v>19</v>
      </c>
      <c r="F556" s="20"/>
      <c r="G556" s="21"/>
      <c r="H556" s="20"/>
      <c r="I556" s="20"/>
      <c r="J556" s="20"/>
      <c r="K556" s="22" t="n">
        <v>3.4</v>
      </c>
      <c r="L556" s="23" t="n">
        <v>95</v>
      </c>
      <c r="M556" s="20" t="s">
        <v>84</v>
      </c>
      <c r="N556" s="24" t="n">
        <v>6.5701</v>
      </c>
      <c r="O556" s="24" t="n">
        <v>3.37709</v>
      </c>
      <c r="P556" s="20" t="s">
        <v>85</v>
      </c>
      <c r="Q556" s="20" t="s">
        <v>86</v>
      </c>
      <c r="R556" s="20" t="s">
        <v>86</v>
      </c>
      <c r="S556" s="20" t="s">
        <v>87</v>
      </c>
      <c r="T556" s="25" t="s">
        <v>88</v>
      </c>
      <c r="U556" s="20" t="s">
        <v>89</v>
      </c>
      <c r="V556" s="20" t="s">
        <v>90</v>
      </c>
      <c r="W556" s="21"/>
    </row>
    <row r="557" customFormat="false" ht="15" hidden="false" customHeight="false" outlineLevel="0" collapsed="false">
      <c r="A557" s="20" t="n">
        <v>556</v>
      </c>
      <c r="B557" s="20" t="s">
        <v>2384</v>
      </c>
      <c r="C557" s="20" t="s">
        <v>5</v>
      </c>
      <c r="D557" s="20" t="s">
        <v>2385</v>
      </c>
      <c r="E557" s="20" t="s">
        <v>20</v>
      </c>
      <c r="F557" s="20" t="s">
        <v>2386</v>
      </c>
      <c r="G557" s="21" t="s">
        <v>2385</v>
      </c>
      <c r="H557" s="20"/>
      <c r="I557" s="20"/>
      <c r="J557" s="20"/>
      <c r="K557" s="22"/>
      <c r="L557" s="23"/>
      <c r="M557" s="20" t="s">
        <v>84</v>
      </c>
      <c r="N557" s="24" t="n">
        <v>6.57226</v>
      </c>
      <c r="O557" s="24" t="n">
        <v>3.37465</v>
      </c>
      <c r="P557" s="20" t="s">
        <v>85</v>
      </c>
      <c r="Q557" s="20" t="s">
        <v>86</v>
      </c>
      <c r="R557" s="20" t="s">
        <v>86</v>
      </c>
      <c r="S557" s="20" t="s">
        <v>87</v>
      </c>
      <c r="T557" s="25" t="s">
        <v>88</v>
      </c>
      <c r="U557" s="20" t="s">
        <v>89</v>
      </c>
      <c r="V557" s="20" t="s">
        <v>90</v>
      </c>
      <c r="W557" s="21"/>
    </row>
    <row r="558" customFormat="false" ht="15" hidden="false" customHeight="false" outlineLevel="0" collapsed="false">
      <c r="A558" s="20" t="n">
        <v>557</v>
      </c>
      <c r="B558" s="20" t="s">
        <v>2387</v>
      </c>
      <c r="C558" s="20" t="s">
        <v>5</v>
      </c>
      <c r="D558" s="20" t="s">
        <v>404</v>
      </c>
      <c r="E558" s="20" t="s">
        <v>20</v>
      </c>
      <c r="F558" s="20" t="s">
        <v>2388</v>
      </c>
      <c r="G558" s="21" t="s">
        <v>2389</v>
      </c>
      <c r="H558" s="20" t="s">
        <v>2390</v>
      </c>
      <c r="I558" s="20"/>
      <c r="J558" s="20"/>
      <c r="K558" s="22" t="n">
        <v>5</v>
      </c>
      <c r="L558" s="23" t="n">
        <v>1</v>
      </c>
      <c r="M558" s="20" t="s">
        <v>100</v>
      </c>
      <c r="N558" s="24"/>
      <c r="O558" s="24"/>
      <c r="P558" s="20" t="s">
        <v>101</v>
      </c>
      <c r="Q558" s="20" t="s">
        <v>86</v>
      </c>
      <c r="R558" s="20" t="s">
        <v>86</v>
      </c>
      <c r="S558" s="20" t="s">
        <v>102</v>
      </c>
      <c r="T558" s="26" t="s">
        <v>103</v>
      </c>
      <c r="U558" s="20" t="s">
        <v>104</v>
      </c>
      <c r="V558" s="20" t="s">
        <v>90</v>
      </c>
      <c r="W558" s="21"/>
    </row>
    <row r="559" customFormat="false" ht="15" hidden="false" customHeight="false" outlineLevel="0" collapsed="false">
      <c r="A559" s="20" t="n">
        <v>558</v>
      </c>
      <c r="B559" s="20" t="s">
        <v>2391</v>
      </c>
      <c r="C559" s="20" t="s">
        <v>5</v>
      </c>
      <c r="D559" s="20" t="s">
        <v>2392</v>
      </c>
      <c r="E559" s="20" t="s">
        <v>20</v>
      </c>
      <c r="F559" s="20" t="s">
        <v>2386</v>
      </c>
      <c r="G559" s="21" t="s">
        <v>2392</v>
      </c>
      <c r="H559" s="20"/>
      <c r="I559" s="20"/>
      <c r="J559" s="20"/>
      <c r="K559" s="22"/>
      <c r="L559" s="23"/>
      <c r="M559" s="20" t="s">
        <v>84</v>
      </c>
      <c r="N559" s="24" t="n">
        <v>6.57812</v>
      </c>
      <c r="O559" s="24" t="n">
        <v>3.36526</v>
      </c>
      <c r="P559" s="20" t="s">
        <v>85</v>
      </c>
      <c r="Q559" s="20" t="s">
        <v>86</v>
      </c>
      <c r="R559" s="20" t="s">
        <v>86</v>
      </c>
      <c r="S559" s="20" t="s">
        <v>87</v>
      </c>
      <c r="T559" s="25" t="s">
        <v>88</v>
      </c>
      <c r="U559" s="20" t="s">
        <v>89</v>
      </c>
      <c r="V559" s="20" t="s">
        <v>90</v>
      </c>
      <c r="W559" s="21"/>
    </row>
    <row r="560" customFormat="false" ht="15" hidden="false" customHeight="false" outlineLevel="0" collapsed="false">
      <c r="A560" s="20" t="n">
        <v>559</v>
      </c>
      <c r="B560" s="20" t="s">
        <v>2393</v>
      </c>
      <c r="C560" s="20" t="s">
        <v>5</v>
      </c>
      <c r="D560" s="20" t="s">
        <v>2394</v>
      </c>
      <c r="E560" s="20" t="s">
        <v>20</v>
      </c>
      <c r="F560" s="20" t="s">
        <v>2386</v>
      </c>
      <c r="G560" s="21" t="s">
        <v>2395</v>
      </c>
      <c r="H560" s="20"/>
      <c r="I560" s="20"/>
      <c r="J560" s="20"/>
      <c r="K560" s="22" t="n">
        <v>5</v>
      </c>
      <c r="L560" s="23" t="n">
        <v>6</v>
      </c>
      <c r="M560" s="20" t="s">
        <v>84</v>
      </c>
      <c r="N560" s="24" t="n">
        <v>6.56742</v>
      </c>
      <c r="O560" s="24" t="n">
        <v>3.36703</v>
      </c>
      <c r="P560" s="20" t="s">
        <v>85</v>
      </c>
      <c r="Q560" s="20" t="s">
        <v>86</v>
      </c>
      <c r="R560" s="20" t="s">
        <v>86</v>
      </c>
      <c r="S560" s="20" t="s">
        <v>87</v>
      </c>
      <c r="T560" s="25" t="s">
        <v>88</v>
      </c>
      <c r="U560" s="20" t="s">
        <v>89</v>
      </c>
      <c r="V560" s="20" t="s">
        <v>90</v>
      </c>
      <c r="W560" s="21"/>
    </row>
    <row r="561" customFormat="false" ht="15" hidden="false" customHeight="false" outlineLevel="0" collapsed="false">
      <c r="A561" s="20" t="n">
        <v>560</v>
      </c>
      <c r="B561" s="20" t="s">
        <v>2396</v>
      </c>
      <c r="C561" s="20" t="s">
        <v>5</v>
      </c>
      <c r="D561" s="20" t="s">
        <v>2397</v>
      </c>
      <c r="E561" s="20" t="s">
        <v>20</v>
      </c>
      <c r="F561" s="20" t="s">
        <v>2386</v>
      </c>
      <c r="G561" s="21" t="s">
        <v>2397</v>
      </c>
      <c r="H561" s="20"/>
      <c r="I561" s="20"/>
      <c r="J561" s="20"/>
      <c r="K561" s="22"/>
      <c r="L561" s="23"/>
      <c r="M561" s="20" t="s">
        <v>84</v>
      </c>
      <c r="N561" s="24" t="n">
        <v>6.57355</v>
      </c>
      <c r="O561" s="24" t="n">
        <v>3.36606</v>
      </c>
      <c r="P561" s="20" t="s">
        <v>85</v>
      </c>
      <c r="Q561" s="20" t="s">
        <v>86</v>
      </c>
      <c r="R561" s="20" t="s">
        <v>86</v>
      </c>
      <c r="S561" s="20" t="s">
        <v>87</v>
      </c>
      <c r="T561" s="25" t="s">
        <v>88</v>
      </c>
      <c r="U561" s="20" t="s">
        <v>89</v>
      </c>
      <c r="V561" s="20" t="s">
        <v>90</v>
      </c>
      <c r="W561" s="21"/>
    </row>
    <row r="562" customFormat="false" ht="15" hidden="false" customHeight="false" outlineLevel="0" collapsed="false">
      <c r="A562" s="20" t="n">
        <v>561</v>
      </c>
      <c r="B562" s="20" t="s">
        <v>2398</v>
      </c>
      <c r="C562" s="20" t="s">
        <v>5</v>
      </c>
      <c r="D562" s="20" t="s">
        <v>2399</v>
      </c>
      <c r="E562" s="20" t="s">
        <v>20</v>
      </c>
      <c r="F562" s="20" t="s">
        <v>2400</v>
      </c>
      <c r="G562" s="21" t="s">
        <v>2399</v>
      </c>
      <c r="H562" s="20"/>
      <c r="I562" s="20"/>
      <c r="J562" s="20"/>
      <c r="K562" s="22" t="n">
        <v>4.9</v>
      </c>
      <c r="L562" s="23" t="n">
        <v>19</v>
      </c>
      <c r="M562" s="20" t="s">
        <v>84</v>
      </c>
      <c r="N562" s="24" t="n">
        <v>6.57586</v>
      </c>
      <c r="O562" s="24" t="n">
        <v>3.36984</v>
      </c>
      <c r="P562" s="20" t="s">
        <v>85</v>
      </c>
      <c r="Q562" s="20" t="s">
        <v>86</v>
      </c>
      <c r="R562" s="20" t="s">
        <v>86</v>
      </c>
      <c r="S562" s="20" t="s">
        <v>87</v>
      </c>
      <c r="T562" s="25" t="s">
        <v>88</v>
      </c>
      <c r="U562" s="20" t="s">
        <v>89</v>
      </c>
      <c r="V562" s="20" t="s">
        <v>90</v>
      </c>
      <c r="W562" s="21"/>
    </row>
    <row r="563" customFormat="false" ht="15" hidden="false" customHeight="false" outlineLevel="0" collapsed="false">
      <c r="A563" s="20" t="n">
        <v>562</v>
      </c>
      <c r="B563" s="20" t="s">
        <v>2401</v>
      </c>
      <c r="C563" s="20" t="s">
        <v>5</v>
      </c>
      <c r="D563" s="20" t="s">
        <v>2402</v>
      </c>
      <c r="E563" s="20" t="s">
        <v>20</v>
      </c>
      <c r="F563" s="20" t="s">
        <v>2386</v>
      </c>
      <c r="G563" s="21" t="s">
        <v>2403</v>
      </c>
      <c r="H563" s="20"/>
      <c r="I563" s="20"/>
      <c r="J563" s="20"/>
      <c r="K563" s="22" t="n">
        <v>4.8</v>
      </c>
      <c r="L563" s="23" t="n">
        <v>4</v>
      </c>
      <c r="M563" s="20" t="s">
        <v>84</v>
      </c>
      <c r="N563" s="24" t="n">
        <v>6.5738</v>
      </c>
      <c r="O563" s="24" t="n">
        <v>3.36411</v>
      </c>
      <c r="P563" s="20" t="s">
        <v>85</v>
      </c>
      <c r="Q563" s="20" t="s">
        <v>86</v>
      </c>
      <c r="R563" s="20" t="s">
        <v>86</v>
      </c>
      <c r="S563" s="20" t="s">
        <v>87</v>
      </c>
      <c r="T563" s="25" t="s">
        <v>88</v>
      </c>
      <c r="U563" s="20" t="s">
        <v>89</v>
      </c>
      <c r="V563" s="20" t="s">
        <v>90</v>
      </c>
      <c r="W563" s="21"/>
    </row>
    <row r="564" customFormat="false" ht="15" hidden="false" customHeight="false" outlineLevel="0" collapsed="false">
      <c r="A564" s="20" t="n">
        <v>563</v>
      </c>
      <c r="B564" s="20" t="s">
        <v>2404</v>
      </c>
      <c r="C564" s="20" t="s">
        <v>5</v>
      </c>
      <c r="D564" s="20" t="s">
        <v>2397</v>
      </c>
      <c r="E564" s="20" t="s">
        <v>20</v>
      </c>
      <c r="F564" s="20" t="s">
        <v>287</v>
      </c>
      <c r="G564" s="21" t="s">
        <v>2397</v>
      </c>
      <c r="H564" s="20"/>
      <c r="I564" s="20"/>
      <c r="J564" s="20"/>
      <c r="K564" s="22" t="n">
        <v>4.7</v>
      </c>
      <c r="L564" s="23" t="n">
        <v>21</v>
      </c>
      <c r="M564" s="20" t="s">
        <v>84</v>
      </c>
      <c r="N564" s="24" t="n">
        <v>6.57344</v>
      </c>
      <c r="O564" s="24" t="n">
        <v>3.36603</v>
      </c>
      <c r="P564" s="20" t="s">
        <v>85</v>
      </c>
      <c r="Q564" s="20" t="s">
        <v>86</v>
      </c>
      <c r="R564" s="20" t="s">
        <v>86</v>
      </c>
      <c r="S564" s="20" t="s">
        <v>87</v>
      </c>
      <c r="T564" s="25" t="s">
        <v>88</v>
      </c>
      <c r="U564" s="20" t="s">
        <v>89</v>
      </c>
      <c r="V564" s="20" t="s">
        <v>90</v>
      </c>
      <c r="W564" s="21"/>
    </row>
    <row r="565" customFormat="false" ht="15" hidden="false" customHeight="false" outlineLevel="0" collapsed="false">
      <c r="A565" s="20" t="n">
        <v>564</v>
      </c>
      <c r="B565" s="20" t="s">
        <v>2405</v>
      </c>
      <c r="C565" s="20" t="s">
        <v>5</v>
      </c>
      <c r="D565" s="20" t="s">
        <v>2406</v>
      </c>
      <c r="E565" s="20" t="s">
        <v>20</v>
      </c>
      <c r="F565" s="20" t="s">
        <v>2386</v>
      </c>
      <c r="G565" s="21" t="s">
        <v>2407</v>
      </c>
      <c r="H565" s="20"/>
      <c r="I565" s="20"/>
      <c r="J565" s="20"/>
      <c r="K565" s="22" t="n">
        <v>4.7</v>
      </c>
      <c r="L565" s="23" t="n">
        <v>6</v>
      </c>
      <c r="M565" s="20" t="s">
        <v>84</v>
      </c>
      <c r="N565" s="24" t="n">
        <v>6.57692</v>
      </c>
      <c r="O565" s="24" t="n">
        <v>3.37402</v>
      </c>
      <c r="P565" s="20" t="s">
        <v>85</v>
      </c>
      <c r="Q565" s="20" t="s">
        <v>86</v>
      </c>
      <c r="R565" s="20" t="s">
        <v>86</v>
      </c>
      <c r="S565" s="20" t="s">
        <v>87</v>
      </c>
      <c r="T565" s="25" t="s">
        <v>88</v>
      </c>
      <c r="U565" s="20" t="s">
        <v>89</v>
      </c>
      <c r="V565" s="20" t="s">
        <v>90</v>
      </c>
      <c r="W565" s="21"/>
    </row>
    <row r="566" customFormat="false" ht="15" hidden="false" customHeight="false" outlineLevel="0" collapsed="false">
      <c r="A566" s="20" t="n">
        <v>565</v>
      </c>
      <c r="B566" s="20" t="s">
        <v>2408</v>
      </c>
      <c r="C566" s="20" t="s">
        <v>5</v>
      </c>
      <c r="D566" s="20" t="s">
        <v>2409</v>
      </c>
      <c r="E566" s="20" t="s">
        <v>20</v>
      </c>
      <c r="F566" s="20" t="s">
        <v>2386</v>
      </c>
      <c r="G566" s="21" t="s">
        <v>2409</v>
      </c>
      <c r="H566" s="20"/>
      <c r="I566" s="20"/>
      <c r="J566" s="20"/>
      <c r="K566" s="22" t="n">
        <v>4.5</v>
      </c>
      <c r="L566" s="23" t="n">
        <v>6</v>
      </c>
      <c r="M566" s="20" t="s">
        <v>84</v>
      </c>
      <c r="N566" s="24" t="n">
        <v>6.5738</v>
      </c>
      <c r="O566" s="24" t="n">
        <v>3.35938</v>
      </c>
      <c r="P566" s="20" t="s">
        <v>85</v>
      </c>
      <c r="Q566" s="20" t="s">
        <v>86</v>
      </c>
      <c r="R566" s="20" t="s">
        <v>86</v>
      </c>
      <c r="S566" s="20" t="s">
        <v>87</v>
      </c>
      <c r="T566" s="25" t="s">
        <v>88</v>
      </c>
      <c r="U566" s="20" t="s">
        <v>89</v>
      </c>
      <c r="V566" s="20" t="s">
        <v>90</v>
      </c>
      <c r="W566" s="21"/>
    </row>
    <row r="567" customFormat="false" ht="15" hidden="false" customHeight="false" outlineLevel="0" collapsed="false">
      <c r="A567" s="20" t="n">
        <v>566</v>
      </c>
      <c r="B567" s="20" t="s">
        <v>2410</v>
      </c>
      <c r="C567" s="20" t="s">
        <v>5</v>
      </c>
      <c r="D567" s="20" t="s">
        <v>2411</v>
      </c>
      <c r="E567" s="20" t="s">
        <v>20</v>
      </c>
      <c r="F567" s="20" t="s">
        <v>2386</v>
      </c>
      <c r="G567" s="21" t="s">
        <v>2412</v>
      </c>
      <c r="H567" s="20"/>
      <c r="I567" s="20"/>
      <c r="J567" s="20"/>
      <c r="K567" s="22" t="n">
        <v>4.3</v>
      </c>
      <c r="L567" s="23" t="n">
        <v>11</v>
      </c>
      <c r="M567" s="20" t="s">
        <v>84</v>
      </c>
      <c r="N567" s="24" t="n">
        <v>6.57771</v>
      </c>
      <c r="O567" s="24" t="n">
        <v>3.36234</v>
      </c>
      <c r="P567" s="20" t="s">
        <v>85</v>
      </c>
      <c r="Q567" s="20" t="s">
        <v>86</v>
      </c>
      <c r="R567" s="20" t="s">
        <v>86</v>
      </c>
      <c r="S567" s="20" t="s">
        <v>87</v>
      </c>
      <c r="T567" s="25" t="s">
        <v>88</v>
      </c>
      <c r="U567" s="20" t="s">
        <v>89</v>
      </c>
      <c r="V567" s="20" t="s">
        <v>90</v>
      </c>
      <c r="W567" s="21"/>
    </row>
    <row r="568" customFormat="false" ht="15" hidden="false" customHeight="false" outlineLevel="0" collapsed="false">
      <c r="A568" s="20" t="n">
        <v>567</v>
      </c>
      <c r="B568" s="20" t="s">
        <v>2413</v>
      </c>
      <c r="C568" s="20" t="s">
        <v>5</v>
      </c>
      <c r="D568" s="20" t="s">
        <v>2414</v>
      </c>
      <c r="E568" s="20" t="s">
        <v>20</v>
      </c>
      <c r="F568" s="20" t="s">
        <v>2386</v>
      </c>
      <c r="G568" s="21" t="s">
        <v>2414</v>
      </c>
      <c r="H568" s="20"/>
      <c r="I568" s="20"/>
      <c r="J568" s="20"/>
      <c r="K568" s="22" t="n">
        <v>3</v>
      </c>
      <c r="L568" s="23" t="n">
        <v>3</v>
      </c>
      <c r="M568" s="20" t="s">
        <v>84</v>
      </c>
      <c r="N568" s="24" t="n">
        <v>6.57041</v>
      </c>
      <c r="O568" s="24" t="n">
        <v>3.36256</v>
      </c>
      <c r="P568" s="20" t="s">
        <v>85</v>
      </c>
      <c r="Q568" s="20" t="s">
        <v>86</v>
      </c>
      <c r="R568" s="20" t="s">
        <v>86</v>
      </c>
      <c r="S568" s="20" t="s">
        <v>87</v>
      </c>
      <c r="T568" s="25" t="s">
        <v>88</v>
      </c>
      <c r="U568" s="20" t="s">
        <v>89</v>
      </c>
      <c r="V568" s="20" t="s">
        <v>90</v>
      </c>
      <c r="W568" s="21"/>
    </row>
    <row r="569" customFormat="false" ht="15" hidden="false" customHeight="false" outlineLevel="0" collapsed="false">
      <c r="A569" s="20" t="n">
        <v>568</v>
      </c>
      <c r="B569" s="20" t="s">
        <v>2415</v>
      </c>
      <c r="C569" s="20" t="s">
        <v>5</v>
      </c>
      <c r="D569" s="20" t="s">
        <v>2416</v>
      </c>
      <c r="E569" s="20" t="s">
        <v>21</v>
      </c>
      <c r="F569" s="20" t="s">
        <v>347</v>
      </c>
      <c r="G569" s="21" t="s">
        <v>2416</v>
      </c>
      <c r="H569" s="20"/>
      <c r="I569" s="20"/>
      <c r="J569" s="20"/>
      <c r="K569" s="22" t="n">
        <v>5</v>
      </c>
      <c r="L569" s="23" t="n">
        <v>6</v>
      </c>
      <c r="M569" s="20" t="s">
        <v>84</v>
      </c>
      <c r="N569" s="24" t="n">
        <v>6.57106</v>
      </c>
      <c r="O569" s="24" t="n">
        <v>3.37171</v>
      </c>
      <c r="P569" s="20" t="s">
        <v>85</v>
      </c>
      <c r="Q569" s="20" t="s">
        <v>86</v>
      </c>
      <c r="R569" s="20" t="s">
        <v>86</v>
      </c>
      <c r="S569" s="20" t="s">
        <v>87</v>
      </c>
      <c r="T569" s="25" t="s">
        <v>88</v>
      </c>
      <c r="U569" s="20" t="s">
        <v>89</v>
      </c>
      <c r="V569" s="20" t="s">
        <v>90</v>
      </c>
      <c r="W569" s="21"/>
    </row>
    <row r="570" customFormat="false" ht="15" hidden="false" customHeight="false" outlineLevel="0" collapsed="false">
      <c r="A570" s="20" t="n">
        <v>569</v>
      </c>
      <c r="B570" s="20" t="s">
        <v>2417</v>
      </c>
      <c r="C570" s="20" t="s">
        <v>5</v>
      </c>
      <c r="D570" s="20" t="s">
        <v>2418</v>
      </c>
      <c r="E570" s="20" t="s">
        <v>21</v>
      </c>
      <c r="F570" s="20" t="s">
        <v>356</v>
      </c>
      <c r="G570" s="21" t="s">
        <v>2418</v>
      </c>
      <c r="H570" s="20"/>
      <c r="I570" s="20"/>
      <c r="J570" s="20"/>
      <c r="K570" s="22" t="n">
        <v>5</v>
      </c>
      <c r="L570" s="23" t="n">
        <v>1</v>
      </c>
      <c r="M570" s="20" t="s">
        <v>84</v>
      </c>
      <c r="N570" s="24" t="n">
        <v>6.56642</v>
      </c>
      <c r="O570" s="24" t="n">
        <v>3.36749</v>
      </c>
      <c r="P570" s="20" t="s">
        <v>85</v>
      </c>
      <c r="Q570" s="20" t="s">
        <v>86</v>
      </c>
      <c r="R570" s="20" t="s">
        <v>86</v>
      </c>
      <c r="S570" s="20" t="s">
        <v>87</v>
      </c>
      <c r="T570" s="25" t="s">
        <v>88</v>
      </c>
      <c r="U570" s="20" t="s">
        <v>89</v>
      </c>
      <c r="V570" s="20" t="s">
        <v>90</v>
      </c>
      <c r="W570" s="21"/>
    </row>
    <row r="571" customFormat="false" ht="15" hidden="false" customHeight="false" outlineLevel="0" collapsed="false">
      <c r="A571" s="20" t="n">
        <v>570</v>
      </c>
      <c r="B571" s="20" t="s">
        <v>2419</v>
      </c>
      <c r="C571" s="20" t="s">
        <v>5</v>
      </c>
      <c r="D571" s="20"/>
      <c r="E571" s="20" t="s">
        <v>21</v>
      </c>
      <c r="F571" s="20"/>
      <c r="G571" s="21"/>
      <c r="H571" s="20"/>
      <c r="I571" s="20"/>
      <c r="J571" s="20"/>
      <c r="K571" s="22" t="n">
        <v>4.9</v>
      </c>
      <c r="L571" s="23" t="n">
        <v>16</v>
      </c>
      <c r="M571" s="20" t="s">
        <v>84</v>
      </c>
      <c r="N571" s="24" t="n">
        <v>6.56642</v>
      </c>
      <c r="O571" s="24" t="n">
        <v>3.3726</v>
      </c>
      <c r="P571" s="20" t="s">
        <v>85</v>
      </c>
      <c r="Q571" s="20" t="s">
        <v>86</v>
      </c>
      <c r="R571" s="20" t="s">
        <v>86</v>
      </c>
      <c r="S571" s="20" t="s">
        <v>87</v>
      </c>
      <c r="T571" s="25" t="s">
        <v>88</v>
      </c>
      <c r="U571" s="20" t="s">
        <v>89</v>
      </c>
      <c r="V571" s="20" t="s">
        <v>90</v>
      </c>
      <c r="W571" s="21"/>
    </row>
    <row r="572" customFormat="false" ht="15" hidden="false" customHeight="false" outlineLevel="0" collapsed="false">
      <c r="A572" s="20" t="n">
        <v>571</v>
      </c>
      <c r="B572" s="20" t="s">
        <v>2420</v>
      </c>
      <c r="C572" s="20" t="s">
        <v>5</v>
      </c>
      <c r="D572" s="20" t="s">
        <v>2421</v>
      </c>
      <c r="E572" s="20" t="s">
        <v>21</v>
      </c>
      <c r="F572" s="20" t="s">
        <v>356</v>
      </c>
      <c r="G572" s="21" t="s">
        <v>2422</v>
      </c>
      <c r="H572" s="20"/>
      <c r="I572" s="20"/>
      <c r="J572" s="20"/>
      <c r="K572" s="22" t="n">
        <v>5</v>
      </c>
      <c r="L572" s="23" t="n">
        <v>6</v>
      </c>
      <c r="M572" s="20" t="s">
        <v>84</v>
      </c>
      <c r="N572" s="24" t="n">
        <v>6.57099</v>
      </c>
      <c r="O572" s="24" t="n">
        <v>3.36274</v>
      </c>
      <c r="P572" s="20" t="s">
        <v>85</v>
      </c>
      <c r="Q572" s="20" t="s">
        <v>86</v>
      </c>
      <c r="R572" s="20" t="s">
        <v>86</v>
      </c>
      <c r="S572" s="20" t="s">
        <v>87</v>
      </c>
      <c r="T572" s="25" t="s">
        <v>88</v>
      </c>
      <c r="U572" s="20" t="s">
        <v>89</v>
      </c>
      <c r="V572" s="20" t="s">
        <v>90</v>
      </c>
      <c r="W572" s="21"/>
    </row>
    <row r="573" customFormat="false" ht="15" hidden="false" customHeight="false" outlineLevel="0" collapsed="false">
      <c r="A573" s="20" t="n">
        <v>572</v>
      </c>
      <c r="B573" s="20" t="s">
        <v>2423</v>
      </c>
      <c r="C573" s="20" t="s">
        <v>5</v>
      </c>
      <c r="D573" s="20" t="s">
        <v>2424</v>
      </c>
      <c r="E573" s="20" t="s">
        <v>21</v>
      </c>
      <c r="F573" s="20" t="s">
        <v>356</v>
      </c>
      <c r="G573" s="21" t="s">
        <v>2425</v>
      </c>
      <c r="H573" s="20"/>
      <c r="I573" s="20"/>
      <c r="J573" s="20"/>
      <c r="K573" s="22"/>
      <c r="L573" s="23"/>
      <c r="M573" s="20" t="s">
        <v>84</v>
      </c>
      <c r="N573" s="24" t="n">
        <v>6.57238</v>
      </c>
      <c r="O573" s="24" t="n">
        <v>3.36237</v>
      </c>
      <c r="P573" s="20" t="s">
        <v>85</v>
      </c>
      <c r="Q573" s="20" t="s">
        <v>86</v>
      </c>
      <c r="R573" s="20" t="s">
        <v>86</v>
      </c>
      <c r="S573" s="20" t="s">
        <v>87</v>
      </c>
      <c r="T573" s="25" t="s">
        <v>88</v>
      </c>
      <c r="U573" s="20" t="s">
        <v>89</v>
      </c>
      <c r="V573" s="20" t="s">
        <v>90</v>
      </c>
      <c r="W573" s="21"/>
    </row>
    <row r="574" customFormat="false" ht="15" hidden="false" customHeight="false" outlineLevel="0" collapsed="false">
      <c r="A574" s="20" t="n">
        <v>573</v>
      </c>
      <c r="B574" s="20" t="s">
        <v>2426</v>
      </c>
      <c r="C574" s="20" t="s">
        <v>5</v>
      </c>
      <c r="D574" s="20" t="s">
        <v>2427</v>
      </c>
      <c r="E574" s="20" t="s">
        <v>21</v>
      </c>
      <c r="F574" s="20" t="s">
        <v>347</v>
      </c>
      <c r="G574" s="21" t="s">
        <v>2428</v>
      </c>
      <c r="H574" s="20"/>
      <c r="I574" s="20"/>
      <c r="J574" s="20"/>
      <c r="K574" s="22"/>
      <c r="L574" s="23"/>
      <c r="M574" s="20" t="s">
        <v>84</v>
      </c>
      <c r="N574" s="24" t="n">
        <v>6.57537</v>
      </c>
      <c r="O574" s="24" t="n">
        <v>3.36135</v>
      </c>
      <c r="P574" s="20" t="s">
        <v>85</v>
      </c>
      <c r="Q574" s="20" t="s">
        <v>86</v>
      </c>
      <c r="R574" s="20" t="s">
        <v>86</v>
      </c>
      <c r="S574" s="20" t="s">
        <v>87</v>
      </c>
      <c r="T574" s="25" t="s">
        <v>88</v>
      </c>
      <c r="U574" s="20" t="s">
        <v>89</v>
      </c>
      <c r="V574" s="20" t="s">
        <v>90</v>
      </c>
      <c r="W574" s="21"/>
    </row>
    <row r="575" customFormat="false" ht="15" hidden="false" customHeight="false" outlineLevel="0" collapsed="false">
      <c r="A575" s="20" t="n">
        <v>574</v>
      </c>
      <c r="B575" s="20" t="s">
        <v>2429</v>
      </c>
      <c r="C575" s="20" t="s">
        <v>5</v>
      </c>
      <c r="D575" s="20" t="s">
        <v>2430</v>
      </c>
      <c r="E575" s="20" t="s">
        <v>21</v>
      </c>
      <c r="F575" s="20" t="s">
        <v>347</v>
      </c>
      <c r="G575" s="21" t="s">
        <v>2430</v>
      </c>
      <c r="H575" s="20"/>
      <c r="I575" s="20"/>
      <c r="J575" s="20"/>
      <c r="K575" s="22"/>
      <c r="L575" s="23"/>
      <c r="M575" s="20" t="s">
        <v>84</v>
      </c>
      <c r="N575" s="24" t="n">
        <v>6.56891</v>
      </c>
      <c r="O575" s="24" t="n">
        <v>3.37135</v>
      </c>
      <c r="P575" s="20" t="s">
        <v>85</v>
      </c>
      <c r="Q575" s="20" t="s">
        <v>86</v>
      </c>
      <c r="R575" s="20" t="s">
        <v>86</v>
      </c>
      <c r="S575" s="20" t="s">
        <v>87</v>
      </c>
      <c r="T575" s="25" t="s">
        <v>88</v>
      </c>
      <c r="U575" s="20" t="s">
        <v>89</v>
      </c>
      <c r="V575" s="20" t="s">
        <v>90</v>
      </c>
      <c r="W575" s="21"/>
    </row>
    <row r="576" customFormat="false" ht="15" hidden="false" customHeight="false" outlineLevel="0" collapsed="false">
      <c r="A576" s="20" t="n">
        <v>575</v>
      </c>
      <c r="B576" s="20" t="s">
        <v>2431</v>
      </c>
      <c r="C576" s="20" t="s">
        <v>5</v>
      </c>
      <c r="D576" s="20" t="s">
        <v>2432</v>
      </c>
      <c r="E576" s="20" t="s">
        <v>21</v>
      </c>
      <c r="F576" s="20" t="s">
        <v>347</v>
      </c>
      <c r="G576" s="21" t="s">
        <v>2432</v>
      </c>
      <c r="H576" s="20"/>
      <c r="I576" s="20"/>
      <c r="J576" s="20"/>
      <c r="K576" s="22"/>
      <c r="L576" s="23"/>
      <c r="M576" s="20" t="s">
        <v>84</v>
      </c>
      <c r="N576" s="24" t="n">
        <v>6.56867</v>
      </c>
      <c r="O576" s="24" t="n">
        <v>3.37031</v>
      </c>
      <c r="P576" s="20" t="s">
        <v>85</v>
      </c>
      <c r="Q576" s="20" t="s">
        <v>86</v>
      </c>
      <c r="R576" s="20" t="s">
        <v>86</v>
      </c>
      <c r="S576" s="20" t="s">
        <v>87</v>
      </c>
      <c r="T576" s="25" t="s">
        <v>88</v>
      </c>
      <c r="U576" s="20" t="s">
        <v>89</v>
      </c>
      <c r="V576" s="20" t="s">
        <v>90</v>
      </c>
      <c r="W576" s="21"/>
    </row>
    <row r="577" customFormat="false" ht="15" hidden="false" customHeight="false" outlineLevel="0" collapsed="false">
      <c r="A577" s="20" t="n">
        <v>576</v>
      </c>
      <c r="B577" s="20" t="s">
        <v>2433</v>
      </c>
      <c r="C577" s="20" t="s">
        <v>5</v>
      </c>
      <c r="D577" s="20" t="s">
        <v>2434</v>
      </c>
      <c r="E577" s="20" t="s">
        <v>21</v>
      </c>
      <c r="F577" s="20" t="s">
        <v>347</v>
      </c>
      <c r="G577" s="21" t="s">
        <v>2434</v>
      </c>
      <c r="H577" s="20"/>
      <c r="I577" s="20"/>
      <c r="J577" s="20"/>
      <c r="K577" s="22"/>
      <c r="L577" s="23"/>
      <c r="M577" s="20" t="s">
        <v>84</v>
      </c>
      <c r="N577" s="24" t="n">
        <v>6.57245</v>
      </c>
      <c r="O577" s="24" t="n">
        <v>3.37456</v>
      </c>
      <c r="P577" s="20" t="s">
        <v>85</v>
      </c>
      <c r="Q577" s="20" t="s">
        <v>86</v>
      </c>
      <c r="R577" s="20" t="s">
        <v>86</v>
      </c>
      <c r="S577" s="20" t="s">
        <v>87</v>
      </c>
      <c r="T577" s="25" t="s">
        <v>88</v>
      </c>
      <c r="U577" s="20" t="s">
        <v>89</v>
      </c>
      <c r="V577" s="20" t="s">
        <v>90</v>
      </c>
      <c r="W577" s="21"/>
    </row>
    <row r="578" customFormat="false" ht="15" hidden="false" customHeight="false" outlineLevel="0" collapsed="false">
      <c r="A578" s="20" t="n">
        <v>577</v>
      </c>
      <c r="B578" s="20" t="s">
        <v>2435</v>
      </c>
      <c r="C578" s="20" t="s">
        <v>5</v>
      </c>
      <c r="D578" s="20" t="s">
        <v>2296</v>
      </c>
      <c r="E578" s="20" t="s">
        <v>21</v>
      </c>
      <c r="F578" s="20" t="s">
        <v>433</v>
      </c>
      <c r="G578" s="21" t="s">
        <v>2334</v>
      </c>
      <c r="H578" s="20"/>
      <c r="I578" s="20"/>
      <c r="J578" s="20"/>
      <c r="K578" s="22"/>
      <c r="L578" s="23"/>
      <c r="M578" s="20" t="s">
        <v>84</v>
      </c>
      <c r="N578" s="24" t="n">
        <v>6.56733</v>
      </c>
      <c r="O578" s="24" t="n">
        <v>3.36718</v>
      </c>
      <c r="P578" s="20" t="s">
        <v>85</v>
      </c>
      <c r="Q578" s="20" t="s">
        <v>86</v>
      </c>
      <c r="R578" s="20" t="s">
        <v>86</v>
      </c>
      <c r="S578" s="20" t="s">
        <v>87</v>
      </c>
      <c r="T578" s="25" t="s">
        <v>88</v>
      </c>
      <c r="U578" s="20" t="s">
        <v>89</v>
      </c>
      <c r="V578" s="20" t="s">
        <v>90</v>
      </c>
      <c r="W578" s="21"/>
    </row>
    <row r="579" customFormat="false" ht="15" hidden="false" customHeight="false" outlineLevel="0" collapsed="false">
      <c r="A579" s="20" t="n">
        <v>578</v>
      </c>
      <c r="B579" s="20" t="s">
        <v>2436</v>
      </c>
      <c r="C579" s="20" t="s">
        <v>5</v>
      </c>
      <c r="D579" s="20" t="s">
        <v>2437</v>
      </c>
      <c r="E579" s="20" t="s">
        <v>21</v>
      </c>
      <c r="F579" s="20" t="s">
        <v>446</v>
      </c>
      <c r="G579" s="21" t="s">
        <v>2437</v>
      </c>
      <c r="H579" s="20"/>
      <c r="I579" s="20"/>
      <c r="J579" s="20"/>
      <c r="K579" s="22" t="n">
        <v>5</v>
      </c>
      <c r="L579" s="23" t="n">
        <v>19</v>
      </c>
      <c r="M579" s="20" t="s">
        <v>84</v>
      </c>
      <c r="N579" s="24" t="n">
        <v>6.57489</v>
      </c>
      <c r="O579" s="24" t="n">
        <v>3.36897</v>
      </c>
      <c r="P579" s="20" t="s">
        <v>85</v>
      </c>
      <c r="Q579" s="20" t="s">
        <v>86</v>
      </c>
      <c r="R579" s="20" t="s">
        <v>86</v>
      </c>
      <c r="S579" s="20" t="s">
        <v>87</v>
      </c>
      <c r="T579" s="25" t="s">
        <v>88</v>
      </c>
      <c r="U579" s="20" t="s">
        <v>89</v>
      </c>
      <c r="V579" s="20" t="s">
        <v>90</v>
      </c>
      <c r="W579" s="21"/>
    </row>
    <row r="580" customFormat="false" ht="15" hidden="false" customHeight="false" outlineLevel="0" collapsed="false">
      <c r="A580" s="20" t="n">
        <v>579</v>
      </c>
      <c r="B580" s="20" t="s">
        <v>2438</v>
      </c>
      <c r="C580" s="20" t="s">
        <v>5</v>
      </c>
      <c r="D580" s="20" t="s">
        <v>2439</v>
      </c>
      <c r="E580" s="20" t="s">
        <v>21</v>
      </c>
      <c r="F580" s="20" t="s">
        <v>347</v>
      </c>
      <c r="G580" s="21" t="s">
        <v>2439</v>
      </c>
      <c r="H580" s="20"/>
      <c r="I580" s="20"/>
      <c r="J580" s="20"/>
      <c r="K580" s="22"/>
      <c r="L580" s="23"/>
      <c r="M580" s="20" t="s">
        <v>84</v>
      </c>
      <c r="N580" s="24" t="n">
        <v>6.57717</v>
      </c>
      <c r="O580" s="24" t="n">
        <v>3.36551</v>
      </c>
      <c r="P580" s="20" t="s">
        <v>85</v>
      </c>
      <c r="Q580" s="20" t="s">
        <v>86</v>
      </c>
      <c r="R580" s="20" t="s">
        <v>86</v>
      </c>
      <c r="S580" s="20" t="s">
        <v>87</v>
      </c>
      <c r="T580" s="25" t="s">
        <v>88</v>
      </c>
      <c r="U580" s="20" t="s">
        <v>89</v>
      </c>
      <c r="V580" s="20" t="s">
        <v>90</v>
      </c>
      <c r="W580" s="21"/>
    </row>
    <row r="581" customFormat="false" ht="15" hidden="false" customHeight="false" outlineLevel="0" collapsed="false">
      <c r="A581" s="20" t="n">
        <v>580</v>
      </c>
      <c r="B581" s="20" t="s">
        <v>2440</v>
      </c>
      <c r="C581" s="20" t="s">
        <v>5</v>
      </c>
      <c r="D581" s="20" t="s">
        <v>2441</v>
      </c>
      <c r="E581" s="20" t="s">
        <v>21</v>
      </c>
      <c r="F581" s="20" t="s">
        <v>356</v>
      </c>
      <c r="G581" s="21" t="s">
        <v>2441</v>
      </c>
      <c r="H581" s="20"/>
      <c r="I581" s="20"/>
      <c r="J581" s="20"/>
      <c r="K581" s="22" t="n">
        <v>3</v>
      </c>
      <c r="L581" s="23" t="n">
        <v>1</v>
      </c>
      <c r="M581" s="20" t="s">
        <v>84</v>
      </c>
      <c r="N581" s="24" t="n">
        <v>6.57479</v>
      </c>
      <c r="O581" s="24" t="n">
        <v>3.36778</v>
      </c>
      <c r="P581" s="20" t="s">
        <v>85</v>
      </c>
      <c r="Q581" s="20" t="s">
        <v>86</v>
      </c>
      <c r="R581" s="20" t="s">
        <v>86</v>
      </c>
      <c r="S581" s="20" t="s">
        <v>87</v>
      </c>
      <c r="T581" s="25" t="s">
        <v>88</v>
      </c>
      <c r="U581" s="20" t="s">
        <v>89</v>
      </c>
      <c r="V581" s="20" t="s">
        <v>90</v>
      </c>
      <c r="W581" s="21"/>
    </row>
    <row r="582" customFormat="false" ht="15" hidden="false" customHeight="false" outlineLevel="0" collapsed="false">
      <c r="A582" s="20" t="n">
        <v>581</v>
      </c>
      <c r="B582" s="20" t="s">
        <v>2442</v>
      </c>
      <c r="C582" s="20" t="s">
        <v>5</v>
      </c>
      <c r="D582" s="20" t="s">
        <v>2443</v>
      </c>
      <c r="E582" s="20" t="s">
        <v>21</v>
      </c>
      <c r="F582" s="20" t="s">
        <v>347</v>
      </c>
      <c r="G582" s="21" t="s">
        <v>2443</v>
      </c>
      <c r="H582" s="20"/>
      <c r="I582" s="20"/>
      <c r="J582" s="20"/>
      <c r="K582" s="22"/>
      <c r="L582" s="23"/>
      <c r="M582" s="20" t="s">
        <v>84</v>
      </c>
      <c r="N582" s="24" t="n">
        <v>6.56989</v>
      </c>
      <c r="O582" s="24" t="n">
        <v>3.37344</v>
      </c>
      <c r="P582" s="20" t="s">
        <v>85</v>
      </c>
      <c r="Q582" s="20" t="s">
        <v>86</v>
      </c>
      <c r="R582" s="20" t="s">
        <v>86</v>
      </c>
      <c r="S582" s="20" t="s">
        <v>87</v>
      </c>
      <c r="T582" s="25" t="s">
        <v>88</v>
      </c>
      <c r="U582" s="20" t="s">
        <v>89</v>
      </c>
      <c r="V582" s="20" t="s">
        <v>90</v>
      </c>
      <c r="W582" s="21"/>
    </row>
    <row r="583" customFormat="false" ht="15" hidden="false" customHeight="false" outlineLevel="0" collapsed="false">
      <c r="A583" s="20" t="n">
        <v>582</v>
      </c>
      <c r="B583" s="20" t="s">
        <v>2444</v>
      </c>
      <c r="C583" s="20" t="s">
        <v>5</v>
      </c>
      <c r="D583" s="20" t="s">
        <v>2445</v>
      </c>
      <c r="E583" s="20" t="s">
        <v>21</v>
      </c>
      <c r="F583" s="20" t="s">
        <v>347</v>
      </c>
      <c r="G583" s="21" t="s">
        <v>2445</v>
      </c>
      <c r="H583" s="20"/>
      <c r="I583" s="20"/>
      <c r="J583" s="20"/>
      <c r="K583" s="22"/>
      <c r="L583" s="23"/>
      <c r="M583" s="20" t="s">
        <v>84</v>
      </c>
      <c r="N583" s="24" t="n">
        <v>6.57402</v>
      </c>
      <c r="O583" s="24" t="n">
        <v>3.37154</v>
      </c>
      <c r="P583" s="20" t="s">
        <v>85</v>
      </c>
      <c r="Q583" s="20" t="s">
        <v>86</v>
      </c>
      <c r="R583" s="20" t="s">
        <v>86</v>
      </c>
      <c r="S583" s="20" t="s">
        <v>87</v>
      </c>
      <c r="T583" s="25" t="s">
        <v>88</v>
      </c>
      <c r="U583" s="20" t="s">
        <v>89</v>
      </c>
      <c r="V583" s="20" t="s">
        <v>90</v>
      </c>
      <c r="W583" s="21"/>
    </row>
    <row r="584" customFormat="false" ht="15" hidden="false" customHeight="false" outlineLevel="0" collapsed="false">
      <c r="A584" s="20" t="n">
        <v>583</v>
      </c>
      <c r="B584" s="20" t="s">
        <v>2446</v>
      </c>
      <c r="C584" s="20" t="s">
        <v>5</v>
      </c>
      <c r="D584" s="20" t="s">
        <v>2447</v>
      </c>
      <c r="E584" s="20" t="s">
        <v>21</v>
      </c>
      <c r="F584" s="20" t="s">
        <v>347</v>
      </c>
      <c r="G584" s="21" t="s">
        <v>2447</v>
      </c>
      <c r="H584" s="20"/>
      <c r="I584" s="20"/>
      <c r="J584" s="20"/>
      <c r="K584" s="22" t="n">
        <v>5</v>
      </c>
      <c r="L584" s="23" t="n">
        <v>1</v>
      </c>
      <c r="M584" s="20" t="s">
        <v>84</v>
      </c>
      <c r="N584" s="24" t="n">
        <v>6.57123</v>
      </c>
      <c r="O584" s="24" t="n">
        <v>3.37102</v>
      </c>
      <c r="P584" s="20" t="s">
        <v>85</v>
      </c>
      <c r="Q584" s="20" t="s">
        <v>86</v>
      </c>
      <c r="R584" s="20" t="s">
        <v>86</v>
      </c>
      <c r="S584" s="20" t="s">
        <v>87</v>
      </c>
      <c r="T584" s="25" t="s">
        <v>88</v>
      </c>
      <c r="U584" s="20" t="s">
        <v>89</v>
      </c>
      <c r="V584" s="20" t="s">
        <v>90</v>
      </c>
      <c r="W584" s="21"/>
    </row>
    <row r="585" customFormat="false" ht="15" hidden="false" customHeight="false" outlineLevel="0" collapsed="false">
      <c r="A585" s="20" t="n">
        <v>584</v>
      </c>
      <c r="B585" s="20" t="s">
        <v>2448</v>
      </c>
      <c r="C585" s="20" t="s">
        <v>5</v>
      </c>
      <c r="D585" s="20" t="s">
        <v>2449</v>
      </c>
      <c r="E585" s="20" t="s">
        <v>21</v>
      </c>
      <c r="F585" s="20" t="s">
        <v>347</v>
      </c>
      <c r="G585" s="21" t="s">
        <v>2449</v>
      </c>
      <c r="H585" s="20"/>
      <c r="I585" s="20"/>
      <c r="J585" s="20"/>
      <c r="K585" s="22"/>
      <c r="L585" s="23"/>
      <c r="M585" s="20" t="s">
        <v>84</v>
      </c>
      <c r="N585" s="24" t="n">
        <v>6.5775</v>
      </c>
      <c r="O585" s="24" t="n">
        <v>3.36648</v>
      </c>
      <c r="P585" s="20" t="s">
        <v>85</v>
      </c>
      <c r="Q585" s="20" t="s">
        <v>86</v>
      </c>
      <c r="R585" s="20" t="s">
        <v>86</v>
      </c>
      <c r="S585" s="20" t="s">
        <v>87</v>
      </c>
      <c r="T585" s="25" t="s">
        <v>88</v>
      </c>
      <c r="U585" s="20" t="s">
        <v>89</v>
      </c>
      <c r="V585" s="20" t="s">
        <v>90</v>
      </c>
      <c r="W585" s="21"/>
    </row>
    <row r="586" customFormat="false" ht="15" hidden="false" customHeight="false" outlineLevel="0" collapsed="false">
      <c r="A586" s="20" t="n">
        <v>585</v>
      </c>
      <c r="B586" s="20" t="s">
        <v>2450</v>
      </c>
      <c r="C586" s="20" t="s">
        <v>5</v>
      </c>
      <c r="D586" s="20" t="s">
        <v>2451</v>
      </c>
      <c r="E586" s="20" t="s">
        <v>21</v>
      </c>
      <c r="F586" s="20" t="s">
        <v>347</v>
      </c>
      <c r="G586" s="21" t="s">
        <v>2451</v>
      </c>
      <c r="H586" s="20"/>
      <c r="I586" s="20"/>
      <c r="J586" s="20"/>
      <c r="K586" s="22" t="n">
        <v>5</v>
      </c>
      <c r="L586" s="23" t="n">
        <v>1</v>
      </c>
      <c r="M586" s="20" t="s">
        <v>84</v>
      </c>
      <c r="N586" s="24" t="n">
        <v>6.57549</v>
      </c>
      <c r="O586" s="24" t="n">
        <v>3.37423</v>
      </c>
      <c r="P586" s="20" t="s">
        <v>85</v>
      </c>
      <c r="Q586" s="20" t="s">
        <v>86</v>
      </c>
      <c r="R586" s="20" t="s">
        <v>86</v>
      </c>
      <c r="S586" s="20" t="s">
        <v>87</v>
      </c>
      <c r="T586" s="25" t="s">
        <v>88</v>
      </c>
      <c r="U586" s="20" t="s">
        <v>89</v>
      </c>
      <c r="V586" s="20" t="s">
        <v>90</v>
      </c>
      <c r="W586" s="21"/>
    </row>
    <row r="587" customFormat="false" ht="15" hidden="false" customHeight="false" outlineLevel="0" collapsed="false">
      <c r="A587" s="20" t="n">
        <v>586</v>
      </c>
      <c r="B587" s="20" t="s">
        <v>2452</v>
      </c>
      <c r="C587" s="20" t="s">
        <v>5</v>
      </c>
      <c r="D587" s="20" t="s">
        <v>2453</v>
      </c>
      <c r="E587" s="20" t="s">
        <v>21</v>
      </c>
      <c r="F587" s="20" t="s">
        <v>347</v>
      </c>
      <c r="G587" s="21" t="s">
        <v>2454</v>
      </c>
      <c r="H587" s="20"/>
      <c r="I587" s="20"/>
      <c r="J587" s="20"/>
      <c r="K587" s="22"/>
      <c r="L587" s="23"/>
      <c r="M587" s="20" t="s">
        <v>84</v>
      </c>
      <c r="N587" s="24" t="n">
        <v>6.56947</v>
      </c>
      <c r="O587" s="24" t="n">
        <v>3.37614</v>
      </c>
      <c r="P587" s="20" t="s">
        <v>85</v>
      </c>
      <c r="Q587" s="20" t="s">
        <v>86</v>
      </c>
      <c r="R587" s="20" t="s">
        <v>86</v>
      </c>
      <c r="S587" s="20" t="s">
        <v>87</v>
      </c>
      <c r="T587" s="25" t="s">
        <v>88</v>
      </c>
      <c r="U587" s="20" t="s">
        <v>89</v>
      </c>
      <c r="V587" s="20" t="s">
        <v>90</v>
      </c>
      <c r="W587" s="21"/>
    </row>
    <row r="588" customFormat="false" ht="15" hidden="false" customHeight="false" outlineLevel="0" collapsed="false">
      <c r="A588" s="20" t="n">
        <v>587</v>
      </c>
      <c r="B588" s="20" t="s">
        <v>2455</v>
      </c>
      <c r="C588" s="20" t="s">
        <v>5</v>
      </c>
      <c r="D588" s="20" t="s">
        <v>2456</v>
      </c>
      <c r="E588" s="20" t="s">
        <v>21</v>
      </c>
      <c r="F588" s="20" t="s">
        <v>446</v>
      </c>
      <c r="G588" s="21" t="s">
        <v>2456</v>
      </c>
      <c r="H588" s="20"/>
      <c r="I588" s="20"/>
      <c r="J588" s="20"/>
      <c r="K588" s="22" t="n">
        <v>4.9</v>
      </c>
      <c r="L588" s="23" t="n">
        <v>7</v>
      </c>
      <c r="M588" s="20" t="s">
        <v>84</v>
      </c>
      <c r="N588" s="24" t="n">
        <v>6.56919</v>
      </c>
      <c r="O588" s="24" t="n">
        <v>3.36261</v>
      </c>
      <c r="P588" s="20" t="s">
        <v>85</v>
      </c>
      <c r="Q588" s="20" t="s">
        <v>86</v>
      </c>
      <c r="R588" s="20" t="s">
        <v>86</v>
      </c>
      <c r="S588" s="20" t="s">
        <v>87</v>
      </c>
      <c r="T588" s="25" t="s">
        <v>88</v>
      </c>
      <c r="U588" s="20" t="s">
        <v>89</v>
      </c>
      <c r="V588" s="20" t="s">
        <v>90</v>
      </c>
      <c r="W588" s="21"/>
    </row>
    <row r="589" customFormat="false" ht="15" hidden="false" customHeight="false" outlineLevel="0" collapsed="false">
      <c r="A589" s="20" t="n">
        <v>588</v>
      </c>
      <c r="B589" s="20" t="s">
        <v>2457</v>
      </c>
      <c r="C589" s="20" t="s">
        <v>5</v>
      </c>
      <c r="D589" s="20" t="s">
        <v>2458</v>
      </c>
      <c r="E589" s="20" t="s">
        <v>21</v>
      </c>
      <c r="F589" s="20" t="s">
        <v>347</v>
      </c>
      <c r="G589" s="21" t="s">
        <v>2459</v>
      </c>
      <c r="H589" s="20"/>
      <c r="I589" s="20"/>
      <c r="J589" s="20"/>
      <c r="K589" s="22"/>
      <c r="L589" s="23"/>
      <c r="M589" s="20" t="s">
        <v>84</v>
      </c>
      <c r="N589" s="24" t="n">
        <v>6.57125</v>
      </c>
      <c r="O589" s="24" t="n">
        <v>3.36273</v>
      </c>
      <c r="P589" s="20" t="s">
        <v>85</v>
      </c>
      <c r="Q589" s="20" t="s">
        <v>86</v>
      </c>
      <c r="R589" s="20" t="s">
        <v>86</v>
      </c>
      <c r="S589" s="20" t="s">
        <v>87</v>
      </c>
      <c r="T589" s="25" t="s">
        <v>88</v>
      </c>
      <c r="U589" s="20" t="s">
        <v>89</v>
      </c>
      <c r="V589" s="20" t="s">
        <v>90</v>
      </c>
      <c r="W589" s="21"/>
    </row>
    <row r="590" customFormat="false" ht="15" hidden="false" customHeight="false" outlineLevel="0" collapsed="false">
      <c r="A590" s="20" t="n">
        <v>589</v>
      </c>
      <c r="B590" s="20" t="s">
        <v>2460</v>
      </c>
      <c r="C590" s="20" t="s">
        <v>5</v>
      </c>
      <c r="D590" s="20" t="s">
        <v>2461</v>
      </c>
      <c r="E590" s="20" t="s">
        <v>21</v>
      </c>
      <c r="F590" s="20" t="s">
        <v>347</v>
      </c>
      <c r="G590" s="21" t="s">
        <v>2462</v>
      </c>
      <c r="H590" s="20"/>
      <c r="I590" s="20"/>
      <c r="J590" s="20"/>
      <c r="K590" s="22"/>
      <c r="L590" s="23"/>
      <c r="M590" s="20" t="s">
        <v>84</v>
      </c>
      <c r="N590" s="24" t="n">
        <v>6.57642</v>
      </c>
      <c r="O590" s="24" t="n">
        <v>3.36534</v>
      </c>
      <c r="P590" s="20" t="s">
        <v>85</v>
      </c>
      <c r="Q590" s="20" t="s">
        <v>86</v>
      </c>
      <c r="R590" s="20" t="s">
        <v>86</v>
      </c>
      <c r="S590" s="20" t="s">
        <v>87</v>
      </c>
      <c r="T590" s="25" t="s">
        <v>88</v>
      </c>
      <c r="U590" s="20" t="s">
        <v>89</v>
      </c>
      <c r="V590" s="20" t="s">
        <v>90</v>
      </c>
      <c r="W590" s="21"/>
    </row>
    <row r="591" customFormat="false" ht="15" hidden="false" customHeight="false" outlineLevel="0" collapsed="false">
      <c r="A591" s="20" t="n">
        <v>590</v>
      </c>
      <c r="B591" s="20" t="s">
        <v>2463</v>
      </c>
      <c r="C591" s="20" t="s">
        <v>5</v>
      </c>
      <c r="D591" s="20" t="s">
        <v>2464</v>
      </c>
      <c r="E591" s="20" t="s">
        <v>21</v>
      </c>
      <c r="F591" s="20" t="s">
        <v>347</v>
      </c>
      <c r="G591" s="21" t="s">
        <v>2465</v>
      </c>
      <c r="H591" s="20"/>
      <c r="I591" s="20"/>
      <c r="J591" s="20"/>
      <c r="K591" s="22" t="n">
        <v>5</v>
      </c>
      <c r="L591" s="23" t="n">
        <v>5</v>
      </c>
      <c r="M591" s="20" t="s">
        <v>84</v>
      </c>
      <c r="N591" s="24" t="n">
        <v>6.57007</v>
      </c>
      <c r="O591" s="24" t="n">
        <v>3.37575</v>
      </c>
      <c r="P591" s="20" t="s">
        <v>85</v>
      </c>
      <c r="Q591" s="20" t="s">
        <v>86</v>
      </c>
      <c r="R591" s="20" t="s">
        <v>86</v>
      </c>
      <c r="S591" s="20" t="s">
        <v>87</v>
      </c>
      <c r="T591" s="25" t="s">
        <v>88</v>
      </c>
      <c r="U591" s="20" t="s">
        <v>89</v>
      </c>
      <c r="V591" s="20" t="s">
        <v>90</v>
      </c>
      <c r="W591" s="21"/>
    </row>
    <row r="592" customFormat="false" ht="15" hidden="false" customHeight="false" outlineLevel="0" collapsed="false">
      <c r="A592" s="20" t="n">
        <v>591</v>
      </c>
      <c r="B592" s="20" t="s">
        <v>2466</v>
      </c>
      <c r="C592" s="20" t="s">
        <v>5</v>
      </c>
      <c r="D592" s="20" t="s">
        <v>2302</v>
      </c>
      <c r="E592" s="20" t="s">
        <v>21</v>
      </c>
      <c r="F592" s="20" t="s">
        <v>2467</v>
      </c>
      <c r="G592" s="21" t="s">
        <v>2468</v>
      </c>
      <c r="H592" s="20"/>
      <c r="I592" s="20"/>
      <c r="J592" s="20"/>
      <c r="K592" s="22" t="n">
        <v>5</v>
      </c>
      <c r="L592" s="23" t="n">
        <v>41</v>
      </c>
      <c r="M592" s="20" t="s">
        <v>84</v>
      </c>
      <c r="N592" s="24" t="n">
        <v>6.56557</v>
      </c>
      <c r="O592" s="24" t="n">
        <v>3.3661</v>
      </c>
      <c r="P592" s="20" t="s">
        <v>85</v>
      </c>
      <c r="Q592" s="20" t="s">
        <v>86</v>
      </c>
      <c r="R592" s="20" t="s">
        <v>86</v>
      </c>
      <c r="S592" s="20" t="s">
        <v>87</v>
      </c>
      <c r="T592" s="25" t="s">
        <v>88</v>
      </c>
      <c r="U592" s="20" t="s">
        <v>89</v>
      </c>
      <c r="V592" s="20" t="s">
        <v>90</v>
      </c>
      <c r="W592" s="21"/>
    </row>
    <row r="593" customFormat="false" ht="15" hidden="false" customHeight="false" outlineLevel="0" collapsed="false">
      <c r="A593" s="20" t="n">
        <v>592</v>
      </c>
      <c r="B593" s="20" t="s">
        <v>2469</v>
      </c>
      <c r="C593" s="20" t="s">
        <v>5</v>
      </c>
      <c r="D593" s="20" t="s">
        <v>2470</v>
      </c>
      <c r="E593" s="20" t="s">
        <v>21</v>
      </c>
      <c r="F593" s="20" t="s">
        <v>433</v>
      </c>
      <c r="G593" s="21" t="s">
        <v>2471</v>
      </c>
      <c r="H593" s="20"/>
      <c r="I593" s="20"/>
      <c r="J593" s="20"/>
      <c r="K593" s="22" t="n">
        <v>3.8</v>
      </c>
      <c r="L593" s="23" t="n">
        <v>5</v>
      </c>
      <c r="M593" s="20" t="s">
        <v>84</v>
      </c>
      <c r="N593" s="24" t="n">
        <v>6.56607</v>
      </c>
      <c r="O593" s="24" t="n">
        <v>3.37756</v>
      </c>
      <c r="P593" s="20" t="s">
        <v>85</v>
      </c>
      <c r="Q593" s="20" t="s">
        <v>86</v>
      </c>
      <c r="R593" s="20" t="s">
        <v>86</v>
      </c>
      <c r="S593" s="20" t="s">
        <v>87</v>
      </c>
      <c r="T593" s="25" t="s">
        <v>88</v>
      </c>
      <c r="U593" s="20" t="s">
        <v>89</v>
      </c>
      <c r="V593" s="20" t="s">
        <v>90</v>
      </c>
      <c r="W593" s="21"/>
    </row>
    <row r="594" customFormat="false" ht="15" hidden="false" customHeight="false" outlineLevel="0" collapsed="false">
      <c r="A594" s="20" t="n">
        <v>593</v>
      </c>
      <c r="B594" s="20" t="s">
        <v>2472</v>
      </c>
      <c r="C594" s="20" t="s">
        <v>5</v>
      </c>
      <c r="D594" s="20" t="s">
        <v>2473</v>
      </c>
      <c r="E594" s="20" t="s">
        <v>21</v>
      </c>
      <c r="F594" s="20" t="s">
        <v>347</v>
      </c>
      <c r="G594" s="21" t="s">
        <v>2473</v>
      </c>
      <c r="H594" s="20"/>
      <c r="I594" s="20"/>
      <c r="J594" s="20"/>
      <c r="K594" s="22"/>
      <c r="L594" s="23"/>
      <c r="M594" s="20" t="s">
        <v>84</v>
      </c>
      <c r="N594" s="24" t="n">
        <v>6.57153</v>
      </c>
      <c r="O594" s="24" t="n">
        <v>3.36331</v>
      </c>
      <c r="P594" s="20" t="s">
        <v>85</v>
      </c>
      <c r="Q594" s="20" t="s">
        <v>86</v>
      </c>
      <c r="R594" s="20" t="s">
        <v>86</v>
      </c>
      <c r="S594" s="20" t="s">
        <v>87</v>
      </c>
      <c r="T594" s="25" t="s">
        <v>88</v>
      </c>
      <c r="U594" s="20" t="s">
        <v>89</v>
      </c>
      <c r="V594" s="20" t="s">
        <v>90</v>
      </c>
      <c r="W594" s="21"/>
    </row>
    <row r="595" customFormat="false" ht="15" hidden="false" customHeight="false" outlineLevel="0" collapsed="false">
      <c r="A595" s="20" t="n">
        <v>594</v>
      </c>
      <c r="B595" s="20" t="s">
        <v>2474</v>
      </c>
      <c r="C595" s="20" t="s">
        <v>5</v>
      </c>
      <c r="D595" s="20" t="s">
        <v>2475</v>
      </c>
      <c r="E595" s="20" t="s">
        <v>21</v>
      </c>
      <c r="F595" s="20" t="s">
        <v>347</v>
      </c>
      <c r="G595" s="21" t="s">
        <v>2476</v>
      </c>
      <c r="H595" s="20"/>
      <c r="I595" s="20"/>
      <c r="J595" s="20"/>
      <c r="K595" s="22" t="n">
        <v>4.7</v>
      </c>
      <c r="L595" s="23" t="n">
        <v>26</v>
      </c>
      <c r="M595" s="20" t="s">
        <v>84</v>
      </c>
      <c r="N595" s="24" t="n">
        <v>6.57148</v>
      </c>
      <c r="O595" s="24" t="n">
        <v>3.37099</v>
      </c>
      <c r="P595" s="20" t="s">
        <v>85</v>
      </c>
      <c r="Q595" s="20" t="s">
        <v>86</v>
      </c>
      <c r="R595" s="20" t="s">
        <v>86</v>
      </c>
      <c r="S595" s="20" t="s">
        <v>87</v>
      </c>
      <c r="T595" s="25" t="s">
        <v>88</v>
      </c>
      <c r="U595" s="20" t="s">
        <v>89</v>
      </c>
      <c r="V595" s="20" t="s">
        <v>90</v>
      </c>
      <c r="W595" s="21"/>
    </row>
    <row r="596" customFormat="false" ht="15" hidden="false" customHeight="false" outlineLevel="0" collapsed="false">
      <c r="A596" s="20" t="n">
        <v>595</v>
      </c>
      <c r="B596" s="20" t="s">
        <v>2477</v>
      </c>
      <c r="C596" s="20" t="s">
        <v>5</v>
      </c>
      <c r="D596" s="20" t="s">
        <v>2478</v>
      </c>
      <c r="E596" s="20" t="s">
        <v>21</v>
      </c>
      <c r="F596" s="20" t="s">
        <v>347</v>
      </c>
      <c r="G596" s="21" t="s">
        <v>2478</v>
      </c>
      <c r="H596" s="20"/>
      <c r="I596" s="20"/>
      <c r="J596" s="20"/>
      <c r="K596" s="22" t="n">
        <v>4.8</v>
      </c>
      <c r="L596" s="23" t="n">
        <v>5</v>
      </c>
      <c r="M596" s="20" t="s">
        <v>84</v>
      </c>
      <c r="N596" s="24" t="n">
        <v>6.56941</v>
      </c>
      <c r="O596" s="24" t="n">
        <v>3.37234</v>
      </c>
      <c r="P596" s="20" t="s">
        <v>85</v>
      </c>
      <c r="Q596" s="20" t="s">
        <v>86</v>
      </c>
      <c r="R596" s="20" t="s">
        <v>86</v>
      </c>
      <c r="S596" s="20" t="s">
        <v>87</v>
      </c>
      <c r="T596" s="25" t="s">
        <v>88</v>
      </c>
      <c r="U596" s="20" t="s">
        <v>89</v>
      </c>
      <c r="V596" s="20" t="s">
        <v>90</v>
      </c>
      <c r="W596" s="21"/>
    </row>
    <row r="597" customFormat="false" ht="15" hidden="false" customHeight="false" outlineLevel="0" collapsed="false">
      <c r="A597" s="20" t="n">
        <v>596</v>
      </c>
      <c r="B597" s="20" t="s">
        <v>2479</v>
      </c>
      <c r="C597" s="20" t="s">
        <v>5</v>
      </c>
      <c r="D597" s="20" t="s">
        <v>2480</v>
      </c>
      <c r="E597" s="20" t="s">
        <v>21</v>
      </c>
      <c r="F597" s="20" t="s">
        <v>351</v>
      </c>
      <c r="G597" s="21" t="s">
        <v>2481</v>
      </c>
      <c r="H597" s="20" t="s">
        <v>2482</v>
      </c>
      <c r="I597" s="20"/>
      <c r="J597" s="20"/>
      <c r="K597" s="22" t="n">
        <v>4.7</v>
      </c>
      <c r="L597" s="23" t="n">
        <v>12</v>
      </c>
      <c r="M597" s="20" t="s">
        <v>100</v>
      </c>
      <c r="N597" s="24" t="n">
        <v>6.57238</v>
      </c>
      <c r="O597" s="24" t="n">
        <v>3.37039</v>
      </c>
      <c r="P597" s="20" t="s">
        <v>110</v>
      </c>
      <c r="Q597" s="20" t="s">
        <v>86</v>
      </c>
      <c r="R597" s="20" t="s">
        <v>86</v>
      </c>
      <c r="S597" s="20" t="s">
        <v>87</v>
      </c>
      <c r="T597" s="27" t="s">
        <v>117</v>
      </c>
      <c r="U597" s="20" t="s">
        <v>118</v>
      </c>
      <c r="V597" s="20" t="s">
        <v>138</v>
      </c>
      <c r="W597" s="21" t="s">
        <v>299</v>
      </c>
    </row>
    <row r="598" customFormat="false" ht="15" hidden="false" customHeight="false" outlineLevel="0" collapsed="false">
      <c r="A598" s="20" t="n">
        <v>597</v>
      </c>
      <c r="B598" s="20" t="s">
        <v>2483</v>
      </c>
      <c r="C598" s="20" t="s">
        <v>5</v>
      </c>
      <c r="D598" s="20" t="s">
        <v>2484</v>
      </c>
      <c r="E598" s="20" t="s">
        <v>21</v>
      </c>
      <c r="F598" s="20" t="s">
        <v>356</v>
      </c>
      <c r="G598" s="21" t="s">
        <v>2485</v>
      </c>
      <c r="H598" s="20"/>
      <c r="I598" s="20"/>
      <c r="J598" s="20"/>
      <c r="K598" s="22"/>
      <c r="L598" s="23"/>
      <c r="M598" s="20" t="s">
        <v>84</v>
      </c>
      <c r="N598" s="24" t="n">
        <v>6.57634</v>
      </c>
      <c r="O598" s="24" t="n">
        <v>3.37289</v>
      </c>
      <c r="P598" s="20" t="s">
        <v>85</v>
      </c>
      <c r="Q598" s="20" t="s">
        <v>86</v>
      </c>
      <c r="R598" s="20" t="s">
        <v>86</v>
      </c>
      <c r="S598" s="20" t="s">
        <v>87</v>
      </c>
      <c r="T598" s="25" t="s">
        <v>88</v>
      </c>
      <c r="U598" s="20" t="s">
        <v>89</v>
      </c>
      <c r="V598" s="20" t="s">
        <v>90</v>
      </c>
      <c r="W598" s="21"/>
    </row>
    <row r="599" customFormat="false" ht="15" hidden="false" customHeight="false" outlineLevel="0" collapsed="false">
      <c r="A599" s="20" t="n">
        <v>598</v>
      </c>
      <c r="B599" s="20" t="s">
        <v>2486</v>
      </c>
      <c r="C599" s="20" t="s">
        <v>5</v>
      </c>
      <c r="D599" s="20" t="s">
        <v>2487</v>
      </c>
      <c r="E599" s="20" t="s">
        <v>21</v>
      </c>
      <c r="F599" s="20" t="s">
        <v>347</v>
      </c>
      <c r="G599" s="21" t="s">
        <v>2488</v>
      </c>
      <c r="H599" s="20"/>
      <c r="I599" s="20"/>
      <c r="J599" s="20"/>
      <c r="K599" s="22"/>
      <c r="L599" s="23"/>
      <c r="M599" s="20" t="s">
        <v>84</v>
      </c>
      <c r="N599" s="24" t="n">
        <v>6.57164</v>
      </c>
      <c r="O599" s="24" t="n">
        <v>3.36528</v>
      </c>
      <c r="P599" s="20" t="s">
        <v>85</v>
      </c>
      <c r="Q599" s="20" t="s">
        <v>86</v>
      </c>
      <c r="R599" s="20" t="s">
        <v>86</v>
      </c>
      <c r="S599" s="20" t="s">
        <v>87</v>
      </c>
      <c r="T599" s="25" t="s">
        <v>88</v>
      </c>
      <c r="U599" s="20" t="s">
        <v>89</v>
      </c>
      <c r="V599" s="20" t="s">
        <v>90</v>
      </c>
      <c r="W599" s="21"/>
    </row>
    <row r="600" customFormat="false" ht="15" hidden="false" customHeight="false" outlineLevel="0" collapsed="false">
      <c r="A600" s="20" t="n">
        <v>599</v>
      </c>
      <c r="B600" s="20" t="s">
        <v>2489</v>
      </c>
      <c r="C600" s="20" t="s">
        <v>5</v>
      </c>
      <c r="D600" s="20" t="s">
        <v>2490</v>
      </c>
      <c r="E600" s="20" t="s">
        <v>21</v>
      </c>
      <c r="F600" s="20" t="s">
        <v>356</v>
      </c>
      <c r="G600" s="21" t="s">
        <v>2490</v>
      </c>
      <c r="H600" s="20"/>
      <c r="I600" s="20"/>
      <c r="J600" s="20"/>
      <c r="K600" s="22"/>
      <c r="L600" s="23"/>
      <c r="M600" s="20" t="s">
        <v>84</v>
      </c>
      <c r="N600" s="24" t="n">
        <v>6.5691</v>
      </c>
      <c r="O600" s="24" t="n">
        <v>3.36477</v>
      </c>
      <c r="P600" s="20" t="s">
        <v>85</v>
      </c>
      <c r="Q600" s="20" t="s">
        <v>86</v>
      </c>
      <c r="R600" s="20" t="s">
        <v>86</v>
      </c>
      <c r="S600" s="20" t="s">
        <v>87</v>
      </c>
      <c r="T600" s="25" t="s">
        <v>88</v>
      </c>
      <c r="U600" s="20" t="s">
        <v>89</v>
      </c>
      <c r="V600" s="20" t="s">
        <v>90</v>
      </c>
      <c r="W600" s="21"/>
    </row>
    <row r="601" customFormat="false" ht="15" hidden="false" customHeight="false" outlineLevel="0" collapsed="false">
      <c r="A601" s="20" t="n">
        <v>600</v>
      </c>
      <c r="B601" s="20" t="s">
        <v>2491</v>
      </c>
      <c r="C601" s="20" t="s">
        <v>5</v>
      </c>
      <c r="D601" s="20" t="s">
        <v>2492</v>
      </c>
      <c r="E601" s="20" t="s">
        <v>21</v>
      </c>
      <c r="F601" s="20" t="s">
        <v>347</v>
      </c>
      <c r="G601" s="21" t="s">
        <v>2493</v>
      </c>
      <c r="H601" s="20"/>
      <c r="I601" s="20"/>
      <c r="J601" s="20"/>
      <c r="K601" s="22"/>
      <c r="L601" s="23"/>
      <c r="M601" s="20" t="s">
        <v>84</v>
      </c>
      <c r="N601" s="24" t="n">
        <v>6.57216</v>
      </c>
      <c r="O601" s="24" t="n">
        <v>3.37036</v>
      </c>
      <c r="P601" s="20" t="s">
        <v>85</v>
      </c>
      <c r="Q601" s="20" t="s">
        <v>86</v>
      </c>
      <c r="R601" s="20" t="s">
        <v>86</v>
      </c>
      <c r="S601" s="20" t="s">
        <v>87</v>
      </c>
      <c r="T601" s="25" t="s">
        <v>88</v>
      </c>
      <c r="U601" s="20" t="s">
        <v>89</v>
      </c>
      <c r="V601" s="20" t="s">
        <v>90</v>
      </c>
      <c r="W601" s="21"/>
    </row>
    <row r="602" customFormat="false" ht="15" hidden="false" customHeight="false" outlineLevel="0" collapsed="false">
      <c r="A602" s="20" t="n">
        <v>601</v>
      </c>
      <c r="B602" s="20" t="s">
        <v>2494</v>
      </c>
      <c r="C602" s="20" t="s">
        <v>5</v>
      </c>
      <c r="D602" s="20" t="s">
        <v>2495</v>
      </c>
      <c r="E602" s="20" t="s">
        <v>21</v>
      </c>
      <c r="F602" s="20" t="s">
        <v>356</v>
      </c>
      <c r="G602" s="21" t="s">
        <v>2495</v>
      </c>
      <c r="H602" s="20"/>
      <c r="I602" s="20"/>
      <c r="J602" s="20"/>
      <c r="K602" s="22" t="n">
        <v>4.2</v>
      </c>
      <c r="L602" s="23" t="n">
        <v>16</v>
      </c>
      <c r="M602" s="20" t="s">
        <v>84</v>
      </c>
      <c r="N602" s="24" t="n">
        <v>6.56916</v>
      </c>
      <c r="O602" s="24" t="n">
        <v>3.37307</v>
      </c>
      <c r="P602" s="20" t="s">
        <v>85</v>
      </c>
      <c r="Q602" s="20" t="s">
        <v>86</v>
      </c>
      <c r="R602" s="20" t="s">
        <v>86</v>
      </c>
      <c r="S602" s="20" t="s">
        <v>87</v>
      </c>
      <c r="T602" s="25" t="s">
        <v>88</v>
      </c>
      <c r="U602" s="20" t="s">
        <v>89</v>
      </c>
      <c r="V602" s="20" t="s">
        <v>90</v>
      </c>
      <c r="W602" s="21"/>
    </row>
    <row r="603" customFormat="false" ht="15" hidden="false" customHeight="false" outlineLevel="0" collapsed="false">
      <c r="A603" s="20" t="n">
        <v>602</v>
      </c>
      <c r="B603" s="20" t="s">
        <v>2496</v>
      </c>
      <c r="C603" s="20" t="s">
        <v>5</v>
      </c>
      <c r="D603" s="20" t="s">
        <v>2497</v>
      </c>
      <c r="E603" s="20" t="s">
        <v>21</v>
      </c>
      <c r="F603" s="20" t="s">
        <v>347</v>
      </c>
      <c r="G603" s="21" t="s">
        <v>2498</v>
      </c>
      <c r="H603" s="20"/>
      <c r="I603" s="20"/>
      <c r="J603" s="20"/>
      <c r="K603" s="22"/>
      <c r="L603" s="23"/>
      <c r="M603" s="20" t="s">
        <v>84</v>
      </c>
      <c r="N603" s="24" t="n">
        <v>6.57416</v>
      </c>
      <c r="O603" s="24" t="n">
        <v>3.36314</v>
      </c>
      <c r="P603" s="20" t="s">
        <v>85</v>
      </c>
      <c r="Q603" s="20" t="s">
        <v>86</v>
      </c>
      <c r="R603" s="20" t="s">
        <v>86</v>
      </c>
      <c r="S603" s="20" t="s">
        <v>87</v>
      </c>
      <c r="T603" s="25" t="s">
        <v>88</v>
      </c>
      <c r="U603" s="20" t="s">
        <v>89</v>
      </c>
      <c r="V603" s="20" t="s">
        <v>90</v>
      </c>
      <c r="W603" s="21"/>
    </row>
    <row r="604" customFormat="false" ht="15" hidden="false" customHeight="false" outlineLevel="0" collapsed="false">
      <c r="A604" s="20" t="n">
        <v>603</v>
      </c>
      <c r="B604" s="20" t="s">
        <v>2499</v>
      </c>
      <c r="C604" s="20" t="s">
        <v>5</v>
      </c>
      <c r="D604" s="20" t="s">
        <v>2500</v>
      </c>
      <c r="E604" s="20" t="s">
        <v>21</v>
      </c>
      <c r="F604" s="20" t="s">
        <v>446</v>
      </c>
      <c r="G604" s="21" t="s">
        <v>2500</v>
      </c>
      <c r="H604" s="20"/>
      <c r="I604" s="20"/>
      <c r="J604" s="20"/>
      <c r="K604" s="22"/>
      <c r="L604" s="23"/>
      <c r="M604" s="20" t="s">
        <v>84</v>
      </c>
      <c r="N604" s="24" t="n">
        <v>6.57273</v>
      </c>
      <c r="O604" s="24" t="n">
        <v>3.37082</v>
      </c>
      <c r="P604" s="20" t="s">
        <v>85</v>
      </c>
      <c r="Q604" s="20" t="s">
        <v>86</v>
      </c>
      <c r="R604" s="20" t="s">
        <v>86</v>
      </c>
      <c r="S604" s="20" t="s">
        <v>87</v>
      </c>
      <c r="T604" s="25" t="s">
        <v>88</v>
      </c>
      <c r="U604" s="20" t="s">
        <v>89</v>
      </c>
      <c r="V604" s="20" t="s">
        <v>90</v>
      </c>
      <c r="W604" s="21"/>
    </row>
    <row r="605" customFormat="false" ht="15" hidden="false" customHeight="false" outlineLevel="0" collapsed="false">
      <c r="A605" s="20" t="n">
        <v>604</v>
      </c>
      <c r="B605" s="20" t="s">
        <v>2501</v>
      </c>
      <c r="C605" s="20" t="s">
        <v>5</v>
      </c>
      <c r="D605" s="20" t="s">
        <v>2502</v>
      </c>
      <c r="E605" s="20" t="s">
        <v>21</v>
      </c>
      <c r="F605" s="20" t="s">
        <v>356</v>
      </c>
      <c r="G605" s="21" t="s">
        <v>2503</v>
      </c>
      <c r="H605" s="20"/>
      <c r="I605" s="20"/>
      <c r="J605" s="20"/>
      <c r="K605" s="22"/>
      <c r="L605" s="23"/>
      <c r="M605" s="20" t="s">
        <v>84</v>
      </c>
      <c r="N605" s="24" t="n">
        <v>6.57196</v>
      </c>
      <c r="O605" s="24" t="n">
        <v>3.37081</v>
      </c>
      <c r="P605" s="20" t="s">
        <v>85</v>
      </c>
      <c r="Q605" s="20" t="s">
        <v>86</v>
      </c>
      <c r="R605" s="20" t="s">
        <v>86</v>
      </c>
      <c r="S605" s="20" t="s">
        <v>87</v>
      </c>
      <c r="T605" s="25" t="s">
        <v>88</v>
      </c>
      <c r="U605" s="20" t="s">
        <v>89</v>
      </c>
      <c r="V605" s="20" t="s">
        <v>90</v>
      </c>
      <c r="W605" s="21"/>
    </row>
    <row r="606" customFormat="false" ht="15" hidden="false" customHeight="false" outlineLevel="0" collapsed="false">
      <c r="A606" s="20" t="n">
        <v>605</v>
      </c>
      <c r="B606" s="20" t="s">
        <v>2504</v>
      </c>
      <c r="C606" s="20" t="s">
        <v>5</v>
      </c>
      <c r="D606" s="20" t="s">
        <v>2505</v>
      </c>
      <c r="E606" s="20" t="s">
        <v>21</v>
      </c>
      <c r="F606" s="20" t="s">
        <v>356</v>
      </c>
      <c r="G606" s="21" t="s">
        <v>2505</v>
      </c>
      <c r="H606" s="20"/>
      <c r="I606" s="20"/>
      <c r="J606" s="20"/>
      <c r="K606" s="22"/>
      <c r="L606" s="23"/>
      <c r="M606" s="20" t="s">
        <v>84</v>
      </c>
      <c r="N606" s="24" t="n">
        <v>6.57211</v>
      </c>
      <c r="O606" s="24" t="n">
        <v>3.36467</v>
      </c>
      <c r="P606" s="20" t="s">
        <v>85</v>
      </c>
      <c r="Q606" s="20" t="s">
        <v>86</v>
      </c>
      <c r="R606" s="20" t="s">
        <v>86</v>
      </c>
      <c r="S606" s="20" t="s">
        <v>87</v>
      </c>
      <c r="T606" s="25" t="s">
        <v>88</v>
      </c>
      <c r="U606" s="20" t="s">
        <v>89</v>
      </c>
      <c r="V606" s="20" t="s">
        <v>90</v>
      </c>
      <c r="W606" s="21"/>
    </row>
    <row r="607" customFormat="false" ht="15" hidden="false" customHeight="false" outlineLevel="0" collapsed="false">
      <c r="A607" s="20" t="n">
        <v>606</v>
      </c>
      <c r="B607" s="20" t="s">
        <v>2506</v>
      </c>
      <c r="C607" s="20" t="s">
        <v>5</v>
      </c>
      <c r="D607" s="20" t="s">
        <v>2507</v>
      </c>
      <c r="E607" s="20" t="s">
        <v>21</v>
      </c>
      <c r="F607" s="20" t="s">
        <v>446</v>
      </c>
      <c r="G607" s="21" t="s">
        <v>2507</v>
      </c>
      <c r="H607" s="20"/>
      <c r="I607" s="20"/>
      <c r="J607" s="20"/>
      <c r="K607" s="22"/>
      <c r="L607" s="23"/>
      <c r="M607" s="20" t="s">
        <v>84</v>
      </c>
      <c r="N607" s="24" t="n">
        <v>6.57082</v>
      </c>
      <c r="O607" s="24" t="n">
        <v>3.36501</v>
      </c>
      <c r="P607" s="20" t="s">
        <v>85</v>
      </c>
      <c r="Q607" s="20" t="s">
        <v>86</v>
      </c>
      <c r="R607" s="20" t="s">
        <v>86</v>
      </c>
      <c r="S607" s="20" t="s">
        <v>87</v>
      </c>
      <c r="T607" s="25" t="s">
        <v>88</v>
      </c>
      <c r="U607" s="20" t="s">
        <v>89</v>
      </c>
      <c r="V607" s="20" t="s">
        <v>90</v>
      </c>
      <c r="W607" s="21"/>
    </row>
    <row r="608" customFormat="false" ht="15" hidden="false" customHeight="false" outlineLevel="0" collapsed="false">
      <c r="A608" s="20" t="n">
        <v>607</v>
      </c>
      <c r="B608" s="20" t="s">
        <v>2508</v>
      </c>
      <c r="C608" s="20" t="s">
        <v>5</v>
      </c>
      <c r="D608" s="20" t="s">
        <v>2509</v>
      </c>
      <c r="E608" s="20" t="s">
        <v>21</v>
      </c>
      <c r="F608" s="20" t="s">
        <v>347</v>
      </c>
      <c r="G608" s="21" t="s">
        <v>2510</v>
      </c>
      <c r="H608" s="20"/>
      <c r="I608" s="20"/>
      <c r="J608" s="20"/>
      <c r="K608" s="22"/>
      <c r="L608" s="23"/>
      <c r="M608" s="20" t="s">
        <v>84</v>
      </c>
      <c r="N608" s="24" t="n">
        <v>6.56999</v>
      </c>
      <c r="O608" s="24" t="n">
        <v>3.36304</v>
      </c>
      <c r="P608" s="20" t="s">
        <v>85</v>
      </c>
      <c r="Q608" s="20" t="s">
        <v>86</v>
      </c>
      <c r="R608" s="20" t="s">
        <v>86</v>
      </c>
      <c r="S608" s="20" t="s">
        <v>87</v>
      </c>
      <c r="T608" s="25" t="s">
        <v>88</v>
      </c>
      <c r="U608" s="20" t="s">
        <v>89</v>
      </c>
      <c r="V608" s="20" t="s">
        <v>90</v>
      </c>
      <c r="W608" s="21"/>
    </row>
    <row r="609" customFormat="false" ht="15" hidden="false" customHeight="false" outlineLevel="0" collapsed="false">
      <c r="A609" s="20" t="n">
        <v>608</v>
      </c>
      <c r="B609" s="20" t="s">
        <v>2511</v>
      </c>
      <c r="C609" s="20" t="s">
        <v>5</v>
      </c>
      <c r="D609" s="20" t="s">
        <v>2512</v>
      </c>
      <c r="E609" s="20" t="s">
        <v>21</v>
      </c>
      <c r="F609" s="20" t="s">
        <v>347</v>
      </c>
      <c r="G609" s="21" t="s">
        <v>2512</v>
      </c>
      <c r="H609" s="20"/>
      <c r="I609" s="20"/>
      <c r="J609" s="20"/>
      <c r="K609" s="22"/>
      <c r="L609" s="23"/>
      <c r="M609" s="20" t="s">
        <v>84</v>
      </c>
      <c r="N609" s="24" t="n">
        <v>6.57205</v>
      </c>
      <c r="O609" s="24" t="n">
        <v>3.36374</v>
      </c>
      <c r="P609" s="20" t="s">
        <v>85</v>
      </c>
      <c r="Q609" s="20" t="s">
        <v>86</v>
      </c>
      <c r="R609" s="20" t="s">
        <v>86</v>
      </c>
      <c r="S609" s="20" t="s">
        <v>87</v>
      </c>
      <c r="T609" s="25" t="s">
        <v>88</v>
      </c>
      <c r="U609" s="20" t="s">
        <v>89</v>
      </c>
      <c r="V609" s="20" t="s">
        <v>90</v>
      </c>
      <c r="W609" s="21"/>
    </row>
    <row r="610" customFormat="false" ht="15" hidden="false" customHeight="false" outlineLevel="0" collapsed="false">
      <c r="A610" s="20" t="n">
        <v>609</v>
      </c>
      <c r="B610" s="20" t="s">
        <v>2513</v>
      </c>
      <c r="C610" s="20" t="s">
        <v>5</v>
      </c>
      <c r="D610" s="20" t="s">
        <v>2514</v>
      </c>
      <c r="E610" s="20" t="s">
        <v>21</v>
      </c>
      <c r="F610" s="20" t="s">
        <v>351</v>
      </c>
      <c r="G610" s="21" t="s">
        <v>2515</v>
      </c>
      <c r="H610" s="20" t="s">
        <v>2516</v>
      </c>
      <c r="I610" s="20"/>
      <c r="J610" s="20"/>
      <c r="K610" s="22" t="n">
        <v>4.7</v>
      </c>
      <c r="L610" s="23" t="n">
        <v>50</v>
      </c>
      <c r="M610" s="20" t="s">
        <v>100</v>
      </c>
      <c r="N610" s="24" t="n">
        <v>6.57554</v>
      </c>
      <c r="O610" s="24" t="n">
        <v>3.37556</v>
      </c>
      <c r="P610" s="20" t="s">
        <v>110</v>
      </c>
      <c r="Q610" s="20" t="s">
        <v>86</v>
      </c>
      <c r="R610" s="20" t="s">
        <v>86</v>
      </c>
      <c r="S610" s="20" t="s">
        <v>87</v>
      </c>
      <c r="T610" s="27" t="s">
        <v>117</v>
      </c>
      <c r="U610" s="20" t="s">
        <v>118</v>
      </c>
      <c r="V610" s="20" t="s">
        <v>138</v>
      </c>
      <c r="W610" s="21" t="s">
        <v>299</v>
      </c>
    </row>
    <row r="611" customFormat="false" ht="15" hidden="false" customHeight="false" outlineLevel="0" collapsed="false">
      <c r="A611" s="20" t="n">
        <v>610</v>
      </c>
      <c r="B611" s="20" t="s">
        <v>2517</v>
      </c>
      <c r="C611" s="20" t="s">
        <v>5</v>
      </c>
      <c r="D611" s="20" t="s">
        <v>2518</v>
      </c>
      <c r="E611" s="20" t="s">
        <v>21</v>
      </c>
      <c r="F611" s="20" t="s">
        <v>347</v>
      </c>
      <c r="G611" s="21" t="s">
        <v>2519</v>
      </c>
      <c r="H611" s="20"/>
      <c r="I611" s="20"/>
      <c r="J611" s="20"/>
      <c r="K611" s="22" t="n">
        <v>4.6</v>
      </c>
      <c r="L611" s="23" t="n">
        <v>5</v>
      </c>
      <c r="M611" s="20" t="s">
        <v>84</v>
      </c>
      <c r="N611" s="24" t="n">
        <v>6.57371</v>
      </c>
      <c r="O611" s="24" t="n">
        <v>3.35944</v>
      </c>
      <c r="P611" s="20" t="s">
        <v>85</v>
      </c>
      <c r="Q611" s="20" t="s">
        <v>86</v>
      </c>
      <c r="R611" s="20" t="s">
        <v>86</v>
      </c>
      <c r="S611" s="20" t="s">
        <v>87</v>
      </c>
      <c r="T611" s="25" t="s">
        <v>88</v>
      </c>
      <c r="U611" s="20" t="s">
        <v>89</v>
      </c>
      <c r="V611" s="20" t="s">
        <v>90</v>
      </c>
      <c r="W611" s="21"/>
    </row>
    <row r="612" customFormat="false" ht="15" hidden="false" customHeight="false" outlineLevel="0" collapsed="false">
      <c r="A612" s="20" t="n">
        <v>611</v>
      </c>
      <c r="B612" s="20" t="s">
        <v>2520</v>
      </c>
      <c r="C612" s="20" t="s">
        <v>5</v>
      </c>
      <c r="D612" s="20" t="s">
        <v>2521</v>
      </c>
      <c r="E612" s="20" t="s">
        <v>21</v>
      </c>
      <c r="F612" s="20" t="s">
        <v>347</v>
      </c>
      <c r="G612" s="21" t="s">
        <v>2522</v>
      </c>
      <c r="H612" s="20"/>
      <c r="I612" s="20"/>
      <c r="J612" s="20"/>
      <c r="K612" s="22"/>
      <c r="L612" s="23"/>
      <c r="M612" s="20" t="s">
        <v>84</v>
      </c>
      <c r="N612" s="24" t="n">
        <v>6.57103</v>
      </c>
      <c r="O612" s="24" t="n">
        <v>3.36532</v>
      </c>
      <c r="P612" s="20" t="s">
        <v>85</v>
      </c>
      <c r="Q612" s="20" t="s">
        <v>86</v>
      </c>
      <c r="R612" s="20" t="s">
        <v>86</v>
      </c>
      <c r="S612" s="20" t="s">
        <v>87</v>
      </c>
      <c r="T612" s="25" t="s">
        <v>88</v>
      </c>
      <c r="U612" s="20" t="s">
        <v>89</v>
      </c>
      <c r="V612" s="20" t="s">
        <v>90</v>
      </c>
      <c r="W612" s="21"/>
    </row>
    <row r="613" customFormat="false" ht="15" hidden="false" customHeight="false" outlineLevel="0" collapsed="false">
      <c r="A613" s="20" t="n">
        <v>612</v>
      </c>
      <c r="B613" s="20" t="s">
        <v>2523</v>
      </c>
      <c r="C613" s="20" t="s">
        <v>5</v>
      </c>
      <c r="D613" s="20" t="s">
        <v>2524</v>
      </c>
      <c r="E613" s="20" t="s">
        <v>21</v>
      </c>
      <c r="F613" s="20" t="s">
        <v>356</v>
      </c>
      <c r="G613" s="21" t="s">
        <v>2524</v>
      </c>
      <c r="H613" s="20"/>
      <c r="I613" s="20"/>
      <c r="J613" s="20"/>
      <c r="K613" s="22" t="n">
        <v>1</v>
      </c>
      <c r="L613" s="23" t="n">
        <v>1</v>
      </c>
      <c r="M613" s="20" t="s">
        <v>84</v>
      </c>
      <c r="N613" s="24" t="n">
        <v>6.56949</v>
      </c>
      <c r="O613" s="24" t="n">
        <v>3.37465</v>
      </c>
      <c r="P613" s="20" t="s">
        <v>85</v>
      </c>
      <c r="Q613" s="20" t="s">
        <v>86</v>
      </c>
      <c r="R613" s="20" t="s">
        <v>86</v>
      </c>
      <c r="S613" s="20" t="s">
        <v>87</v>
      </c>
      <c r="T613" s="25" t="s">
        <v>88</v>
      </c>
      <c r="U613" s="20" t="s">
        <v>89</v>
      </c>
      <c r="V613" s="20" t="s">
        <v>90</v>
      </c>
      <c r="W613" s="21"/>
    </row>
    <row r="614" customFormat="false" ht="15" hidden="false" customHeight="false" outlineLevel="0" collapsed="false">
      <c r="A614" s="20" t="n">
        <v>613</v>
      </c>
      <c r="B614" s="20" t="s">
        <v>2525</v>
      </c>
      <c r="C614" s="20" t="s">
        <v>5</v>
      </c>
      <c r="D614" s="20" t="s">
        <v>2464</v>
      </c>
      <c r="E614" s="20" t="s">
        <v>21</v>
      </c>
      <c r="F614" s="20" t="s">
        <v>411</v>
      </c>
      <c r="G614" s="21" t="s">
        <v>2464</v>
      </c>
      <c r="H614" s="20"/>
      <c r="I614" s="20"/>
      <c r="J614" s="20"/>
      <c r="K614" s="22" t="n">
        <v>5</v>
      </c>
      <c r="L614" s="23" t="n">
        <v>1</v>
      </c>
      <c r="M614" s="20" t="s">
        <v>84</v>
      </c>
      <c r="N614" s="24" t="n">
        <v>6.57006</v>
      </c>
      <c r="O614" s="24" t="n">
        <v>3.37576</v>
      </c>
      <c r="P614" s="20" t="s">
        <v>85</v>
      </c>
      <c r="Q614" s="20" t="s">
        <v>86</v>
      </c>
      <c r="R614" s="20" t="s">
        <v>86</v>
      </c>
      <c r="S614" s="20" t="s">
        <v>87</v>
      </c>
      <c r="T614" s="25" t="s">
        <v>88</v>
      </c>
      <c r="U614" s="20" t="s">
        <v>89</v>
      </c>
      <c r="V614" s="20" t="s">
        <v>90</v>
      </c>
      <c r="W614" s="21"/>
    </row>
    <row r="615" customFormat="false" ht="15" hidden="false" customHeight="false" outlineLevel="0" collapsed="false">
      <c r="A615" s="20" t="n">
        <v>614</v>
      </c>
      <c r="B615" s="20" t="s">
        <v>2526</v>
      </c>
      <c r="C615" s="20" t="s">
        <v>5</v>
      </c>
      <c r="D615" s="20" t="s">
        <v>2527</v>
      </c>
      <c r="E615" s="20" t="s">
        <v>21</v>
      </c>
      <c r="F615" s="20" t="s">
        <v>347</v>
      </c>
      <c r="G615" s="21" t="s">
        <v>2527</v>
      </c>
      <c r="H615" s="20"/>
      <c r="I615" s="20"/>
      <c r="J615" s="20"/>
      <c r="K615" s="22"/>
      <c r="L615" s="23"/>
      <c r="M615" s="20" t="s">
        <v>84</v>
      </c>
      <c r="N615" s="24" t="n">
        <v>6.57406</v>
      </c>
      <c r="O615" s="24" t="n">
        <v>3.37156</v>
      </c>
      <c r="P615" s="20" t="s">
        <v>85</v>
      </c>
      <c r="Q615" s="20" t="s">
        <v>86</v>
      </c>
      <c r="R615" s="20" t="s">
        <v>86</v>
      </c>
      <c r="S615" s="20" t="s">
        <v>87</v>
      </c>
      <c r="T615" s="25" t="s">
        <v>88</v>
      </c>
      <c r="U615" s="20" t="s">
        <v>89</v>
      </c>
      <c r="V615" s="20" t="s">
        <v>90</v>
      </c>
      <c r="W615" s="21"/>
    </row>
    <row r="616" customFormat="false" ht="15" hidden="false" customHeight="false" outlineLevel="0" collapsed="false">
      <c r="A616" s="20" t="n">
        <v>615</v>
      </c>
      <c r="B616" s="20" t="s">
        <v>2528</v>
      </c>
      <c r="C616" s="20" t="s">
        <v>5</v>
      </c>
      <c r="D616" s="20" t="s">
        <v>2529</v>
      </c>
      <c r="E616" s="20" t="s">
        <v>21</v>
      </c>
      <c r="F616" s="20" t="s">
        <v>347</v>
      </c>
      <c r="G616" s="21" t="s">
        <v>2529</v>
      </c>
      <c r="H616" s="20"/>
      <c r="I616" s="20"/>
      <c r="J616" s="20"/>
      <c r="K616" s="22" t="n">
        <v>3</v>
      </c>
      <c r="L616" s="23" t="n">
        <v>3</v>
      </c>
      <c r="M616" s="20" t="s">
        <v>84</v>
      </c>
      <c r="N616" s="24" t="n">
        <v>6.57183</v>
      </c>
      <c r="O616" s="24" t="n">
        <v>3.37099</v>
      </c>
      <c r="P616" s="20" t="s">
        <v>85</v>
      </c>
      <c r="Q616" s="20" t="s">
        <v>86</v>
      </c>
      <c r="R616" s="20" t="s">
        <v>86</v>
      </c>
      <c r="S616" s="20" t="s">
        <v>87</v>
      </c>
      <c r="T616" s="25" t="s">
        <v>88</v>
      </c>
      <c r="U616" s="20" t="s">
        <v>89</v>
      </c>
      <c r="V616" s="20" t="s">
        <v>90</v>
      </c>
      <c r="W616" s="21"/>
    </row>
    <row r="617" customFormat="false" ht="15" hidden="false" customHeight="false" outlineLevel="0" collapsed="false">
      <c r="A617" s="20" t="n">
        <v>616</v>
      </c>
      <c r="B617" s="20" t="s">
        <v>2530</v>
      </c>
      <c r="C617" s="20" t="s">
        <v>5</v>
      </c>
      <c r="D617" s="20" t="s">
        <v>2531</v>
      </c>
      <c r="E617" s="20" t="s">
        <v>21</v>
      </c>
      <c r="F617" s="20" t="s">
        <v>347</v>
      </c>
      <c r="G617" s="21" t="s">
        <v>2531</v>
      </c>
      <c r="H617" s="20"/>
      <c r="I617" s="20"/>
      <c r="J617" s="20"/>
      <c r="K617" s="22"/>
      <c r="L617" s="23"/>
      <c r="M617" s="20" t="s">
        <v>84</v>
      </c>
      <c r="N617" s="24" t="n">
        <v>6.57229</v>
      </c>
      <c r="O617" s="24" t="n">
        <v>3.36215</v>
      </c>
      <c r="P617" s="20" t="s">
        <v>85</v>
      </c>
      <c r="Q617" s="20" t="s">
        <v>86</v>
      </c>
      <c r="R617" s="20" t="s">
        <v>86</v>
      </c>
      <c r="S617" s="20" t="s">
        <v>87</v>
      </c>
      <c r="T617" s="25" t="s">
        <v>88</v>
      </c>
      <c r="U617" s="20" t="s">
        <v>89</v>
      </c>
      <c r="V617" s="20" t="s">
        <v>90</v>
      </c>
      <c r="W617" s="21"/>
    </row>
    <row r="618" customFormat="false" ht="15" hidden="false" customHeight="false" outlineLevel="0" collapsed="false">
      <c r="A618" s="20" t="n">
        <v>617</v>
      </c>
      <c r="B618" s="20" t="s">
        <v>2532</v>
      </c>
      <c r="C618" s="20" t="s">
        <v>5</v>
      </c>
      <c r="D618" s="20" t="s">
        <v>81</v>
      </c>
      <c r="E618" s="20" t="s">
        <v>21</v>
      </c>
      <c r="F618" s="20" t="s">
        <v>347</v>
      </c>
      <c r="G618" s="21" t="s">
        <v>2533</v>
      </c>
      <c r="H618" s="20"/>
      <c r="I618" s="20"/>
      <c r="J618" s="20"/>
      <c r="K618" s="22"/>
      <c r="L618" s="23"/>
      <c r="M618" s="20" t="s">
        <v>84</v>
      </c>
      <c r="N618" s="24" t="n">
        <v>6.57229</v>
      </c>
      <c r="O618" s="24" t="n">
        <v>3.36215</v>
      </c>
      <c r="P618" s="20" t="s">
        <v>85</v>
      </c>
      <c r="Q618" s="20" t="s">
        <v>86</v>
      </c>
      <c r="R618" s="20" t="s">
        <v>86</v>
      </c>
      <c r="S618" s="20" t="s">
        <v>87</v>
      </c>
      <c r="T618" s="25" t="s">
        <v>88</v>
      </c>
      <c r="U618" s="20" t="s">
        <v>89</v>
      </c>
      <c r="V618" s="20" t="s">
        <v>90</v>
      </c>
      <c r="W618" s="21"/>
    </row>
    <row r="619" customFormat="false" ht="15" hidden="false" customHeight="false" outlineLevel="0" collapsed="false">
      <c r="A619" s="20" t="n">
        <v>618</v>
      </c>
      <c r="B619" s="20" t="s">
        <v>2534</v>
      </c>
      <c r="C619" s="20" t="s">
        <v>5</v>
      </c>
      <c r="D619" s="20" t="s">
        <v>81</v>
      </c>
      <c r="E619" s="20" t="s">
        <v>21</v>
      </c>
      <c r="F619" s="20" t="s">
        <v>356</v>
      </c>
      <c r="G619" s="21" t="s">
        <v>2535</v>
      </c>
      <c r="H619" s="20"/>
      <c r="I619" s="20"/>
      <c r="J619" s="20"/>
      <c r="K619" s="22"/>
      <c r="L619" s="23"/>
      <c r="M619" s="20" t="s">
        <v>84</v>
      </c>
      <c r="N619" s="24" t="n">
        <v>6.57026</v>
      </c>
      <c r="O619" s="24" t="n">
        <v>3.36332</v>
      </c>
      <c r="P619" s="20" t="s">
        <v>85</v>
      </c>
      <c r="Q619" s="20" t="s">
        <v>86</v>
      </c>
      <c r="R619" s="20" t="s">
        <v>86</v>
      </c>
      <c r="S619" s="20" t="s">
        <v>87</v>
      </c>
      <c r="T619" s="25" t="s">
        <v>88</v>
      </c>
      <c r="U619" s="20" t="s">
        <v>89</v>
      </c>
      <c r="V619" s="20" t="s">
        <v>90</v>
      </c>
      <c r="W619" s="21"/>
    </row>
    <row r="620" customFormat="false" ht="15" hidden="false" customHeight="false" outlineLevel="0" collapsed="false">
      <c r="A620" s="20" t="n">
        <v>619</v>
      </c>
      <c r="B620" s="20" t="s">
        <v>2536</v>
      </c>
      <c r="C620" s="20" t="s">
        <v>5</v>
      </c>
      <c r="D620" s="20" t="s">
        <v>2537</v>
      </c>
      <c r="E620" s="20" t="s">
        <v>21</v>
      </c>
      <c r="F620" s="20" t="s">
        <v>347</v>
      </c>
      <c r="G620" s="21" t="s">
        <v>2538</v>
      </c>
      <c r="H620" s="20"/>
      <c r="I620" s="20"/>
      <c r="J620" s="20"/>
      <c r="K620" s="22"/>
      <c r="L620" s="23"/>
      <c r="M620" s="20" t="s">
        <v>84</v>
      </c>
      <c r="N620" s="24" t="n">
        <v>6.57039</v>
      </c>
      <c r="O620" s="24" t="n">
        <v>3.36532</v>
      </c>
      <c r="P620" s="20" t="s">
        <v>85</v>
      </c>
      <c r="Q620" s="20" t="s">
        <v>86</v>
      </c>
      <c r="R620" s="20" t="s">
        <v>86</v>
      </c>
      <c r="S620" s="20" t="s">
        <v>87</v>
      </c>
      <c r="T620" s="25" t="s">
        <v>88</v>
      </c>
      <c r="U620" s="20" t="s">
        <v>89</v>
      </c>
      <c r="V620" s="20" t="s">
        <v>90</v>
      </c>
      <c r="W620" s="21"/>
    </row>
    <row r="621" customFormat="false" ht="15" hidden="false" customHeight="false" outlineLevel="0" collapsed="false">
      <c r="A621" s="20" t="n">
        <v>620</v>
      </c>
      <c r="B621" s="20" t="s">
        <v>2539</v>
      </c>
      <c r="C621" s="20" t="s">
        <v>5</v>
      </c>
      <c r="D621" s="20" t="s">
        <v>2540</v>
      </c>
      <c r="E621" s="20" t="s">
        <v>21</v>
      </c>
      <c r="F621" s="20" t="s">
        <v>347</v>
      </c>
      <c r="G621" s="21" t="s">
        <v>2541</v>
      </c>
      <c r="H621" s="20"/>
      <c r="I621" s="20"/>
      <c r="J621" s="20"/>
      <c r="K621" s="22"/>
      <c r="L621" s="23"/>
      <c r="M621" s="20" t="s">
        <v>84</v>
      </c>
      <c r="N621" s="24" t="n">
        <v>6.57509</v>
      </c>
      <c r="O621" s="24" t="n">
        <v>3.36809</v>
      </c>
      <c r="P621" s="20" t="s">
        <v>85</v>
      </c>
      <c r="Q621" s="20" t="s">
        <v>86</v>
      </c>
      <c r="R621" s="20" t="s">
        <v>86</v>
      </c>
      <c r="S621" s="20" t="s">
        <v>87</v>
      </c>
      <c r="T621" s="25" t="s">
        <v>88</v>
      </c>
      <c r="U621" s="20" t="s">
        <v>89</v>
      </c>
      <c r="V621" s="20" t="s">
        <v>90</v>
      </c>
      <c r="W621" s="21"/>
    </row>
    <row r="622" customFormat="false" ht="15" hidden="false" customHeight="false" outlineLevel="0" collapsed="false">
      <c r="A622" s="20" t="n">
        <v>621</v>
      </c>
      <c r="B622" s="20" t="s">
        <v>2542</v>
      </c>
      <c r="C622" s="20" t="s">
        <v>5</v>
      </c>
      <c r="D622" s="20" t="s">
        <v>2543</v>
      </c>
      <c r="E622" s="20" t="s">
        <v>21</v>
      </c>
      <c r="F622" s="20" t="s">
        <v>347</v>
      </c>
      <c r="G622" s="21" t="s">
        <v>2544</v>
      </c>
      <c r="H622" s="20"/>
      <c r="I622" s="20"/>
      <c r="J622" s="20"/>
      <c r="K622" s="22"/>
      <c r="L622" s="23"/>
      <c r="M622" s="20" t="s">
        <v>84</v>
      </c>
      <c r="N622" s="24" t="n">
        <v>6.57154</v>
      </c>
      <c r="O622" s="24" t="n">
        <v>3.36404</v>
      </c>
      <c r="P622" s="20" t="s">
        <v>85</v>
      </c>
      <c r="Q622" s="20" t="s">
        <v>86</v>
      </c>
      <c r="R622" s="20" t="s">
        <v>86</v>
      </c>
      <c r="S622" s="20" t="s">
        <v>87</v>
      </c>
      <c r="T622" s="25" t="s">
        <v>88</v>
      </c>
      <c r="U622" s="20" t="s">
        <v>89</v>
      </c>
      <c r="V622" s="20" t="s">
        <v>90</v>
      </c>
      <c r="W622" s="21"/>
    </row>
    <row r="623" customFormat="false" ht="15" hidden="false" customHeight="false" outlineLevel="0" collapsed="false">
      <c r="A623" s="20" t="n">
        <v>622</v>
      </c>
      <c r="B623" s="20" t="s">
        <v>2545</v>
      </c>
      <c r="C623" s="20" t="s">
        <v>5</v>
      </c>
      <c r="D623" s="20" t="s">
        <v>2546</v>
      </c>
      <c r="E623" s="20" t="s">
        <v>21</v>
      </c>
      <c r="F623" s="20" t="s">
        <v>347</v>
      </c>
      <c r="G623" s="21" t="s">
        <v>2547</v>
      </c>
      <c r="H623" s="20"/>
      <c r="I623" s="20"/>
      <c r="J623" s="20"/>
      <c r="K623" s="22"/>
      <c r="L623" s="23"/>
      <c r="M623" s="20" t="s">
        <v>84</v>
      </c>
      <c r="N623" s="24" t="n">
        <v>6.57229</v>
      </c>
      <c r="O623" s="24" t="n">
        <v>3.36215</v>
      </c>
      <c r="P623" s="20" t="s">
        <v>85</v>
      </c>
      <c r="Q623" s="20" t="s">
        <v>86</v>
      </c>
      <c r="R623" s="20" t="s">
        <v>86</v>
      </c>
      <c r="S623" s="20" t="s">
        <v>87</v>
      </c>
      <c r="T623" s="25" t="s">
        <v>88</v>
      </c>
      <c r="U623" s="20" t="s">
        <v>89</v>
      </c>
      <c r="V623" s="20" t="s">
        <v>90</v>
      </c>
      <c r="W623" s="21"/>
    </row>
    <row r="624" customFormat="false" ht="15" hidden="false" customHeight="false" outlineLevel="0" collapsed="false">
      <c r="A624" s="20" t="n">
        <v>623</v>
      </c>
      <c r="B624" s="20" t="s">
        <v>2548</v>
      </c>
      <c r="C624" s="20" t="s">
        <v>5</v>
      </c>
      <c r="D624" s="20" t="s">
        <v>2549</v>
      </c>
      <c r="E624" s="20" t="s">
        <v>21</v>
      </c>
      <c r="F624" s="20" t="s">
        <v>347</v>
      </c>
      <c r="G624" s="21" t="s">
        <v>2549</v>
      </c>
      <c r="H624" s="20"/>
      <c r="I624" s="20"/>
      <c r="J624" s="20"/>
      <c r="K624" s="22"/>
      <c r="L624" s="23"/>
      <c r="M624" s="20" t="s">
        <v>84</v>
      </c>
      <c r="N624" s="24" t="n">
        <v>6.56907</v>
      </c>
      <c r="O624" s="24" t="n">
        <v>3.37502</v>
      </c>
      <c r="P624" s="20" t="s">
        <v>85</v>
      </c>
      <c r="Q624" s="20" t="s">
        <v>86</v>
      </c>
      <c r="R624" s="20" t="s">
        <v>86</v>
      </c>
      <c r="S624" s="20" t="s">
        <v>87</v>
      </c>
      <c r="T624" s="25" t="s">
        <v>88</v>
      </c>
      <c r="U624" s="20" t="s">
        <v>89</v>
      </c>
      <c r="V624" s="20" t="s">
        <v>90</v>
      </c>
      <c r="W624" s="21"/>
    </row>
    <row r="625" customFormat="false" ht="15" hidden="false" customHeight="false" outlineLevel="0" collapsed="false">
      <c r="A625" s="20" t="n">
        <v>624</v>
      </c>
      <c r="B625" s="20" t="s">
        <v>2550</v>
      </c>
      <c r="C625" s="20" t="s">
        <v>5</v>
      </c>
      <c r="D625" s="20" t="s">
        <v>2551</v>
      </c>
      <c r="E625" s="20" t="s">
        <v>21</v>
      </c>
      <c r="F625" s="20" t="s">
        <v>347</v>
      </c>
      <c r="G625" s="21" t="s">
        <v>2551</v>
      </c>
      <c r="H625" s="20"/>
      <c r="I625" s="20"/>
      <c r="J625" s="20"/>
      <c r="K625" s="22"/>
      <c r="L625" s="23"/>
      <c r="M625" s="20" t="s">
        <v>84</v>
      </c>
      <c r="N625" s="24" t="n">
        <v>6.57106</v>
      </c>
      <c r="O625" s="24" t="n">
        <v>3.37304</v>
      </c>
      <c r="P625" s="20" t="s">
        <v>85</v>
      </c>
      <c r="Q625" s="20" t="s">
        <v>86</v>
      </c>
      <c r="R625" s="20" t="s">
        <v>86</v>
      </c>
      <c r="S625" s="20" t="s">
        <v>87</v>
      </c>
      <c r="T625" s="25" t="s">
        <v>88</v>
      </c>
      <c r="U625" s="20" t="s">
        <v>89</v>
      </c>
      <c r="V625" s="20" t="s">
        <v>90</v>
      </c>
      <c r="W625" s="21"/>
    </row>
    <row r="626" customFormat="false" ht="15" hidden="false" customHeight="false" outlineLevel="0" collapsed="false">
      <c r="A626" s="20" t="n">
        <v>625</v>
      </c>
      <c r="B626" s="20" t="s">
        <v>2552</v>
      </c>
      <c r="C626" s="20" t="s">
        <v>5</v>
      </c>
      <c r="D626" s="20" t="s">
        <v>2553</v>
      </c>
      <c r="E626" s="20" t="s">
        <v>21</v>
      </c>
      <c r="F626" s="20" t="s">
        <v>347</v>
      </c>
      <c r="G626" s="21" t="s">
        <v>2553</v>
      </c>
      <c r="H626" s="20"/>
      <c r="I626" s="20"/>
      <c r="J626" s="20"/>
      <c r="K626" s="22"/>
      <c r="L626" s="23"/>
      <c r="M626" s="20" t="s">
        <v>84</v>
      </c>
      <c r="N626" s="24" t="n">
        <v>6.57161</v>
      </c>
      <c r="O626" s="24" t="n">
        <v>3.36348</v>
      </c>
      <c r="P626" s="20" t="s">
        <v>85</v>
      </c>
      <c r="Q626" s="20" t="s">
        <v>86</v>
      </c>
      <c r="R626" s="20" t="s">
        <v>86</v>
      </c>
      <c r="S626" s="20" t="s">
        <v>87</v>
      </c>
      <c r="T626" s="25" t="s">
        <v>88</v>
      </c>
      <c r="U626" s="20" t="s">
        <v>89</v>
      </c>
      <c r="V626" s="20" t="s">
        <v>90</v>
      </c>
      <c r="W626" s="21"/>
    </row>
    <row r="627" customFormat="false" ht="23.85" hidden="false" customHeight="false" outlineLevel="0" collapsed="false">
      <c r="A627" s="20" t="n">
        <v>626</v>
      </c>
      <c r="B627" s="20" t="s">
        <v>2554</v>
      </c>
      <c r="C627" s="20" t="s">
        <v>5</v>
      </c>
      <c r="D627" s="20"/>
      <c r="E627" s="20" t="s">
        <v>21</v>
      </c>
      <c r="F627" s="20" t="s">
        <v>446</v>
      </c>
      <c r="G627" s="21" t="s">
        <v>2555</v>
      </c>
      <c r="H627" s="20"/>
      <c r="I627" s="20"/>
      <c r="J627" s="20"/>
      <c r="K627" s="22" t="n">
        <v>5</v>
      </c>
      <c r="L627" s="23" t="n">
        <v>1</v>
      </c>
      <c r="M627" s="20" t="s">
        <v>84</v>
      </c>
      <c r="N627" s="24" t="n">
        <v>6.56962</v>
      </c>
      <c r="O627" s="24" t="n">
        <v>3.36317</v>
      </c>
      <c r="P627" s="20" t="s">
        <v>85</v>
      </c>
      <c r="Q627" s="20" t="s">
        <v>86</v>
      </c>
      <c r="R627" s="20" t="s">
        <v>86</v>
      </c>
      <c r="S627" s="20" t="s">
        <v>87</v>
      </c>
      <c r="T627" s="25" t="s">
        <v>88</v>
      </c>
      <c r="U627" s="20" t="s">
        <v>89</v>
      </c>
      <c r="V627" s="20" t="s">
        <v>90</v>
      </c>
      <c r="W627" s="21"/>
    </row>
    <row r="628" customFormat="false" ht="15" hidden="false" customHeight="false" outlineLevel="0" collapsed="false">
      <c r="A628" s="20" t="n">
        <v>627</v>
      </c>
      <c r="B628" s="20" t="s">
        <v>2556</v>
      </c>
      <c r="C628" s="20" t="s">
        <v>5</v>
      </c>
      <c r="D628" s="20" t="s">
        <v>2557</v>
      </c>
      <c r="E628" s="20" t="s">
        <v>21</v>
      </c>
      <c r="F628" s="20" t="s">
        <v>347</v>
      </c>
      <c r="G628" s="21" t="s">
        <v>2557</v>
      </c>
      <c r="H628" s="20"/>
      <c r="I628" s="20"/>
      <c r="J628" s="20"/>
      <c r="K628" s="22" t="n">
        <v>4</v>
      </c>
      <c r="L628" s="23" t="n">
        <v>9</v>
      </c>
      <c r="M628" s="20" t="s">
        <v>84</v>
      </c>
      <c r="N628" s="24" t="n">
        <v>6.56939</v>
      </c>
      <c r="O628" s="24" t="n">
        <v>3.37411</v>
      </c>
      <c r="P628" s="20" t="s">
        <v>85</v>
      </c>
      <c r="Q628" s="20" t="s">
        <v>86</v>
      </c>
      <c r="R628" s="20" t="s">
        <v>86</v>
      </c>
      <c r="S628" s="20" t="s">
        <v>87</v>
      </c>
      <c r="T628" s="25" t="s">
        <v>88</v>
      </c>
      <c r="U628" s="20" t="s">
        <v>89</v>
      </c>
      <c r="V628" s="20" t="s">
        <v>90</v>
      </c>
      <c r="W628" s="21"/>
    </row>
    <row r="629" customFormat="false" ht="15" hidden="false" customHeight="false" outlineLevel="0" collapsed="false">
      <c r="A629" s="20" t="n">
        <v>628</v>
      </c>
      <c r="B629" s="20" t="s">
        <v>2558</v>
      </c>
      <c r="C629" s="20" t="s">
        <v>5</v>
      </c>
      <c r="D629" s="20" t="s">
        <v>2559</v>
      </c>
      <c r="E629" s="20" t="s">
        <v>21</v>
      </c>
      <c r="F629" s="20" t="s">
        <v>486</v>
      </c>
      <c r="G629" s="21" t="s">
        <v>2559</v>
      </c>
      <c r="H629" s="20"/>
      <c r="I629" s="20"/>
      <c r="J629" s="20"/>
      <c r="K629" s="22" t="n">
        <v>4.5</v>
      </c>
      <c r="L629" s="23" t="n">
        <v>8</v>
      </c>
      <c r="M629" s="20" t="s">
        <v>84</v>
      </c>
      <c r="N629" s="24" t="n">
        <v>6.56943</v>
      </c>
      <c r="O629" s="24" t="n">
        <v>3.36278</v>
      </c>
      <c r="P629" s="20" t="s">
        <v>85</v>
      </c>
      <c r="Q629" s="20" t="s">
        <v>86</v>
      </c>
      <c r="R629" s="20" t="s">
        <v>86</v>
      </c>
      <c r="S629" s="20" t="s">
        <v>87</v>
      </c>
      <c r="T629" s="25" t="s">
        <v>88</v>
      </c>
      <c r="U629" s="20" t="s">
        <v>89</v>
      </c>
      <c r="V629" s="20" t="s">
        <v>90</v>
      </c>
      <c r="W629" s="21"/>
    </row>
    <row r="630" customFormat="false" ht="23.85" hidden="false" customHeight="false" outlineLevel="0" collapsed="false">
      <c r="A630" s="20" t="n">
        <v>629</v>
      </c>
      <c r="B630" s="20" t="s">
        <v>2560</v>
      </c>
      <c r="C630" s="20" t="s">
        <v>5</v>
      </c>
      <c r="D630" s="20" t="s">
        <v>2561</v>
      </c>
      <c r="E630" s="20" t="s">
        <v>21</v>
      </c>
      <c r="F630" s="20" t="s">
        <v>405</v>
      </c>
      <c r="G630" s="21" t="s">
        <v>2562</v>
      </c>
      <c r="H630" s="20" t="s">
        <v>2563</v>
      </c>
      <c r="I630" s="20"/>
      <c r="J630" s="20"/>
      <c r="K630" s="22"/>
      <c r="L630" s="23"/>
      <c r="M630" s="20" t="s">
        <v>100</v>
      </c>
      <c r="N630" s="24"/>
      <c r="O630" s="24"/>
      <c r="P630" s="20" t="s">
        <v>101</v>
      </c>
      <c r="Q630" s="20" t="s">
        <v>86</v>
      </c>
      <c r="R630" s="20" t="s">
        <v>86</v>
      </c>
      <c r="S630" s="20" t="s">
        <v>102</v>
      </c>
      <c r="T630" s="26" t="s">
        <v>103</v>
      </c>
      <c r="U630" s="20" t="s">
        <v>104</v>
      </c>
      <c r="V630" s="20" t="s">
        <v>138</v>
      </c>
      <c r="W630" s="21" t="s">
        <v>181</v>
      </c>
    </row>
    <row r="631" customFormat="false" ht="15" hidden="false" customHeight="false" outlineLevel="0" collapsed="false">
      <c r="A631" s="20" t="n">
        <v>630</v>
      </c>
      <c r="B631" s="20" t="s">
        <v>2564</v>
      </c>
      <c r="C631" s="20" t="s">
        <v>5</v>
      </c>
      <c r="D631" s="20" t="s">
        <v>2565</v>
      </c>
      <c r="E631" s="20" t="s">
        <v>21</v>
      </c>
      <c r="F631" s="20" t="s">
        <v>347</v>
      </c>
      <c r="G631" s="21" t="s">
        <v>2565</v>
      </c>
      <c r="H631" s="20"/>
      <c r="I631" s="20"/>
      <c r="J631" s="20"/>
      <c r="K631" s="22" t="n">
        <v>4.8</v>
      </c>
      <c r="L631" s="23" t="n">
        <v>96</v>
      </c>
      <c r="M631" s="20" t="s">
        <v>84</v>
      </c>
      <c r="N631" s="24" t="n">
        <v>6.56957</v>
      </c>
      <c r="O631" s="24" t="n">
        <v>3.37342</v>
      </c>
      <c r="P631" s="20" t="s">
        <v>85</v>
      </c>
      <c r="Q631" s="20" t="s">
        <v>86</v>
      </c>
      <c r="R631" s="20" t="s">
        <v>86</v>
      </c>
      <c r="S631" s="20" t="s">
        <v>87</v>
      </c>
      <c r="T631" s="25" t="s">
        <v>88</v>
      </c>
      <c r="U631" s="20" t="s">
        <v>89</v>
      </c>
      <c r="V631" s="20" t="s">
        <v>90</v>
      </c>
      <c r="W631" s="21"/>
    </row>
    <row r="632" customFormat="false" ht="15" hidden="false" customHeight="false" outlineLevel="0" collapsed="false">
      <c r="A632" s="20" t="n">
        <v>631</v>
      </c>
      <c r="B632" s="20" t="s">
        <v>2566</v>
      </c>
      <c r="C632" s="20" t="s">
        <v>5</v>
      </c>
      <c r="D632" s="20" t="s">
        <v>2567</v>
      </c>
      <c r="E632" s="20" t="s">
        <v>21</v>
      </c>
      <c r="F632" s="20" t="s">
        <v>446</v>
      </c>
      <c r="G632" s="21" t="s">
        <v>2567</v>
      </c>
      <c r="H632" s="20"/>
      <c r="I632" s="20"/>
      <c r="J632" s="20"/>
      <c r="K632" s="22" t="n">
        <v>5</v>
      </c>
      <c r="L632" s="23" t="n">
        <v>3</v>
      </c>
      <c r="M632" s="20" t="s">
        <v>84</v>
      </c>
      <c r="N632" s="24" t="n">
        <v>6.57011</v>
      </c>
      <c r="O632" s="24" t="n">
        <v>3.37214</v>
      </c>
      <c r="P632" s="20" t="s">
        <v>85</v>
      </c>
      <c r="Q632" s="20" t="s">
        <v>86</v>
      </c>
      <c r="R632" s="20" t="s">
        <v>86</v>
      </c>
      <c r="S632" s="20" t="s">
        <v>87</v>
      </c>
      <c r="T632" s="25" t="s">
        <v>88</v>
      </c>
      <c r="U632" s="20" t="s">
        <v>89</v>
      </c>
      <c r="V632" s="20" t="s">
        <v>90</v>
      </c>
      <c r="W632" s="21"/>
    </row>
    <row r="633" customFormat="false" ht="15" hidden="false" customHeight="false" outlineLevel="0" collapsed="false">
      <c r="A633" s="20" t="n">
        <v>632</v>
      </c>
      <c r="B633" s="20" t="s">
        <v>2568</v>
      </c>
      <c r="C633" s="20" t="s">
        <v>5</v>
      </c>
      <c r="D633" s="20" t="s">
        <v>2569</v>
      </c>
      <c r="E633" s="20" t="s">
        <v>21</v>
      </c>
      <c r="F633" s="20" t="s">
        <v>347</v>
      </c>
      <c r="G633" s="21" t="s">
        <v>2569</v>
      </c>
      <c r="H633" s="20"/>
      <c r="I633" s="20"/>
      <c r="J633" s="20"/>
      <c r="K633" s="22"/>
      <c r="L633" s="23"/>
      <c r="M633" s="20" t="s">
        <v>84</v>
      </c>
      <c r="N633" s="24" t="n">
        <v>6.5711</v>
      </c>
      <c r="O633" s="24" t="n">
        <v>3.36391</v>
      </c>
      <c r="P633" s="20" t="s">
        <v>85</v>
      </c>
      <c r="Q633" s="20" t="s">
        <v>86</v>
      </c>
      <c r="R633" s="20" t="s">
        <v>86</v>
      </c>
      <c r="S633" s="20" t="s">
        <v>87</v>
      </c>
      <c r="T633" s="25" t="s">
        <v>88</v>
      </c>
      <c r="U633" s="20" t="s">
        <v>89</v>
      </c>
      <c r="V633" s="20" t="s">
        <v>90</v>
      </c>
      <c r="W633" s="21"/>
    </row>
    <row r="634" customFormat="false" ht="15" hidden="false" customHeight="false" outlineLevel="0" collapsed="false">
      <c r="A634" s="20" t="n">
        <v>633</v>
      </c>
      <c r="B634" s="20" t="s">
        <v>2570</v>
      </c>
      <c r="C634" s="20" t="s">
        <v>5</v>
      </c>
      <c r="D634" s="20" t="s">
        <v>2571</v>
      </c>
      <c r="E634" s="20" t="s">
        <v>21</v>
      </c>
      <c r="F634" s="20" t="s">
        <v>433</v>
      </c>
      <c r="G634" s="21" t="s">
        <v>2571</v>
      </c>
      <c r="H634" s="20"/>
      <c r="I634" s="20"/>
      <c r="J634" s="20"/>
      <c r="K634" s="22" t="n">
        <v>5</v>
      </c>
      <c r="L634" s="23" t="n">
        <v>1</v>
      </c>
      <c r="M634" s="20" t="s">
        <v>84</v>
      </c>
      <c r="N634" s="24" t="n">
        <v>6.57096</v>
      </c>
      <c r="O634" s="24" t="n">
        <v>3.36408</v>
      </c>
      <c r="P634" s="20" t="s">
        <v>85</v>
      </c>
      <c r="Q634" s="20" t="s">
        <v>86</v>
      </c>
      <c r="R634" s="20" t="s">
        <v>86</v>
      </c>
      <c r="S634" s="20" t="s">
        <v>87</v>
      </c>
      <c r="T634" s="25" t="s">
        <v>88</v>
      </c>
      <c r="U634" s="20" t="s">
        <v>89</v>
      </c>
      <c r="V634" s="20" t="s">
        <v>90</v>
      </c>
      <c r="W634" s="21"/>
    </row>
    <row r="635" customFormat="false" ht="15" hidden="false" customHeight="false" outlineLevel="0" collapsed="false">
      <c r="A635" s="20" t="n">
        <v>634</v>
      </c>
      <c r="B635" s="20" t="s">
        <v>2572</v>
      </c>
      <c r="C635" s="20" t="s">
        <v>5</v>
      </c>
      <c r="D635" s="20" t="s">
        <v>2573</v>
      </c>
      <c r="E635" s="20" t="s">
        <v>21</v>
      </c>
      <c r="F635" s="20" t="s">
        <v>347</v>
      </c>
      <c r="G635" s="21" t="s">
        <v>2573</v>
      </c>
      <c r="H635" s="20"/>
      <c r="I635" s="20"/>
      <c r="J635" s="20"/>
      <c r="K635" s="22" t="n">
        <v>2</v>
      </c>
      <c r="L635" s="23" t="n">
        <v>1</v>
      </c>
      <c r="M635" s="20" t="s">
        <v>84</v>
      </c>
      <c r="N635" s="24" t="n">
        <v>6.57147</v>
      </c>
      <c r="O635" s="24" t="n">
        <v>3.37633</v>
      </c>
      <c r="P635" s="20" t="s">
        <v>85</v>
      </c>
      <c r="Q635" s="20" t="s">
        <v>86</v>
      </c>
      <c r="R635" s="20" t="s">
        <v>86</v>
      </c>
      <c r="S635" s="20" t="s">
        <v>87</v>
      </c>
      <c r="T635" s="25" t="s">
        <v>88</v>
      </c>
      <c r="U635" s="20" t="s">
        <v>89</v>
      </c>
      <c r="V635" s="20" t="s">
        <v>90</v>
      </c>
      <c r="W635" s="21"/>
    </row>
    <row r="636" customFormat="false" ht="15" hidden="false" customHeight="false" outlineLevel="0" collapsed="false">
      <c r="A636" s="20" t="n">
        <v>635</v>
      </c>
      <c r="B636" s="20" t="s">
        <v>2574</v>
      </c>
      <c r="C636" s="20" t="s">
        <v>5</v>
      </c>
      <c r="D636" s="20" t="s">
        <v>2575</v>
      </c>
      <c r="E636" s="20" t="s">
        <v>21</v>
      </c>
      <c r="F636" s="20" t="s">
        <v>347</v>
      </c>
      <c r="G636" s="21" t="s">
        <v>2575</v>
      </c>
      <c r="H636" s="20"/>
      <c r="I636" s="20"/>
      <c r="J636" s="20"/>
      <c r="K636" s="22" t="n">
        <v>4</v>
      </c>
      <c r="L636" s="23" t="n">
        <v>1</v>
      </c>
      <c r="M636" s="20" t="s">
        <v>84</v>
      </c>
      <c r="N636" s="24" t="n">
        <v>6.57216</v>
      </c>
      <c r="O636" s="24" t="n">
        <v>3.37064</v>
      </c>
      <c r="P636" s="20" t="s">
        <v>85</v>
      </c>
      <c r="Q636" s="20" t="s">
        <v>86</v>
      </c>
      <c r="R636" s="20" t="s">
        <v>86</v>
      </c>
      <c r="S636" s="20" t="s">
        <v>87</v>
      </c>
      <c r="T636" s="25" t="s">
        <v>88</v>
      </c>
      <c r="U636" s="20" t="s">
        <v>89</v>
      </c>
      <c r="V636" s="20" t="s">
        <v>90</v>
      </c>
      <c r="W636" s="21"/>
    </row>
    <row r="637" customFormat="false" ht="15" hidden="false" customHeight="false" outlineLevel="0" collapsed="false">
      <c r="A637" s="20" t="n">
        <v>636</v>
      </c>
      <c r="B637" s="20" t="s">
        <v>2576</v>
      </c>
      <c r="C637" s="20" t="s">
        <v>5</v>
      </c>
      <c r="D637" s="20" t="s">
        <v>2577</v>
      </c>
      <c r="E637" s="20" t="s">
        <v>21</v>
      </c>
      <c r="F637" s="20" t="s">
        <v>347</v>
      </c>
      <c r="G637" s="21" t="s">
        <v>2578</v>
      </c>
      <c r="H637" s="20"/>
      <c r="I637" s="20"/>
      <c r="J637" s="20"/>
      <c r="K637" s="22" t="n">
        <v>2.5</v>
      </c>
      <c r="L637" s="23" t="n">
        <v>2</v>
      </c>
      <c r="M637" s="20" t="s">
        <v>84</v>
      </c>
      <c r="N637" s="24" t="n">
        <v>6.5734</v>
      </c>
      <c r="O637" s="24" t="n">
        <v>3.37155</v>
      </c>
      <c r="P637" s="20" t="s">
        <v>85</v>
      </c>
      <c r="Q637" s="20" t="s">
        <v>86</v>
      </c>
      <c r="R637" s="20" t="s">
        <v>86</v>
      </c>
      <c r="S637" s="20" t="s">
        <v>87</v>
      </c>
      <c r="T637" s="25" t="s">
        <v>88</v>
      </c>
      <c r="U637" s="20" t="s">
        <v>89</v>
      </c>
      <c r="V637" s="20" t="s">
        <v>90</v>
      </c>
      <c r="W637" s="21"/>
    </row>
    <row r="638" customFormat="false" ht="15" hidden="false" customHeight="false" outlineLevel="0" collapsed="false">
      <c r="A638" s="20" t="n">
        <v>637</v>
      </c>
      <c r="B638" s="20" t="s">
        <v>2579</v>
      </c>
      <c r="C638" s="20" t="s">
        <v>5</v>
      </c>
      <c r="D638" s="20" t="s">
        <v>2580</v>
      </c>
      <c r="E638" s="20" t="s">
        <v>21</v>
      </c>
      <c r="F638" s="20" t="s">
        <v>347</v>
      </c>
      <c r="G638" s="21" t="s">
        <v>2581</v>
      </c>
      <c r="H638" s="20"/>
      <c r="I638" s="20"/>
      <c r="J638" s="20"/>
      <c r="K638" s="22" t="n">
        <v>5</v>
      </c>
      <c r="L638" s="23" t="n">
        <v>6</v>
      </c>
      <c r="M638" s="20" t="s">
        <v>84</v>
      </c>
      <c r="N638" s="24" t="n">
        <v>6.56734</v>
      </c>
      <c r="O638" s="24" t="n">
        <v>3.37094</v>
      </c>
      <c r="P638" s="20" t="s">
        <v>85</v>
      </c>
      <c r="Q638" s="20" t="s">
        <v>86</v>
      </c>
      <c r="R638" s="20" t="s">
        <v>86</v>
      </c>
      <c r="S638" s="20" t="s">
        <v>87</v>
      </c>
      <c r="T638" s="25" t="s">
        <v>88</v>
      </c>
      <c r="U638" s="20" t="s">
        <v>89</v>
      </c>
      <c r="V638" s="20" t="s">
        <v>90</v>
      </c>
      <c r="W638" s="21"/>
    </row>
    <row r="639" customFormat="false" ht="15" hidden="false" customHeight="false" outlineLevel="0" collapsed="false">
      <c r="A639" s="20" t="n">
        <v>638</v>
      </c>
      <c r="B639" s="20" t="s">
        <v>2582</v>
      </c>
      <c r="C639" s="20" t="s">
        <v>5</v>
      </c>
      <c r="D639" s="20" t="s">
        <v>2226</v>
      </c>
      <c r="E639" s="20" t="s">
        <v>21</v>
      </c>
      <c r="F639" s="20" t="s">
        <v>347</v>
      </c>
      <c r="G639" s="21" t="s">
        <v>2583</v>
      </c>
      <c r="H639" s="20"/>
      <c r="I639" s="20"/>
      <c r="J639" s="20"/>
      <c r="K639" s="22" t="n">
        <v>5</v>
      </c>
      <c r="L639" s="23" t="n">
        <v>2</v>
      </c>
      <c r="M639" s="20" t="s">
        <v>84</v>
      </c>
      <c r="N639" s="24" t="n">
        <v>6.56791</v>
      </c>
      <c r="O639" s="24" t="n">
        <v>3.36762</v>
      </c>
      <c r="P639" s="20" t="s">
        <v>85</v>
      </c>
      <c r="Q639" s="20" t="s">
        <v>86</v>
      </c>
      <c r="R639" s="20" t="s">
        <v>86</v>
      </c>
      <c r="S639" s="20" t="s">
        <v>87</v>
      </c>
      <c r="T639" s="25" t="s">
        <v>88</v>
      </c>
      <c r="U639" s="20" t="s">
        <v>89</v>
      </c>
      <c r="V639" s="20" t="s">
        <v>90</v>
      </c>
      <c r="W639" s="21"/>
    </row>
    <row r="640" customFormat="false" ht="23.85" hidden="false" customHeight="false" outlineLevel="0" collapsed="false">
      <c r="A640" s="20" t="n">
        <v>639</v>
      </c>
      <c r="B640" s="20" t="s">
        <v>2584</v>
      </c>
      <c r="C640" s="20" t="s">
        <v>5</v>
      </c>
      <c r="D640" s="20" t="s">
        <v>2585</v>
      </c>
      <c r="E640" s="20" t="s">
        <v>21</v>
      </c>
      <c r="F640" s="20" t="s">
        <v>347</v>
      </c>
      <c r="G640" s="21" t="s">
        <v>2586</v>
      </c>
      <c r="H640" s="20"/>
      <c r="I640" s="20"/>
      <c r="J640" s="20"/>
      <c r="K640" s="22" t="n">
        <v>5</v>
      </c>
      <c r="L640" s="23" t="n">
        <v>1</v>
      </c>
      <c r="M640" s="20" t="s">
        <v>84</v>
      </c>
      <c r="N640" s="24" t="n">
        <v>6.5679</v>
      </c>
      <c r="O640" s="24" t="n">
        <v>3.36758</v>
      </c>
      <c r="P640" s="20" t="s">
        <v>85</v>
      </c>
      <c r="Q640" s="20" t="s">
        <v>86</v>
      </c>
      <c r="R640" s="20" t="s">
        <v>86</v>
      </c>
      <c r="S640" s="20" t="s">
        <v>87</v>
      </c>
      <c r="T640" s="25" t="s">
        <v>88</v>
      </c>
      <c r="U640" s="20" t="s">
        <v>89</v>
      </c>
      <c r="V640" s="20" t="s">
        <v>90</v>
      </c>
      <c r="W640" s="21"/>
    </row>
    <row r="641" customFormat="false" ht="15" hidden="false" customHeight="false" outlineLevel="0" collapsed="false">
      <c r="A641" s="20" t="n">
        <v>640</v>
      </c>
      <c r="B641" s="20" t="s">
        <v>2587</v>
      </c>
      <c r="C641" s="20" t="s">
        <v>5</v>
      </c>
      <c r="D641" s="20" t="s">
        <v>500</v>
      </c>
      <c r="E641" s="20" t="s">
        <v>21</v>
      </c>
      <c r="F641" s="20" t="s">
        <v>359</v>
      </c>
      <c r="G641" s="21" t="s">
        <v>2588</v>
      </c>
      <c r="H641" s="20" t="s">
        <v>2589</v>
      </c>
      <c r="I641" s="20"/>
      <c r="J641" s="20"/>
      <c r="K641" s="22"/>
      <c r="L641" s="23"/>
      <c r="M641" s="20" t="s">
        <v>100</v>
      </c>
      <c r="N641" s="24"/>
      <c r="O641" s="24"/>
      <c r="P641" s="20" t="s">
        <v>101</v>
      </c>
      <c r="Q641" s="20" t="s">
        <v>86</v>
      </c>
      <c r="R641" s="20" t="s">
        <v>86</v>
      </c>
      <c r="S641" s="20" t="s">
        <v>102</v>
      </c>
      <c r="T641" s="26" t="s">
        <v>103</v>
      </c>
      <c r="U641" s="20" t="s">
        <v>104</v>
      </c>
      <c r="V641" s="20" t="s">
        <v>90</v>
      </c>
      <c r="W641" s="21"/>
    </row>
    <row r="642" customFormat="false" ht="23.85" hidden="false" customHeight="false" outlineLevel="0" collapsed="false">
      <c r="A642" s="20" t="n">
        <v>641</v>
      </c>
      <c r="B642" s="20" t="s">
        <v>2590</v>
      </c>
      <c r="C642" s="20" t="s">
        <v>5</v>
      </c>
      <c r="D642" s="20" t="s">
        <v>2591</v>
      </c>
      <c r="E642" s="20" t="s">
        <v>21</v>
      </c>
      <c r="F642" s="20" t="s">
        <v>347</v>
      </c>
      <c r="G642" s="21" t="s">
        <v>2592</v>
      </c>
      <c r="H642" s="20"/>
      <c r="I642" s="20"/>
      <c r="J642" s="20"/>
      <c r="K642" s="22"/>
      <c r="L642" s="23"/>
      <c r="M642" s="20" t="s">
        <v>84</v>
      </c>
      <c r="N642" s="24" t="n">
        <v>6.57665</v>
      </c>
      <c r="O642" s="24" t="n">
        <v>3.36851</v>
      </c>
      <c r="P642" s="20" t="s">
        <v>85</v>
      </c>
      <c r="Q642" s="20" t="s">
        <v>86</v>
      </c>
      <c r="R642" s="20" t="s">
        <v>86</v>
      </c>
      <c r="S642" s="20" t="s">
        <v>87</v>
      </c>
      <c r="T642" s="25" t="s">
        <v>88</v>
      </c>
      <c r="U642" s="20" t="s">
        <v>89</v>
      </c>
      <c r="V642" s="20" t="s">
        <v>90</v>
      </c>
      <c r="W642" s="21"/>
    </row>
    <row r="643" customFormat="false" ht="15" hidden="false" customHeight="false" outlineLevel="0" collapsed="false">
      <c r="A643" s="20" t="n">
        <v>642</v>
      </c>
      <c r="B643" s="20" t="s">
        <v>2593</v>
      </c>
      <c r="C643" s="20" t="s">
        <v>5</v>
      </c>
      <c r="D643" s="20" t="s">
        <v>2594</v>
      </c>
      <c r="E643" s="20" t="s">
        <v>21</v>
      </c>
      <c r="F643" s="20" t="s">
        <v>347</v>
      </c>
      <c r="G643" s="21" t="s">
        <v>2594</v>
      </c>
      <c r="H643" s="20"/>
      <c r="I643" s="20"/>
      <c r="J643" s="20"/>
      <c r="K643" s="22"/>
      <c r="L643" s="23"/>
      <c r="M643" s="20" t="s">
        <v>84</v>
      </c>
      <c r="N643" s="24" t="n">
        <v>6.57169</v>
      </c>
      <c r="O643" s="24" t="n">
        <v>3.37244</v>
      </c>
      <c r="P643" s="20" t="s">
        <v>85</v>
      </c>
      <c r="Q643" s="20" t="s">
        <v>86</v>
      </c>
      <c r="R643" s="20" t="s">
        <v>86</v>
      </c>
      <c r="S643" s="20" t="s">
        <v>87</v>
      </c>
      <c r="T643" s="25" t="s">
        <v>88</v>
      </c>
      <c r="U643" s="20" t="s">
        <v>89</v>
      </c>
      <c r="V643" s="20" t="s">
        <v>90</v>
      </c>
      <c r="W643" s="21"/>
    </row>
    <row r="644" customFormat="false" ht="15" hidden="false" customHeight="false" outlineLevel="0" collapsed="false">
      <c r="A644" s="20" t="n">
        <v>643</v>
      </c>
      <c r="B644" s="20" t="s">
        <v>2595</v>
      </c>
      <c r="C644" s="20" t="s">
        <v>5</v>
      </c>
      <c r="D644" s="20" t="s">
        <v>2567</v>
      </c>
      <c r="E644" s="20" t="s">
        <v>21</v>
      </c>
      <c r="F644" s="20" t="s">
        <v>347</v>
      </c>
      <c r="G644" s="21" t="s">
        <v>2567</v>
      </c>
      <c r="H644" s="20"/>
      <c r="I644" s="20"/>
      <c r="J644" s="20"/>
      <c r="K644" s="22"/>
      <c r="L644" s="23"/>
      <c r="M644" s="20" t="s">
        <v>84</v>
      </c>
      <c r="N644" s="24" t="n">
        <v>6.57013</v>
      </c>
      <c r="O644" s="24" t="n">
        <v>3.37205</v>
      </c>
      <c r="P644" s="20" t="s">
        <v>85</v>
      </c>
      <c r="Q644" s="20" t="s">
        <v>86</v>
      </c>
      <c r="R644" s="20" t="s">
        <v>86</v>
      </c>
      <c r="S644" s="20" t="s">
        <v>87</v>
      </c>
      <c r="T644" s="25" t="s">
        <v>88</v>
      </c>
      <c r="U644" s="20" t="s">
        <v>89</v>
      </c>
      <c r="V644" s="20" t="s">
        <v>90</v>
      </c>
      <c r="W644" s="21"/>
    </row>
    <row r="645" customFormat="false" ht="15" hidden="false" customHeight="false" outlineLevel="0" collapsed="false">
      <c r="A645" s="20" t="n">
        <v>644</v>
      </c>
      <c r="B645" s="20" t="s">
        <v>2596</v>
      </c>
      <c r="C645" s="20" t="s">
        <v>5</v>
      </c>
      <c r="D645" s="20" t="s">
        <v>2597</v>
      </c>
      <c r="E645" s="20" t="s">
        <v>21</v>
      </c>
      <c r="F645" s="20" t="s">
        <v>356</v>
      </c>
      <c r="G645" s="21" t="s">
        <v>2598</v>
      </c>
      <c r="H645" s="20"/>
      <c r="I645" s="20"/>
      <c r="J645" s="20"/>
      <c r="K645" s="22"/>
      <c r="L645" s="23"/>
      <c r="M645" s="20" t="s">
        <v>84</v>
      </c>
      <c r="N645" s="24" t="n">
        <v>6.57213</v>
      </c>
      <c r="O645" s="24" t="n">
        <v>3.36466</v>
      </c>
      <c r="P645" s="20" t="s">
        <v>85</v>
      </c>
      <c r="Q645" s="20" t="s">
        <v>86</v>
      </c>
      <c r="R645" s="20" t="s">
        <v>86</v>
      </c>
      <c r="S645" s="20" t="s">
        <v>87</v>
      </c>
      <c r="T645" s="25" t="s">
        <v>88</v>
      </c>
      <c r="U645" s="20" t="s">
        <v>89</v>
      </c>
      <c r="V645" s="20" t="s">
        <v>90</v>
      </c>
      <c r="W645" s="21"/>
    </row>
    <row r="646" customFormat="false" ht="15" hidden="false" customHeight="false" outlineLevel="0" collapsed="false">
      <c r="A646" s="20" t="n">
        <v>645</v>
      </c>
      <c r="B646" s="20" t="s">
        <v>2599</v>
      </c>
      <c r="C646" s="20" t="s">
        <v>5</v>
      </c>
      <c r="D646" s="20" t="s">
        <v>2470</v>
      </c>
      <c r="E646" s="20" t="s">
        <v>21</v>
      </c>
      <c r="F646" s="20" t="s">
        <v>347</v>
      </c>
      <c r="G646" s="21" t="s">
        <v>2600</v>
      </c>
      <c r="H646" s="20"/>
      <c r="I646" s="20"/>
      <c r="J646" s="20"/>
      <c r="K646" s="22"/>
      <c r="L646" s="23"/>
      <c r="M646" s="20" t="s">
        <v>84</v>
      </c>
      <c r="N646" s="24" t="n">
        <v>6.56982</v>
      </c>
      <c r="O646" s="24" t="n">
        <v>3.36463</v>
      </c>
      <c r="P646" s="20" t="s">
        <v>85</v>
      </c>
      <c r="Q646" s="20" t="s">
        <v>86</v>
      </c>
      <c r="R646" s="20" t="s">
        <v>86</v>
      </c>
      <c r="S646" s="20" t="s">
        <v>87</v>
      </c>
      <c r="T646" s="25" t="s">
        <v>88</v>
      </c>
      <c r="U646" s="20" t="s">
        <v>89</v>
      </c>
      <c r="V646" s="20" t="s">
        <v>90</v>
      </c>
      <c r="W646" s="21"/>
    </row>
    <row r="647" customFormat="false" ht="15" hidden="false" customHeight="false" outlineLevel="0" collapsed="false">
      <c r="A647" s="20" t="n">
        <v>646</v>
      </c>
      <c r="B647" s="20" t="s">
        <v>2601</v>
      </c>
      <c r="C647" s="20" t="s">
        <v>5</v>
      </c>
      <c r="D647" s="20" t="s">
        <v>2602</v>
      </c>
      <c r="E647" s="20" t="s">
        <v>21</v>
      </c>
      <c r="F647" s="20" t="s">
        <v>2603</v>
      </c>
      <c r="G647" s="21" t="s">
        <v>2604</v>
      </c>
      <c r="H647" s="20"/>
      <c r="I647" s="20"/>
      <c r="J647" s="20"/>
      <c r="K647" s="22" t="n">
        <v>4.5</v>
      </c>
      <c r="L647" s="23" t="n">
        <v>114</v>
      </c>
      <c r="M647" s="20" t="s">
        <v>84</v>
      </c>
      <c r="N647" s="24" t="n">
        <v>6.56664</v>
      </c>
      <c r="O647" s="24" t="n">
        <v>3.36701</v>
      </c>
      <c r="P647" s="20" t="s">
        <v>85</v>
      </c>
      <c r="Q647" s="20" t="s">
        <v>86</v>
      </c>
      <c r="R647" s="20" t="s">
        <v>86</v>
      </c>
      <c r="S647" s="20" t="s">
        <v>87</v>
      </c>
      <c r="T647" s="25" t="s">
        <v>88</v>
      </c>
      <c r="U647" s="20" t="s">
        <v>89</v>
      </c>
      <c r="V647" s="20" t="s">
        <v>90</v>
      </c>
      <c r="W647" s="21"/>
    </row>
    <row r="648" customFormat="false" ht="15" hidden="false" customHeight="false" outlineLevel="0" collapsed="false">
      <c r="A648" s="20" t="n">
        <v>647</v>
      </c>
      <c r="B648" s="20" t="s">
        <v>2605</v>
      </c>
      <c r="C648" s="20" t="s">
        <v>5</v>
      </c>
      <c r="D648" s="20" t="s">
        <v>2492</v>
      </c>
      <c r="E648" s="20" t="s">
        <v>22</v>
      </c>
      <c r="F648" s="20" t="s">
        <v>540</v>
      </c>
      <c r="G648" s="21" t="s">
        <v>2606</v>
      </c>
      <c r="H648" s="20"/>
      <c r="I648" s="20"/>
      <c r="J648" s="20"/>
      <c r="K648" s="22"/>
      <c r="L648" s="23"/>
      <c r="M648" s="20" t="s">
        <v>84</v>
      </c>
      <c r="N648" s="24" t="n">
        <v>6.57216</v>
      </c>
      <c r="O648" s="24" t="n">
        <v>3.37036</v>
      </c>
      <c r="P648" s="20" t="s">
        <v>85</v>
      </c>
      <c r="Q648" s="20" t="s">
        <v>86</v>
      </c>
      <c r="R648" s="20" t="s">
        <v>86</v>
      </c>
      <c r="S648" s="20" t="s">
        <v>87</v>
      </c>
      <c r="T648" s="25" t="s">
        <v>88</v>
      </c>
      <c r="U648" s="20" t="s">
        <v>89</v>
      </c>
      <c r="V648" s="20" t="s">
        <v>90</v>
      </c>
      <c r="W648" s="21"/>
    </row>
    <row r="649" customFormat="false" ht="15" hidden="false" customHeight="false" outlineLevel="0" collapsed="false">
      <c r="A649" s="20" t="n">
        <v>648</v>
      </c>
      <c r="B649" s="20" t="s">
        <v>2607</v>
      </c>
      <c r="C649" s="20" t="s">
        <v>5</v>
      </c>
      <c r="D649" s="20" t="s">
        <v>795</v>
      </c>
      <c r="E649" s="20" t="s">
        <v>22</v>
      </c>
      <c r="F649" s="20" t="s">
        <v>540</v>
      </c>
      <c r="G649" s="21" t="s">
        <v>2608</v>
      </c>
      <c r="H649" s="20"/>
      <c r="I649" s="20"/>
      <c r="J649" s="20"/>
      <c r="K649" s="22"/>
      <c r="L649" s="23"/>
      <c r="M649" s="20" t="s">
        <v>84</v>
      </c>
      <c r="N649" s="24" t="n">
        <v>6.56914</v>
      </c>
      <c r="O649" s="24" t="n">
        <v>3.37924</v>
      </c>
      <c r="P649" s="20" t="s">
        <v>85</v>
      </c>
      <c r="Q649" s="20" t="s">
        <v>86</v>
      </c>
      <c r="R649" s="20" t="s">
        <v>86</v>
      </c>
      <c r="S649" s="20" t="s">
        <v>87</v>
      </c>
      <c r="T649" s="25" t="s">
        <v>88</v>
      </c>
      <c r="U649" s="20" t="s">
        <v>89</v>
      </c>
      <c r="V649" s="20" t="s">
        <v>90</v>
      </c>
      <c r="W649" s="21"/>
    </row>
    <row r="650" customFormat="false" ht="15" hidden="false" customHeight="false" outlineLevel="0" collapsed="false">
      <c r="A650" s="20" t="n">
        <v>649</v>
      </c>
      <c r="B650" s="20" t="s">
        <v>2609</v>
      </c>
      <c r="C650" s="20" t="s">
        <v>5</v>
      </c>
      <c r="D650" s="20" t="s">
        <v>81</v>
      </c>
      <c r="E650" s="20" t="s">
        <v>22</v>
      </c>
      <c r="F650" s="20" t="s">
        <v>540</v>
      </c>
      <c r="G650" s="21" t="s">
        <v>2610</v>
      </c>
      <c r="H650" s="20"/>
      <c r="I650" s="20"/>
      <c r="J650" s="20"/>
      <c r="K650" s="22"/>
      <c r="L650" s="23"/>
      <c r="M650" s="20" t="s">
        <v>84</v>
      </c>
      <c r="N650" s="24" t="n">
        <v>6.57229</v>
      </c>
      <c r="O650" s="24" t="n">
        <v>3.36215</v>
      </c>
      <c r="P650" s="20" t="s">
        <v>85</v>
      </c>
      <c r="Q650" s="20" t="s">
        <v>86</v>
      </c>
      <c r="R650" s="20" t="s">
        <v>86</v>
      </c>
      <c r="S650" s="20" t="s">
        <v>87</v>
      </c>
      <c r="T650" s="25" t="s">
        <v>88</v>
      </c>
      <c r="U650" s="20" t="s">
        <v>89</v>
      </c>
      <c r="V650" s="20" t="s">
        <v>90</v>
      </c>
      <c r="W650" s="21"/>
    </row>
    <row r="651" customFormat="false" ht="15" hidden="false" customHeight="false" outlineLevel="0" collapsed="false">
      <c r="A651" s="20" t="n">
        <v>650</v>
      </c>
      <c r="B651" s="20" t="s">
        <v>2611</v>
      </c>
      <c r="C651" s="20" t="s">
        <v>5</v>
      </c>
      <c r="D651" s="20" t="s">
        <v>2612</v>
      </c>
      <c r="E651" s="20" t="s">
        <v>22</v>
      </c>
      <c r="F651" s="20" t="s">
        <v>356</v>
      </c>
      <c r="G651" s="21" t="s">
        <v>2612</v>
      </c>
      <c r="H651" s="20"/>
      <c r="I651" s="20"/>
      <c r="J651" s="20"/>
      <c r="K651" s="22"/>
      <c r="L651" s="23"/>
      <c r="M651" s="20" t="s">
        <v>84</v>
      </c>
      <c r="N651" s="24" t="n">
        <v>6.57125</v>
      </c>
      <c r="O651" s="24" t="n">
        <v>3.36273</v>
      </c>
      <c r="P651" s="20" t="s">
        <v>85</v>
      </c>
      <c r="Q651" s="20" t="s">
        <v>86</v>
      </c>
      <c r="R651" s="20" t="s">
        <v>86</v>
      </c>
      <c r="S651" s="20" t="s">
        <v>87</v>
      </c>
      <c r="T651" s="25" t="s">
        <v>88</v>
      </c>
      <c r="U651" s="20" t="s">
        <v>89</v>
      </c>
      <c r="V651" s="20" t="s">
        <v>90</v>
      </c>
      <c r="W651" s="21"/>
    </row>
    <row r="652" customFormat="false" ht="15" hidden="false" customHeight="false" outlineLevel="0" collapsed="false">
      <c r="A652" s="20" t="n">
        <v>651</v>
      </c>
      <c r="B652" s="20" t="s">
        <v>2613</v>
      </c>
      <c r="C652" s="20" t="s">
        <v>5</v>
      </c>
      <c r="D652" s="20" t="s">
        <v>2614</v>
      </c>
      <c r="E652" s="20" t="s">
        <v>22</v>
      </c>
      <c r="F652" s="20" t="s">
        <v>540</v>
      </c>
      <c r="G652" s="21" t="s">
        <v>2614</v>
      </c>
      <c r="H652" s="20"/>
      <c r="I652" s="20"/>
      <c r="J652" s="20"/>
      <c r="K652" s="22" t="n">
        <v>4.5</v>
      </c>
      <c r="L652" s="23" t="n">
        <v>10</v>
      </c>
      <c r="M652" s="20" t="s">
        <v>84</v>
      </c>
      <c r="N652" s="24" t="n">
        <v>6.57029</v>
      </c>
      <c r="O652" s="24" t="n">
        <v>3.36555</v>
      </c>
      <c r="P652" s="20" t="s">
        <v>85</v>
      </c>
      <c r="Q652" s="20" t="s">
        <v>86</v>
      </c>
      <c r="R652" s="20" t="s">
        <v>86</v>
      </c>
      <c r="S652" s="20" t="s">
        <v>87</v>
      </c>
      <c r="T652" s="25" t="s">
        <v>88</v>
      </c>
      <c r="U652" s="20" t="s">
        <v>89</v>
      </c>
      <c r="V652" s="20" t="s">
        <v>90</v>
      </c>
      <c r="W652" s="21"/>
    </row>
    <row r="653" customFormat="false" ht="15" hidden="false" customHeight="false" outlineLevel="0" collapsed="false">
      <c r="A653" s="20" t="n">
        <v>652</v>
      </c>
      <c r="B653" s="20" t="s">
        <v>2615</v>
      </c>
      <c r="C653" s="20" t="s">
        <v>5</v>
      </c>
      <c r="D653" s="20"/>
      <c r="E653" s="20" t="s">
        <v>22</v>
      </c>
      <c r="F653" s="20"/>
      <c r="G653" s="21"/>
      <c r="H653" s="20"/>
      <c r="I653" s="20"/>
      <c r="J653" s="20"/>
      <c r="K653" s="22"/>
      <c r="L653" s="23"/>
      <c r="M653" s="20" t="s">
        <v>84</v>
      </c>
      <c r="N653" s="24" t="n">
        <v>6.57</v>
      </c>
      <c r="O653" s="24" t="n">
        <v>3.37317</v>
      </c>
      <c r="P653" s="20" t="s">
        <v>85</v>
      </c>
      <c r="Q653" s="20" t="s">
        <v>86</v>
      </c>
      <c r="R653" s="20" t="s">
        <v>86</v>
      </c>
      <c r="S653" s="20" t="s">
        <v>87</v>
      </c>
      <c r="T653" s="25" t="s">
        <v>88</v>
      </c>
      <c r="U653" s="20" t="s">
        <v>89</v>
      </c>
      <c r="V653" s="20" t="s">
        <v>90</v>
      </c>
      <c r="W653" s="21"/>
    </row>
    <row r="654" customFormat="false" ht="15" hidden="false" customHeight="false" outlineLevel="0" collapsed="false">
      <c r="A654" s="20" t="n">
        <v>653</v>
      </c>
      <c r="B654" s="20" t="s">
        <v>2616</v>
      </c>
      <c r="C654" s="20" t="s">
        <v>5</v>
      </c>
      <c r="D654" s="20" t="s">
        <v>2617</v>
      </c>
      <c r="E654" s="20" t="s">
        <v>22</v>
      </c>
      <c r="F654" s="20" t="s">
        <v>540</v>
      </c>
      <c r="G654" s="21" t="s">
        <v>2617</v>
      </c>
      <c r="H654" s="20"/>
      <c r="I654" s="20"/>
      <c r="J654" s="20"/>
      <c r="K654" s="22"/>
      <c r="L654" s="23"/>
      <c r="M654" s="20" t="s">
        <v>84</v>
      </c>
      <c r="N654" s="24" t="n">
        <v>6.57158</v>
      </c>
      <c r="O654" s="24" t="n">
        <v>3.36517</v>
      </c>
      <c r="P654" s="20" t="s">
        <v>85</v>
      </c>
      <c r="Q654" s="20" t="s">
        <v>86</v>
      </c>
      <c r="R654" s="20" t="s">
        <v>86</v>
      </c>
      <c r="S654" s="20" t="s">
        <v>87</v>
      </c>
      <c r="T654" s="25" t="s">
        <v>88</v>
      </c>
      <c r="U654" s="20" t="s">
        <v>89</v>
      </c>
      <c r="V654" s="20" t="s">
        <v>90</v>
      </c>
      <c r="W654" s="21"/>
    </row>
    <row r="655" customFormat="false" ht="15" hidden="false" customHeight="false" outlineLevel="0" collapsed="false">
      <c r="A655" s="20" t="n">
        <v>654</v>
      </c>
      <c r="B655" s="20" t="s">
        <v>2618</v>
      </c>
      <c r="C655" s="20" t="s">
        <v>5</v>
      </c>
      <c r="D655" s="20" t="s">
        <v>2619</v>
      </c>
      <c r="E655" s="20" t="s">
        <v>22</v>
      </c>
      <c r="F655" s="20" t="s">
        <v>540</v>
      </c>
      <c r="G655" s="21" t="s">
        <v>2620</v>
      </c>
      <c r="H655" s="20"/>
      <c r="I655" s="20"/>
      <c r="J655" s="20"/>
      <c r="K655" s="22"/>
      <c r="L655" s="23"/>
      <c r="M655" s="20" t="s">
        <v>84</v>
      </c>
      <c r="N655" s="24" t="n">
        <v>6.56868</v>
      </c>
      <c r="O655" s="24" t="n">
        <v>3.37925</v>
      </c>
      <c r="P655" s="20" t="s">
        <v>85</v>
      </c>
      <c r="Q655" s="20" t="s">
        <v>86</v>
      </c>
      <c r="R655" s="20" t="s">
        <v>86</v>
      </c>
      <c r="S655" s="20" t="s">
        <v>87</v>
      </c>
      <c r="T655" s="25" t="s">
        <v>88</v>
      </c>
      <c r="U655" s="20" t="s">
        <v>89</v>
      </c>
      <c r="V655" s="20" t="s">
        <v>90</v>
      </c>
      <c r="W655" s="21"/>
    </row>
    <row r="656" customFormat="false" ht="15" hidden="false" customHeight="false" outlineLevel="0" collapsed="false">
      <c r="A656" s="20" t="n">
        <v>655</v>
      </c>
      <c r="B656" s="20" t="s">
        <v>2621</v>
      </c>
      <c r="C656" s="20" t="s">
        <v>5</v>
      </c>
      <c r="D656" s="20" t="s">
        <v>2622</v>
      </c>
      <c r="E656" s="20" t="s">
        <v>22</v>
      </c>
      <c r="F656" s="20" t="s">
        <v>540</v>
      </c>
      <c r="G656" s="21" t="s">
        <v>2622</v>
      </c>
      <c r="H656" s="20"/>
      <c r="I656" s="20"/>
      <c r="J656" s="20"/>
      <c r="K656" s="22"/>
      <c r="L656" s="23"/>
      <c r="M656" s="20" t="s">
        <v>84</v>
      </c>
      <c r="N656" s="24" t="n">
        <v>6.57386</v>
      </c>
      <c r="O656" s="24" t="n">
        <v>3.37418</v>
      </c>
      <c r="P656" s="20" t="s">
        <v>85</v>
      </c>
      <c r="Q656" s="20" t="s">
        <v>86</v>
      </c>
      <c r="R656" s="20" t="s">
        <v>86</v>
      </c>
      <c r="S656" s="20" t="s">
        <v>87</v>
      </c>
      <c r="T656" s="25" t="s">
        <v>88</v>
      </c>
      <c r="U656" s="20" t="s">
        <v>89</v>
      </c>
      <c r="V656" s="20" t="s">
        <v>90</v>
      </c>
      <c r="W656" s="21"/>
    </row>
    <row r="657" customFormat="false" ht="15" hidden="false" customHeight="false" outlineLevel="0" collapsed="false">
      <c r="A657" s="20" t="n">
        <v>656</v>
      </c>
      <c r="B657" s="20" t="s">
        <v>2623</v>
      </c>
      <c r="C657" s="20" t="s">
        <v>5</v>
      </c>
      <c r="D657" s="20" t="s">
        <v>2624</v>
      </c>
      <c r="E657" s="20" t="s">
        <v>22</v>
      </c>
      <c r="F657" s="20" t="s">
        <v>540</v>
      </c>
      <c r="G657" s="21" t="s">
        <v>2624</v>
      </c>
      <c r="H657" s="20"/>
      <c r="I657" s="20"/>
      <c r="J657" s="20"/>
      <c r="K657" s="22" t="n">
        <v>4.5</v>
      </c>
      <c r="L657" s="23" t="n">
        <v>2</v>
      </c>
      <c r="M657" s="20" t="s">
        <v>84</v>
      </c>
      <c r="N657" s="24" t="n">
        <v>6.57069</v>
      </c>
      <c r="O657" s="24" t="n">
        <v>3.36406</v>
      </c>
      <c r="P657" s="20" t="s">
        <v>85</v>
      </c>
      <c r="Q657" s="20" t="s">
        <v>86</v>
      </c>
      <c r="R657" s="20" t="s">
        <v>86</v>
      </c>
      <c r="S657" s="20" t="s">
        <v>87</v>
      </c>
      <c r="T657" s="25" t="s">
        <v>88</v>
      </c>
      <c r="U657" s="20" t="s">
        <v>89</v>
      </c>
      <c r="V657" s="20" t="s">
        <v>90</v>
      </c>
      <c r="W657" s="21"/>
    </row>
    <row r="658" customFormat="false" ht="15" hidden="false" customHeight="false" outlineLevel="0" collapsed="false">
      <c r="A658" s="20" t="n">
        <v>657</v>
      </c>
      <c r="B658" s="20" t="s">
        <v>2625</v>
      </c>
      <c r="C658" s="20" t="s">
        <v>5</v>
      </c>
      <c r="D658" s="20" t="s">
        <v>2626</v>
      </c>
      <c r="E658" s="20" t="s">
        <v>23</v>
      </c>
      <c r="F658" s="20" t="s">
        <v>563</v>
      </c>
      <c r="G658" s="21" t="s">
        <v>2626</v>
      </c>
      <c r="H658" s="20" t="s">
        <v>2627</v>
      </c>
      <c r="I658" s="20"/>
      <c r="J658" s="20"/>
      <c r="K658" s="22"/>
      <c r="L658" s="23"/>
      <c r="M658" s="20" t="s">
        <v>100</v>
      </c>
      <c r="N658" s="24" t="n">
        <v>6.57685</v>
      </c>
      <c r="O658" s="24" t="n">
        <v>3.36724</v>
      </c>
      <c r="P658" s="20" t="s">
        <v>85</v>
      </c>
      <c r="Q658" s="20" t="s">
        <v>86</v>
      </c>
      <c r="R658" s="20" t="s">
        <v>86</v>
      </c>
      <c r="S658" s="20" t="s">
        <v>87</v>
      </c>
      <c r="T658" s="26" t="s">
        <v>103</v>
      </c>
      <c r="U658" s="20" t="s">
        <v>104</v>
      </c>
      <c r="V658" s="20" t="s">
        <v>90</v>
      </c>
      <c r="W658" s="21"/>
    </row>
    <row r="659" customFormat="false" ht="15" hidden="false" customHeight="false" outlineLevel="0" collapsed="false">
      <c r="A659" s="20" t="n">
        <v>658</v>
      </c>
      <c r="B659" s="20" t="s">
        <v>2628</v>
      </c>
      <c r="C659" s="20" t="s">
        <v>5</v>
      </c>
      <c r="D659" s="20" t="s">
        <v>2629</v>
      </c>
      <c r="E659" s="20" t="s">
        <v>23</v>
      </c>
      <c r="F659" s="20" t="s">
        <v>563</v>
      </c>
      <c r="G659" s="21" t="s">
        <v>2629</v>
      </c>
      <c r="H659" s="20" t="s">
        <v>2630</v>
      </c>
      <c r="I659" s="20"/>
      <c r="J659" s="20"/>
      <c r="K659" s="22" t="n">
        <v>5</v>
      </c>
      <c r="L659" s="23" t="n">
        <v>2</v>
      </c>
      <c r="M659" s="20" t="s">
        <v>100</v>
      </c>
      <c r="N659" s="24" t="n">
        <v>6.57073</v>
      </c>
      <c r="O659" s="24" t="n">
        <v>3.37505</v>
      </c>
      <c r="P659" s="20" t="s">
        <v>85</v>
      </c>
      <c r="Q659" s="20" t="s">
        <v>86</v>
      </c>
      <c r="R659" s="20" t="s">
        <v>86</v>
      </c>
      <c r="S659" s="20" t="s">
        <v>87</v>
      </c>
      <c r="T659" s="26" t="s">
        <v>103</v>
      </c>
      <c r="U659" s="20" t="s">
        <v>104</v>
      </c>
      <c r="V659" s="20" t="s">
        <v>90</v>
      </c>
      <c r="W659" s="21"/>
    </row>
    <row r="660" customFormat="false" ht="15" hidden="false" customHeight="false" outlineLevel="0" collapsed="false">
      <c r="A660" s="20" t="n">
        <v>659</v>
      </c>
      <c r="B660" s="20" t="s">
        <v>2631</v>
      </c>
      <c r="C660" s="20" t="s">
        <v>5</v>
      </c>
      <c r="D660" s="20" t="s">
        <v>2632</v>
      </c>
      <c r="E660" s="20" t="s">
        <v>23</v>
      </c>
      <c r="F660" s="20" t="s">
        <v>563</v>
      </c>
      <c r="G660" s="21" t="s">
        <v>2632</v>
      </c>
      <c r="H660" s="20" t="s">
        <v>2633</v>
      </c>
      <c r="I660" s="20"/>
      <c r="J660" s="20"/>
      <c r="K660" s="22" t="n">
        <v>5</v>
      </c>
      <c r="L660" s="23" t="n">
        <v>1</v>
      </c>
      <c r="M660" s="20" t="s">
        <v>100</v>
      </c>
      <c r="N660" s="24" t="n">
        <v>6.57389</v>
      </c>
      <c r="O660" s="24" t="n">
        <v>3.36878</v>
      </c>
      <c r="P660" s="20" t="s">
        <v>85</v>
      </c>
      <c r="Q660" s="20" t="s">
        <v>86</v>
      </c>
      <c r="R660" s="20" t="s">
        <v>86</v>
      </c>
      <c r="S660" s="20" t="s">
        <v>87</v>
      </c>
      <c r="T660" s="26" t="s">
        <v>103</v>
      </c>
      <c r="U660" s="20" t="s">
        <v>104</v>
      </c>
      <c r="V660" s="20" t="s">
        <v>90</v>
      </c>
      <c r="W660" s="21"/>
    </row>
    <row r="661" customFormat="false" ht="15" hidden="false" customHeight="false" outlineLevel="0" collapsed="false">
      <c r="A661" s="20" t="n">
        <v>660</v>
      </c>
      <c r="B661" s="20" t="s">
        <v>2634</v>
      </c>
      <c r="C661" s="20" t="s">
        <v>5</v>
      </c>
      <c r="D661" s="20" t="s">
        <v>2635</v>
      </c>
      <c r="E661" s="20" t="s">
        <v>23</v>
      </c>
      <c r="F661" s="20" t="s">
        <v>655</v>
      </c>
      <c r="G661" s="21" t="s">
        <v>2635</v>
      </c>
      <c r="H661" s="20" t="s">
        <v>2636</v>
      </c>
      <c r="I661" s="20"/>
      <c r="J661" s="20"/>
      <c r="K661" s="22" t="n">
        <v>4.1</v>
      </c>
      <c r="L661" s="23" t="n">
        <v>43</v>
      </c>
      <c r="M661" s="20" t="s">
        <v>100</v>
      </c>
      <c r="N661" s="24" t="n">
        <v>6.57659</v>
      </c>
      <c r="O661" s="24" t="n">
        <v>3.37215</v>
      </c>
      <c r="P661" s="20" t="s">
        <v>85</v>
      </c>
      <c r="Q661" s="20" t="s">
        <v>86</v>
      </c>
      <c r="R661" s="20" t="s">
        <v>86</v>
      </c>
      <c r="S661" s="20" t="s">
        <v>87</v>
      </c>
      <c r="T661" s="27" t="s">
        <v>117</v>
      </c>
      <c r="U661" s="20" t="s">
        <v>118</v>
      </c>
      <c r="V661" s="20" t="s">
        <v>90</v>
      </c>
      <c r="W661" s="21"/>
    </row>
    <row r="662" customFormat="false" ht="23.85" hidden="false" customHeight="false" outlineLevel="0" collapsed="false">
      <c r="A662" s="20" t="n">
        <v>661</v>
      </c>
      <c r="B662" s="20" t="s">
        <v>2637</v>
      </c>
      <c r="C662" s="20" t="s">
        <v>5</v>
      </c>
      <c r="D662" s="20" t="s">
        <v>2638</v>
      </c>
      <c r="E662" s="20" t="s">
        <v>23</v>
      </c>
      <c r="F662" s="20" t="s">
        <v>2639</v>
      </c>
      <c r="G662" s="21" t="s">
        <v>2640</v>
      </c>
      <c r="H662" s="20" t="s">
        <v>2641</v>
      </c>
      <c r="I662" s="20"/>
      <c r="J662" s="20"/>
      <c r="K662" s="22"/>
      <c r="L662" s="23"/>
      <c r="M662" s="20" t="s">
        <v>100</v>
      </c>
      <c r="N662" s="24"/>
      <c r="O662" s="24"/>
      <c r="P662" s="20" t="s">
        <v>101</v>
      </c>
      <c r="Q662" s="20" t="s">
        <v>86</v>
      </c>
      <c r="R662" s="20" t="s">
        <v>86</v>
      </c>
      <c r="S662" s="20" t="s">
        <v>102</v>
      </c>
      <c r="T662" s="26" t="s">
        <v>103</v>
      </c>
      <c r="U662" s="20" t="s">
        <v>104</v>
      </c>
      <c r="V662" s="20" t="s">
        <v>138</v>
      </c>
      <c r="W662" s="21" t="s">
        <v>181</v>
      </c>
    </row>
    <row r="663" customFormat="false" ht="15" hidden="false" customHeight="false" outlineLevel="0" collapsed="false">
      <c r="A663" s="20" t="n">
        <v>662</v>
      </c>
      <c r="B663" s="20" t="s">
        <v>2642</v>
      </c>
      <c r="C663" s="20" t="s">
        <v>5</v>
      </c>
      <c r="D663" s="20" t="s">
        <v>2643</v>
      </c>
      <c r="E663" s="20" t="s">
        <v>23</v>
      </c>
      <c r="F663" s="20" t="s">
        <v>655</v>
      </c>
      <c r="G663" s="21" t="s">
        <v>2643</v>
      </c>
      <c r="H663" s="20" t="s">
        <v>2644</v>
      </c>
      <c r="I663" s="20"/>
      <c r="J663" s="20"/>
      <c r="K663" s="22"/>
      <c r="L663" s="23"/>
      <c r="M663" s="20" t="s">
        <v>100</v>
      </c>
      <c r="N663" s="24" t="n">
        <v>6.5769</v>
      </c>
      <c r="O663" s="24" t="n">
        <v>3.36839</v>
      </c>
      <c r="P663" s="20" t="s">
        <v>85</v>
      </c>
      <c r="Q663" s="20" t="s">
        <v>86</v>
      </c>
      <c r="R663" s="20" t="s">
        <v>86</v>
      </c>
      <c r="S663" s="20" t="s">
        <v>87</v>
      </c>
      <c r="T663" s="26" t="s">
        <v>103</v>
      </c>
      <c r="U663" s="20" t="s">
        <v>104</v>
      </c>
      <c r="V663" s="20" t="s">
        <v>90</v>
      </c>
      <c r="W663" s="21"/>
    </row>
    <row r="664" customFormat="false" ht="15" hidden="false" customHeight="false" outlineLevel="0" collapsed="false">
      <c r="A664" s="20" t="n">
        <v>663</v>
      </c>
      <c r="B664" s="20" t="s">
        <v>2645</v>
      </c>
      <c r="C664" s="20" t="s">
        <v>5</v>
      </c>
      <c r="D664" s="20" t="s">
        <v>2646</v>
      </c>
      <c r="E664" s="20" t="s">
        <v>23</v>
      </c>
      <c r="F664" s="20" t="s">
        <v>563</v>
      </c>
      <c r="G664" s="21" t="s">
        <v>2646</v>
      </c>
      <c r="H664" s="20" t="s">
        <v>2647</v>
      </c>
      <c r="I664" s="20"/>
      <c r="J664" s="20"/>
      <c r="K664" s="22"/>
      <c r="L664" s="23"/>
      <c r="M664" s="20" t="s">
        <v>100</v>
      </c>
      <c r="N664" s="24" t="n">
        <v>6.57072</v>
      </c>
      <c r="O664" s="24" t="n">
        <v>3.36506</v>
      </c>
      <c r="P664" s="20" t="s">
        <v>85</v>
      </c>
      <c r="Q664" s="20" t="s">
        <v>86</v>
      </c>
      <c r="R664" s="20" t="s">
        <v>86</v>
      </c>
      <c r="S664" s="20" t="s">
        <v>87</v>
      </c>
      <c r="T664" s="26" t="s">
        <v>103</v>
      </c>
      <c r="U664" s="20" t="s">
        <v>104</v>
      </c>
      <c r="V664" s="20" t="s">
        <v>90</v>
      </c>
      <c r="W664" s="21"/>
    </row>
    <row r="665" customFormat="false" ht="23.85" hidden="false" customHeight="false" outlineLevel="0" collapsed="false">
      <c r="A665" s="20" t="n">
        <v>664</v>
      </c>
      <c r="B665" s="20" t="s">
        <v>2648</v>
      </c>
      <c r="C665" s="20" t="s">
        <v>5</v>
      </c>
      <c r="D665" s="20"/>
      <c r="E665" s="20" t="s">
        <v>23</v>
      </c>
      <c r="F665" s="20" t="s">
        <v>655</v>
      </c>
      <c r="G665" s="21" t="s">
        <v>2649</v>
      </c>
      <c r="H665" s="20" t="s">
        <v>2650</v>
      </c>
      <c r="I665" s="20"/>
      <c r="J665" s="20"/>
      <c r="K665" s="22"/>
      <c r="L665" s="23"/>
      <c r="M665" s="20" t="s">
        <v>100</v>
      </c>
      <c r="N665" s="24" t="n">
        <v>6.56866</v>
      </c>
      <c r="O665" s="24" t="n">
        <v>3.37226</v>
      </c>
      <c r="P665" s="20" t="s">
        <v>85</v>
      </c>
      <c r="Q665" s="20" t="s">
        <v>86</v>
      </c>
      <c r="R665" s="20" t="s">
        <v>86</v>
      </c>
      <c r="S665" s="20" t="s">
        <v>87</v>
      </c>
      <c r="T665" s="26" t="s">
        <v>103</v>
      </c>
      <c r="U665" s="20" t="s">
        <v>104</v>
      </c>
      <c r="V665" s="20" t="s">
        <v>90</v>
      </c>
      <c r="W665" s="21"/>
    </row>
    <row r="666" customFormat="false" ht="15" hidden="false" customHeight="false" outlineLevel="0" collapsed="false">
      <c r="A666" s="20" t="n">
        <v>665</v>
      </c>
      <c r="B666" s="20" t="s">
        <v>2651</v>
      </c>
      <c r="C666" s="20" t="s">
        <v>5</v>
      </c>
      <c r="D666" s="20" t="s">
        <v>2652</v>
      </c>
      <c r="E666" s="20" t="s">
        <v>23</v>
      </c>
      <c r="F666" s="20" t="s">
        <v>2653</v>
      </c>
      <c r="G666" s="21" t="s">
        <v>2652</v>
      </c>
      <c r="H666" s="20" t="s">
        <v>2654</v>
      </c>
      <c r="I666" s="20"/>
      <c r="J666" s="20"/>
      <c r="K666" s="22" t="n">
        <v>4.8</v>
      </c>
      <c r="L666" s="23" t="n">
        <v>17</v>
      </c>
      <c r="M666" s="20" t="s">
        <v>100</v>
      </c>
      <c r="N666" s="24" t="n">
        <v>6.56617</v>
      </c>
      <c r="O666" s="24" t="n">
        <v>3.36909</v>
      </c>
      <c r="P666" s="20" t="s">
        <v>85</v>
      </c>
      <c r="Q666" s="20" t="s">
        <v>86</v>
      </c>
      <c r="R666" s="20" t="s">
        <v>86</v>
      </c>
      <c r="S666" s="20" t="s">
        <v>87</v>
      </c>
      <c r="T666" s="27" t="s">
        <v>117</v>
      </c>
      <c r="U666" s="20" t="s">
        <v>118</v>
      </c>
      <c r="V666" s="20" t="s">
        <v>90</v>
      </c>
      <c r="W666" s="21"/>
    </row>
    <row r="667" customFormat="false" ht="15" hidden="false" customHeight="false" outlineLevel="0" collapsed="false">
      <c r="A667" s="20" t="n">
        <v>666</v>
      </c>
      <c r="B667" s="20" t="s">
        <v>2655</v>
      </c>
      <c r="C667" s="20" t="s">
        <v>5</v>
      </c>
      <c r="D667" s="20" t="s">
        <v>2336</v>
      </c>
      <c r="E667" s="20" t="s">
        <v>23</v>
      </c>
      <c r="F667" s="20" t="s">
        <v>589</v>
      </c>
      <c r="G667" s="21" t="s">
        <v>2656</v>
      </c>
      <c r="H667" s="20" t="s">
        <v>2657</v>
      </c>
      <c r="I667" s="20"/>
      <c r="J667" s="20"/>
      <c r="K667" s="22"/>
      <c r="L667" s="23"/>
      <c r="M667" s="20" t="s">
        <v>100</v>
      </c>
      <c r="N667" s="24"/>
      <c r="O667" s="24"/>
      <c r="P667" s="20" t="s">
        <v>101</v>
      </c>
      <c r="Q667" s="20" t="s">
        <v>86</v>
      </c>
      <c r="R667" s="20" t="s">
        <v>86</v>
      </c>
      <c r="S667" s="20" t="s">
        <v>102</v>
      </c>
      <c r="T667" s="26" t="s">
        <v>103</v>
      </c>
      <c r="U667" s="20" t="s">
        <v>104</v>
      </c>
      <c r="V667" s="20" t="s">
        <v>138</v>
      </c>
      <c r="W667" s="21" t="s">
        <v>181</v>
      </c>
    </row>
    <row r="668" customFormat="false" ht="15" hidden="false" customHeight="false" outlineLevel="0" collapsed="false">
      <c r="A668" s="20" t="n">
        <v>667</v>
      </c>
      <c r="B668" s="20" t="s">
        <v>2658</v>
      </c>
      <c r="C668" s="20" t="s">
        <v>5</v>
      </c>
      <c r="D668" s="20" t="s">
        <v>2659</v>
      </c>
      <c r="E668" s="20" t="s">
        <v>23</v>
      </c>
      <c r="F668" s="20" t="s">
        <v>655</v>
      </c>
      <c r="G668" s="21" t="s">
        <v>2659</v>
      </c>
      <c r="H668" s="20"/>
      <c r="I668" s="20"/>
      <c r="J668" s="20"/>
      <c r="K668" s="22" t="n">
        <v>4.6</v>
      </c>
      <c r="L668" s="23" t="n">
        <v>21</v>
      </c>
      <c r="M668" s="20" t="s">
        <v>84</v>
      </c>
      <c r="N668" s="24" t="n">
        <v>6.57668</v>
      </c>
      <c r="O668" s="24" t="n">
        <v>3.37202</v>
      </c>
      <c r="P668" s="20" t="s">
        <v>85</v>
      </c>
      <c r="Q668" s="20" t="s">
        <v>86</v>
      </c>
      <c r="R668" s="20" t="s">
        <v>86</v>
      </c>
      <c r="S668" s="20" t="s">
        <v>87</v>
      </c>
      <c r="T668" s="25" t="s">
        <v>88</v>
      </c>
      <c r="U668" s="20" t="s">
        <v>89</v>
      </c>
      <c r="V668" s="20" t="s">
        <v>90</v>
      </c>
      <c r="W668" s="21"/>
    </row>
    <row r="669" customFormat="false" ht="15" hidden="false" customHeight="false" outlineLevel="0" collapsed="false">
      <c r="A669" s="20" t="n">
        <v>668</v>
      </c>
      <c r="B669" s="20" t="s">
        <v>2660</v>
      </c>
      <c r="C669" s="20" t="s">
        <v>5</v>
      </c>
      <c r="D669" s="20" t="s">
        <v>2661</v>
      </c>
      <c r="E669" s="20" t="s">
        <v>23</v>
      </c>
      <c r="F669" s="20" t="s">
        <v>2653</v>
      </c>
      <c r="G669" s="21" t="s">
        <v>2662</v>
      </c>
      <c r="H669" s="20"/>
      <c r="I669" s="20"/>
      <c r="J669" s="20"/>
      <c r="K669" s="22" t="n">
        <v>3.4</v>
      </c>
      <c r="L669" s="23" t="n">
        <v>164</v>
      </c>
      <c r="M669" s="20" t="s">
        <v>84</v>
      </c>
      <c r="N669" s="24" t="n">
        <v>6.57504</v>
      </c>
      <c r="O669" s="24" t="n">
        <v>3.36092</v>
      </c>
      <c r="P669" s="20" t="s">
        <v>85</v>
      </c>
      <c r="Q669" s="20" t="s">
        <v>86</v>
      </c>
      <c r="R669" s="20" t="s">
        <v>86</v>
      </c>
      <c r="S669" s="20" t="s">
        <v>87</v>
      </c>
      <c r="T669" s="25" t="s">
        <v>88</v>
      </c>
      <c r="U669" s="20" t="s">
        <v>89</v>
      </c>
      <c r="V669" s="20" t="s">
        <v>90</v>
      </c>
      <c r="W669" s="21"/>
    </row>
    <row r="670" customFormat="false" ht="15" hidden="false" customHeight="false" outlineLevel="0" collapsed="false">
      <c r="A670" s="20" t="n">
        <v>669</v>
      </c>
      <c r="B670" s="20" t="s">
        <v>2663</v>
      </c>
      <c r="C670" s="20" t="s">
        <v>5</v>
      </c>
      <c r="D670" s="20" t="s">
        <v>2664</v>
      </c>
      <c r="E670" s="20" t="s">
        <v>23</v>
      </c>
      <c r="F670" s="20" t="s">
        <v>2665</v>
      </c>
      <c r="G670" s="21" t="s">
        <v>2666</v>
      </c>
      <c r="H670" s="20" t="s">
        <v>2667</v>
      </c>
      <c r="I670" s="20"/>
      <c r="J670" s="20"/>
      <c r="K670" s="22" t="n">
        <v>4.7</v>
      </c>
      <c r="L670" s="23" t="n">
        <v>44</v>
      </c>
      <c r="M670" s="20" t="s">
        <v>100</v>
      </c>
      <c r="N670" s="24" t="n">
        <v>6.56879</v>
      </c>
      <c r="O670" s="24" t="n">
        <v>3.37571</v>
      </c>
      <c r="P670" s="20" t="s">
        <v>85</v>
      </c>
      <c r="Q670" s="20" t="s">
        <v>86</v>
      </c>
      <c r="R670" s="20" t="s">
        <v>86</v>
      </c>
      <c r="S670" s="20" t="s">
        <v>87</v>
      </c>
      <c r="T670" s="27" t="s">
        <v>117</v>
      </c>
      <c r="U670" s="20" t="s">
        <v>118</v>
      </c>
      <c r="V670" s="20" t="s">
        <v>90</v>
      </c>
      <c r="W670" s="21"/>
    </row>
    <row r="671" customFormat="false" ht="23.85" hidden="false" customHeight="false" outlineLevel="0" collapsed="false">
      <c r="A671" s="20" t="n">
        <v>670</v>
      </c>
      <c r="B671" s="20" t="s">
        <v>2668</v>
      </c>
      <c r="C671" s="20" t="s">
        <v>5</v>
      </c>
      <c r="D671" s="20" t="s">
        <v>2669</v>
      </c>
      <c r="E671" s="20" t="s">
        <v>23</v>
      </c>
      <c r="F671" s="20" t="s">
        <v>563</v>
      </c>
      <c r="G671" s="21" t="s">
        <v>2670</v>
      </c>
      <c r="H671" s="20" t="s">
        <v>2671</v>
      </c>
      <c r="I671" s="20" t="s">
        <v>2672</v>
      </c>
      <c r="J671" s="20" t="s">
        <v>2673</v>
      </c>
      <c r="K671" s="22"/>
      <c r="L671" s="23"/>
      <c r="M671" s="20" t="s">
        <v>100</v>
      </c>
      <c r="N671" s="24" t="n">
        <v>6.560035</v>
      </c>
      <c r="O671" s="24" t="n">
        <v>3.368691</v>
      </c>
      <c r="P671" s="20" t="s">
        <v>125</v>
      </c>
      <c r="Q671" s="20" t="s">
        <v>86</v>
      </c>
      <c r="R671" s="20" t="s">
        <v>86</v>
      </c>
      <c r="S671" s="20" t="s">
        <v>87</v>
      </c>
      <c r="T671" s="27" t="s">
        <v>117</v>
      </c>
      <c r="U671" s="20" t="s">
        <v>118</v>
      </c>
      <c r="V671" s="20" t="s">
        <v>90</v>
      </c>
      <c r="W671" s="21"/>
    </row>
    <row r="672" customFormat="false" ht="15" hidden="false" customHeight="false" outlineLevel="0" collapsed="false">
      <c r="A672" s="20" t="n">
        <v>671</v>
      </c>
      <c r="B672" s="20" t="s">
        <v>2674</v>
      </c>
      <c r="C672" s="20" t="s">
        <v>5</v>
      </c>
      <c r="D672" s="20" t="s">
        <v>2675</v>
      </c>
      <c r="E672" s="20" t="s">
        <v>23</v>
      </c>
      <c r="F672" s="20" t="s">
        <v>2676</v>
      </c>
      <c r="G672" s="21" t="s">
        <v>2677</v>
      </c>
      <c r="H672" s="20"/>
      <c r="I672" s="20"/>
      <c r="J672" s="20"/>
      <c r="K672" s="22" t="n">
        <v>4.3</v>
      </c>
      <c r="L672" s="23" t="n">
        <v>56</v>
      </c>
      <c r="M672" s="20" t="s">
        <v>84</v>
      </c>
      <c r="N672" s="24" t="n">
        <v>6.57767</v>
      </c>
      <c r="O672" s="24" t="n">
        <v>3.36587</v>
      </c>
      <c r="P672" s="20" t="s">
        <v>85</v>
      </c>
      <c r="Q672" s="20" t="s">
        <v>86</v>
      </c>
      <c r="R672" s="20" t="s">
        <v>86</v>
      </c>
      <c r="S672" s="20" t="s">
        <v>87</v>
      </c>
      <c r="T672" s="25" t="s">
        <v>88</v>
      </c>
      <c r="U672" s="20" t="s">
        <v>89</v>
      </c>
      <c r="V672" s="20" t="s">
        <v>90</v>
      </c>
      <c r="W672" s="21"/>
    </row>
    <row r="673" customFormat="false" ht="15" hidden="false" customHeight="false" outlineLevel="0" collapsed="false">
      <c r="A673" s="20" t="n">
        <v>672</v>
      </c>
      <c r="B673" s="20" t="s">
        <v>2678</v>
      </c>
      <c r="C673" s="20" t="s">
        <v>5</v>
      </c>
      <c r="D673" s="20" t="s">
        <v>2679</v>
      </c>
      <c r="E673" s="20" t="s">
        <v>23</v>
      </c>
      <c r="F673" s="20" t="s">
        <v>655</v>
      </c>
      <c r="G673" s="21" t="s">
        <v>2679</v>
      </c>
      <c r="H673" s="20" t="s">
        <v>2680</v>
      </c>
      <c r="I673" s="20"/>
      <c r="J673" s="20"/>
      <c r="K673" s="22" t="n">
        <v>4.1</v>
      </c>
      <c r="L673" s="23" t="n">
        <v>8</v>
      </c>
      <c r="M673" s="20" t="s">
        <v>100</v>
      </c>
      <c r="N673" s="24" t="n">
        <v>6.57522</v>
      </c>
      <c r="O673" s="24" t="n">
        <v>3.36251</v>
      </c>
      <c r="P673" s="20" t="s">
        <v>85</v>
      </c>
      <c r="Q673" s="20" t="s">
        <v>86</v>
      </c>
      <c r="R673" s="20" t="s">
        <v>86</v>
      </c>
      <c r="S673" s="20" t="s">
        <v>87</v>
      </c>
      <c r="T673" s="26" t="s">
        <v>103</v>
      </c>
      <c r="U673" s="20" t="s">
        <v>104</v>
      </c>
      <c r="V673" s="20" t="s">
        <v>90</v>
      </c>
      <c r="W673" s="21"/>
    </row>
    <row r="674" customFormat="false" ht="15" hidden="false" customHeight="false" outlineLevel="0" collapsed="false">
      <c r="A674" s="20" t="n">
        <v>673</v>
      </c>
      <c r="B674" s="20" t="s">
        <v>2681</v>
      </c>
      <c r="C674" s="20" t="s">
        <v>5</v>
      </c>
      <c r="D674" s="20" t="s">
        <v>2682</v>
      </c>
      <c r="E674" s="20" t="s">
        <v>23</v>
      </c>
      <c r="F674" s="20" t="s">
        <v>563</v>
      </c>
      <c r="G674" s="21" t="s">
        <v>2683</v>
      </c>
      <c r="H674" s="20"/>
      <c r="I674" s="20"/>
      <c r="J674" s="20"/>
      <c r="K674" s="22" t="n">
        <v>4.7</v>
      </c>
      <c r="L674" s="23" t="n">
        <v>3</v>
      </c>
      <c r="M674" s="20" t="s">
        <v>84</v>
      </c>
      <c r="N674" s="24" t="n">
        <v>6.5772</v>
      </c>
      <c r="O674" s="24" t="n">
        <v>3.36685</v>
      </c>
      <c r="P674" s="20" t="s">
        <v>85</v>
      </c>
      <c r="Q674" s="20" t="s">
        <v>86</v>
      </c>
      <c r="R674" s="20" t="s">
        <v>86</v>
      </c>
      <c r="S674" s="20" t="s">
        <v>87</v>
      </c>
      <c r="T674" s="25" t="s">
        <v>88</v>
      </c>
      <c r="U674" s="20" t="s">
        <v>89</v>
      </c>
      <c r="V674" s="20" t="s">
        <v>90</v>
      </c>
      <c r="W674" s="21"/>
    </row>
    <row r="675" customFormat="false" ht="15" hidden="false" customHeight="false" outlineLevel="0" collapsed="false">
      <c r="A675" s="20" t="n">
        <v>674</v>
      </c>
      <c r="B675" s="20" t="s">
        <v>2684</v>
      </c>
      <c r="C675" s="20" t="s">
        <v>5</v>
      </c>
      <c r="D675" s="20" t="s">
        <v>2685</v>
      </c>
      <c r="E675" s="20" t="s">
        <v>23</v>
      </c>
      <c r="F675" s="20" t="s">
        <v>2686</v>
      </c>
      <c r="G675" s="21" t="s">
        <v>2687</v>
      </c>
      <c r="H675" s="20" t="s">
        <v>2688</v>
      </c>
      <c r="I675" s="20"/>
      <c r="J675" s="20"/>
      <c r="K675" s="22" t="n">
        <v>4.6</v>
      </c>
      <c r="L675" s="23" t="n">
        <v>110</v>
      </c>
      <c r="M675" s="20" t="s">
        <v>100</v>
      </c>
      <c r="N675" s="24" t="n">
        <v>6.57491</v>
      </c>
      <c r="O675" s="24" t="n">
        <v>3.3625</v>
      </c>
      <c r="P675" s="20" t="s">
        <v>85</v>
      </c>
      <c r="Q675" s="20" t="s">
        <v>86</v>
      </c>
      <c r="R675" s="20" t="s">
        <v>86</v>
      </c>
      <c r="S675" s="20" t="s">
        <v>87</v>
      </c>
      <c r="T675" s="27" t="s">
        <v>117</v>
      </c>
      <c r="U675" s="20" t="s">
        <v>118</v>
      </c>
      <c r="V675" s="20" t="s">
        <v>90</v>
      </c>
      <c r="W675" s="21"/>
    </row>
    <row r="676" customFormat="false" ht="15" hidden="false" customHeight="false" outlineLevel="0" collapsed="false">
      <c r="A676" s="20" t="n">
        <v>675</v>
      </c>
      <c r="B676" s="20" t="s">
        <v>2689</v>
      </c>
      <c r="C676" s="20" t="s">
        <v>5</v>
      </c>
      <c r="D676" s="20" t="s">
        <v>2418</v>
      </c>
      <c r="E676" s="20" t="s">
        <v>23</v>
      </c>
      <c r="F676" s="20" t="s">
        <v>2690</v>
      </c>
      <c r="G676" s="21" t="s">
        <v>2418</v>
      </c>
      <c r="H676" s="20"/>
      <c r="I676" s="20"/>
      <c r="J676" s="20"/>
      <c r="K676" s="22" t="n">
        <v>3.3</v>
      </c>
      <c r="L676" s="23" t="n">
        <v>3</v>
      </c>
      <c r="M676" s="20" t="s">
        <v>84</v>
      </c>
      <c r="N676" s="24" t="n">
        <v>6.56484</v>
      </c>
      <c r="O676" s="24" t="n">
        <v>3.36716</v>
      </c>
      <c r="P676" s="20" t="s">
        <v>85</v>
      </c>
      <c r="Q676" s="20" t="s">
        <v>86</v>
      </c>
      <c r="R676" s="20" t="s">
        <v>86</v>
      </c>
      <c r="S676" s="20" t="s">
        <v>87</v>
      </c>
      <c r="T676" s="25" t="s">
        <v>88</v>
      </c>
      <c r="U676" s="20" t="s">
        <v>89</v>
      </c>
      <c r="V676" s="20" t="s">
        <v>90</v>
      </c>
      <c r="W676" s="21"/>
    </row>
    <row r="677" customFormat="false" ht="15" hidden="false" customHeight="false" outlineLevel="0" collapsed="false">
      <c r="A677" s="20" t="n">
        <v>676</v>
      </c>
      <c r="B677" s="20" t="s">
        <v>2691</v>
      </c>
      <c r="C677" s="20" t="s">
        <v>5</v>
      </c>
      <c r="D677" s="20" t="s">
        <v>2692</v>
      </c>
      <c r="E677" s="20" t="s">
        <v>23</v>
      </c>
      <c r="F677" s="20" t="s">
        <v>655</v>
      </c>
      <c r="G677" s="21" t="s">
        <v>2692</v>
      </c>
      <c r="H677" s="20"/>
      <c r="I677" s="20"/>
      <c r="J677" s="20"/>
      <c r="K677" s="22" t="n">
        <v>3.4</v>
      </c>
      <c r="L677" s="23" t="n">
        <v>8</v>
      </c>
      <c r="M677" s="20" t="s">
        <v>84</v>
      </c>
      <c r="N677" s="24" t="n">
        <v>6.57009</v>
      </c>
      <c r="O677" s="24" t="n">
        <v>3.37295</v>
      </c>
      <c r="P677" s="20" t="s">
        <v>85</v>
      </c>
      <c r="Q677" s="20" t="s">
        <v>86</v>
      </c>
      <c r="R677" s="20" t="s">
        <v>86</v>
      </c>
      <c r="S677" s="20" t="s">
        <v>87</v>
      </c>
      <c r="T677" s="25" t="s">
        <v>88</v>
      </c>
      <c r="U677" s="20" t="s">
        <v>89</v>
      </c>
      <c r="V677" s="20" t="s">
        <v>90</v>
      </c>
      <c r="W677" s="21"/>
    </row>
    <row r="678" customFormat="false" ht="15" hidden="false" customHeight="false" outlineLevel="0" collapsed="false">
      <c r="A678" s="20" t="n">
        <v>677</v>
      </c>
      <c r="B678" s="20" t="s">
        <v>2693</v>
      </c>
      <c r="C678" s="20" t="s">
        <v>5</v>
      </c>
      <c r="D678" s="20" t="s">
        <v>2694</v>
      </c>
      <c r="E678" s="20" t="s">
        <v>23</v>
      </c>
      <c r="F678" s="20" t="s">
        <v>563</v>
      </c>
      <c r="G678" s="21" t="s">
        <v>2694</v>
      </c>
      <c r="H678" s="20" t="s">
        <v>2695</v>
      </c>
      <c r="I678" s="20"/>
      <c r="J678" s="20"/>
      <c r="K678" s="22"/>
      <c r="L678" s="23"/>
      <c r="M678" s="20" t="s">
        <v>100</v>
      </c>
      <c r="N678" s="24" t="n">
        <v>6.56514</v>
      </c>
      <c r="O678" s="24" t="n">
        <v>3.37372</v>
      </c>
      <c r="P678" s="20" t="s">
        <v>85</v>
      </c>
      <c r="Q678" s="20" t="s">
        <v>86</v>
      </c>
      <c r="R678" s="20" t="s">
        <v>86</v>
      </c>
      <c r="S678" s="20" t="s">
        <v>87</v>
      </c>
      <c r="T678" s="26" t="s">
        <v>103</v>
      </c>
      <c r="U678" s="20" t="s">
        <v>104</v>
      </c>
      <c r="V678" s="20" t="s">
        <v>90</v>
      </c>
      <c r="W678" s="21"/>
    </row>
    <row r="679" customFormat="false" ht="15" hidden="false" customHeight="false" outlineLevel="0" collapsed="false">
      <c r="A679" s="20" t="n">
        <v>678</v>
      </c>
      <c r="B679" s="20" t="s">
        <v>2696</v>
      </c>
      <c r="C679" s="20" t="s">
        <v>5</v>
      </c>
      <c r="D679" s="20" t="s">
        <v>2697</v>
      </c>
      <c r="E679" s="20" t="s">
        <v>23</v>
      </c>
      <c r="F679" s="20" t="s">
        <v>655</v>
      </c>
      <c r="G679" s="21" t="s">
        <v>2697</v>
      </c>
      <c r="H679" s="20" t="s">
        <v>2698</v>
      </c>
      <c r="I679" s="20"/>
      <c r="J679" s="20"/>
      <c r="K679" s="22" t="n">
        <v>4.1</v>
      </c>
      <c r="L679" s="23" t="n">
        <v>97</v>
      </c>
      <c r="M679" s="20" t="s">
        <v>100</v>
      </c>
      <c r="N679" s="24" t="n">
        <v>6.5757</v>
      </c>
      <c r="O679" s="24" t="n">
        <v>3.36221</v>
      </c>
      <c r="P679" s="20" t="s">
        <v>85</v>
      </c>
      <c r="Q679" s="20" t="s">
        <v>86</v>
      </c>
      <c r="R679" s="20" t="s">
        <v>86</v>
      </c>
      <c r="S679" s="20" t="s">
        <v>87</v>
      </c>
      <c r="T679" s="27" t="s">
        <v>117</v>
      </c>
      <c r="U679" s="20" t="s">
        <v>118</v>
      </c>
      <c r="V679" s="20" t="s">
        <v>90</v>
      </c>
      <c r="W679" s="21"/>
    </row>
    <row r="680" customFormat="false" ht="15" hidden="false" customHeight="false" outlineLevel="0" collapsed="false">
      <c r="A680" s="20" t="n">
        <v>679</v>
      </c>
      <c r="B680" s="20" t="s">
        <v>2699</v>
      </c>
      <c r="C680" s="20" t="s">
        <v>5</v>
      </c>
      <c r="D680" s="20" t="s">
        <v>2700</v>
      </c>
      <c r="E680" s="20" t="s">
        <v>23</v>
      </c>
      <c r="F680" s="20" t="s">
        <v>2701</v>
      </c>
      <c r="G680" s="21" t="s">
        <v>2702</v>
      </c>
      <c r="H680" s="20" t="s">
        <v>2703</v>
      </c>
      <c r="I680" s="20"/>
      <c r="J680" s="20"/>
      <c r="K680" s="22" t="n">
        <v>4.5</v>
      </c>
      <c r="L680" s="23" t="n">
        <v>4</v>
      </c>
      <c r="M680" s="20" t="s">
        <v>100</v>
      </c>
      <c r="N680" s="24" t="n">
        <v>6.56981</v>
      </c>
      <c r="O680" s="24" t="n">
        <v>3.36785</v>
      </c>
      <c r="P680" s="20" t="s">
        <v>85</v>
      </c>
      <c r="Q680" s="20" t="s">
        <v>86</v>
      </c>
      <c r="R680" s="20" t="s">
        <v>86</v>
      </c>
      <c r="S680" s="20" t="s">
        <v>87</v>
      </c>
      <c r="T680" s="26" t="s">
        <v>103</v>
      </c>
      <c r="U680" s="20" t="s">
        <v>104</v>
      </c>
      <c r="V680" s="20" t="s">
        <v>90</v>
      </c>
      <c r="W680" s="21"/>
    </row>
    <row r="681" customFormat="false" ht="15" hidden="false" customHeight="false" outlineLevel="0" collapsed="false">
      <c r="A681" s="20" t="n">
        <v>680</v>
      </c>
      <c r="B681" s="20" t="s">
        <v>2704</v>
      </c>
      <c r="C681" s="20" t="s">
        <v>5</v>
      </c>
      <c r="D681" s="20" t="s">
        <v>2705</v>
      </c>
      <c r="E681" s="20" t="s">
        <v>23</v>
      </c>
      <c r="F681" s="20" t="s">
        <v>2706</v>
      </c>
      <c r="G681" s="21" t="s">
        <v>2705</v>
      </c>
      <c r="H681" s="20"/>
      <c r="I681" s="20"/>
      <c r="J681" s="20"/>
      <c r="K681" s="22"/>
      <c r="L681" s="23"/>
      <c r="M681" s="20" t="s">
        <v>84</v>
      </c>
      <c r="N681" s="24" t="n">
        <v>6.56541</v>
      </c>
      <c r="O681" s="24" t="n">
        <v>3.37124</v>
      </c>
      <c r="P681" s="20" t="s">
        <v>85</v>
      </c>
      <c r="Q681" s="20" t="s">
        <v>86</v>
      </c>
      <c r="R681" s="20" t="s">
        <v>86</v>
      </c>
      <c r="S681" s="20" t="s">
        <v>87</v>
      </c>
      <c r="T681" s="25" t="s">
        <v>88</v>
      </c>
      <c r="U681" s="20" t="s">
        <v>89</v>
      </c>
      <c r="V681" s="20" t="s">
        <v>90</v>
      </c>
      <c r="W681" s="21"/>
    </row>
    <row r="682" customFormat="false" ht="15" hidden="false" customHeight="false" outlineLevel="0" collapsed="false">
      <c r="A682" s="20" t="n">
        <v>681</v>
      </c>
      <c r="B682" s="20" t="s">
        <v>2707</v>
      </c>
      <c r="C682" s="20" t="s">
        <v>5</v>
      </c>
      <c r="D682" s="20" t="s">
        <v>2708</v>
      </c>
      <c r="E682" s="20" t="s">
        <v>23</v>
      </c>
      <c r="F682" s="20" t="s">
        <v>614</v>
      </c>
      <c r="G682" s="21" t="s">
        <v>2709</v>
      </c>
      <c r="H682" s="20" t="s">
        <v>2710</v>
      </c>
      <c r="I682" s="20"/>
      <c r="J682" s="20"/>
      <c r="K682" s="22" t="n">
        <v>4.7</v>
      </c>
      <c r="L682" s="23"/>
      <c r="M682" s="20" t="s">
        <v>100</v>
      </c>
      <c r="N682" s="24" t="n">
        <v>6.57661</v>
      </c>
      <c r="O682" s="24" t="n">
        <v>3.37086</v>
      </c>
      <c r="P682" s="20" t="s">
        <v>110</v>
      </c>
      <c r="Q682" s="20" t="s">
        <v>86</v>
      </c>
      <c r="R682" s="20" t="s">
        <v>86</v>
      </c>
      <c r="S682" s="20" t="s">
        <v>87</v>
      </c>
      <c r="T682" s="26" t="s">
        <v>103</v>
      </c>
      <c r="U682" s="20" t="s">
        <v>104</v>
      </c>
      <c r="V682" s="20" t="s">
        <v>138</v>
      </c>
      <c r="W682" s="21" t="s">
        <v>1146</v>
      </c>
    </row>
    <row r="683" customFormat="false" ht="15" hidden="false" customHeight="false" outlineLevel="0" collapsed="false">
      <c r="A683" s="20" t="n">
        <v>682</v>
      </c>
      <c r="B683" s="20" t="s">
        <v>2711</v>
      </c>
      <c r="C683" s="20" t="s">
        <v>5</v>
      </c>
      <c r="D683" s="20"/>
      <c r="E683" s="20" t="s">
        <v>23</v>
      </c>
      <c r="F683" s="20" t="s">
        <v>2653</v>
      </c>
      <c r="G683" s="21"/>
      <c r="H683" s="20" t="s">
        <v>2712</v>
      </c>
      <c r="I683" s="20"/>
      <c r="J683" s="20"/>
      <c r="K683" s="22" t="n">
        <v>4.4</v>
      </c>
      <c r="L683" s="23" t="n">
        <v>19</v>
      </c>
      <c r="M683" s="20" t="s">
        <v>100</v>
      </c>
      <c r="N683" s="24" t="n">
        <v>6.56893</v>
      </c>
      <c r="O683" s="24" t="n">
        <v>3.36765</v>
      </c>
      <c r="P683" s="20" t="s">
        <v>85</v>
      </c>
      <c r="Q683" s="20" t="s">
        <v>86</v>
      </c>
      <c r="R683" s="20" t="s">
        <v>86</v>
      </c>
      <c r="S683" s="20" t="s">
        <v>87</v>
      </c>
      <c r="T683" s="27" t="s">
        <v>117</v>
      </c>
      <c r="U683" s="20" t="s">
        <v>118</v>
      </c>
      <c r="V683" s="20" t="s">
        <v>90</v>
      </c>
      <c r="W683" s="21"/>
    </row>
    <row r="684" customFormat="false" ht="15" hidden="false" customHeight="false" outlineLevel="0" collapsed="false">
      <c r="A684" s="20" t="n">
        <v>683</v>
      </c>
      <c r="B684" s="20" t="s">
        <v>2713</v>
      </c>
      <c r="C684" s="20" t="s">
        <v>5</v>
      </c>
      <c r="D684" s="20" t="s">
        <v>2714</v>
      </c>
      <c r="E684" s="20" t="s">
        <v>23</v>
      </c>
      <c r="F684" s="20" t="s">
        <v>655</v>
      </c>
      <c r="G684" s="21" t="s">
        <v>2714</v>
      </c>
      <c r="H684" s="20" t="s">
        <v>2715</v>
      </c>
      <c r="I684" s="20"/>
      <c r="J684" s="20"/>
      <c r="K684" s="22" t="n">
        <v>3.8</v>
      </c>
      <c r="L684" s="23" t="n">
        <v>31</v>
      </c>
      <c r="M684" s="20" t="s">
        <v>100</v>
      </c>
      <c r="N684" s="24" t="n">
        <v>6.56486</v>
      </c>
      <c r="O684" s="24" t="n">
        <v>3.36845</v>
      </c>
      <c r="P684" s="20" t="s">
        <v>85</v>
      </c>
      <c r="Q684" s="20" t="s">
        <v>86</v>
      </c>
      <c r="R684" s="20" t="s">
        <v>86</v>
      </c>
      <c r="S684" s="20" t="s">
        <v>87</v>
      </c>
      <c r="T684" s="27" t="s">
        <v>117</v>
      </c>
      <c r="U684" s="20" t="s">
        <v>118</v>
      </c>
      <c r="V684" s="20" t="s">
        <v>90</v>
      </c>
      <c r="W684" s="21"/>
    </row>
    <row r="685" customFormat="false" ht="15" hidden="false" customHeight="false" outlineLevel="0" collapsed="false">
      <c r="A685" s="20" t="n">
        <v>684</v>
      </c>
      <c r="B685" s="20" t="s">
        <v>2716</v>
      </c>
      <c r="C685" s="20" t="s">
        <v>5</v>
      </c>
      <c r="D685" s="20" t="s">
        <v>2717</v>
      </c>
      <c r="E685" s="20" t="s">
        <v>23</v>
      </c>
      <c r="F685" s="20" t="s">
        <v>2718</v>
      </c>
      <c r="G685" s="21" t="s">
        <v>2719</v>
      </c>
      <c r="H685" s="20" t="s">
        <v>2720</v>
      </c>
      <c r="I685" s="20"/>
      <c r="J685" s="20"/>
      <c r="K685" s="22" t="n">
        <v>4.7</v>
      </c>
      <c r="L685" s="23" t="n">
        <v>176</v>
      </c>
      <c r="M685" s="20" t="s">
        <v>100</v>
      </c>
      <c r="N685" s="24" t="n">
        <v>6.57446</v>
      </c>
      <c r="O685" s="24" t="n">
        <v>3.36206</v>
      </c>
      <c r="P685" s="20" t="s">
        <v>85</v>
      </c>
      <c r="Q685" s="20" t="s">
        <v>86</v>
      </c>
      <c r="R685" s="20" t="s">
        <v>86</v>
      </c>
      <c r="S685" s="20" t="s">
        <v>87</v>
      </c>
      <c r="T685" s="27" t="s">
        <v>117</v>
      </c>
      <c r="U685" s="20" t="s">
        <v>118</v>
      </c>
      <c r="V685" s="20" t="s">
        <v>90</v>
      </c>
      <c r="W685" s="21"/>
    </row>
    <row r="686" customFormat="false" ht="15" hidden="false" customHeight="false" outlineLevel="0" collapsed="false">
      <c r="A686" s="20" t="n">
        <v>685</v>
      </c>
      <c r="B686" s="20" t="s">
        <v>2721</v>
      </c>
      <c r="C686" s="20" t="s">
        <v>5</v>
      </c>
      <c r="D686" s="20" t="s">
        <v>2722</v>
      </c>
      <c r="E686" s="20" t="s">
        <v>23</v>
      </c>
      <c r="F686" s="20" t="s">
        <v>655</v>
      </c>
      <c r="G686" s="21" t="s">
        <v>2722</v>
      </c>
      <c r="H686" s="20"/>
      <c r="I686" s="20"/>
      <c r="J686" s="20"/>
      <c r="K686" s="22" t="n">
        <v>5</v>
      </c>
      <c r="L686" s="23" t="n">
        <v>3</v>
      </c>
      <c r="M686" s="20" t="s">
        <v>84</v>
      </c>
      <c r="N686" s="24" t="n">
        <v>6.57867</v>
      </c>
      <c r="O686" s="24" t="n">
        <v>3.36853</v>
      </c>
      <c r="P686" s="20" t="s">
        <v>85</v>
      </c>
      <c r="Q686" s="20" t="s">
        <v>86</v>
      </c>
      <c r="R686" s="20" t="s">
        <v>86</v>
      </c>
      <c r="S686" s="20" t="s">
        <v>87</v>
      </c>
      <c r="T686" s="25" t="s">
        <v>88</v>
      </c>
      <c r="U686" s="20" t="s">
        <v>89</v>
      </c>
      <c r="V686" s="20" t="s">
        <v>90</v>
      </c>
      <c r="W686" s="21"/>
    </row>
    <row r="687" customFormat="false" ht="15" hidden="false" customHeight="false" outlineLevel="0" collapsed="false">
      <c r="A687" s="20" t="n">
        <v>686</v>
      </c>
      <c r="B687" s="20" t="s">
        <v>2723</v>
      </c>
      <c r="C687" s="20" t="s">
        <v>5</v>
      </c>
      <c r="D687" s="20" t="s">
        <v>2724</v>
      </c>
      <c r="E687" s="20" t="s">
        <v>24</v>
      </c>
      <c r="F687" s="20" t="s">
        <v>2725</v>
      </c>
      <c r="G687" s="21" t="s">
        <v>2724</v>
      </c>
      <c r="H687" s="20" t="s">
        <v>2726</v>
      </c>
      <c r="I687" s="20"/>
      <c r="J687" s="20"/>
      <c r="K687" s="22"/>
      <c r="L687" s="23"/>
      <c r="M687" s="20" t="s">
        <v>100</v>
      </c>
      <c r="N687" s="24" t="n">
        <v>6.57278</v>
      </c>
      <c r="O687" s="24" t="n">
        <v>3.36768</v>
      </c>
      <c r="P687" s="20" t="s">
        <v>85</v>
      </c>
      <c r="Q687" s="20" t="s">
        <v>86</v>
      </c>
      <c r="R687" s="20" t="s">
        <v>86</v>
      </c>
      <c r="S687" s="20" t="s">
        <v>87</v>
      </c>
      <c r="T687" s="26" t="s">
        <v>103</v>
      </c>
      <c r="U687" s="20" t="s">
        <v>104</v>
      </c>
      <c r="V687" s="20" t="s">
        <v>90</v>
      </c>
      <c r="W687" s="21"/>
    </row>
    <row r="688" customFormat="false" ht="15" hidden="false" customHeight="false" outlineLevel="0" collapsed="false">
      <c r="A688" s="20" t="n">
        <v>687</v>
      </c>
      <c r="B688" s="20" t="s">
        <v>2727</v>
      </c>
      <c r="C688" s="20" t="s">
        <v>5</v>
      </c>
      <c r="D688" s="20" t="s">
        <v>2728</v>
      </c>
      <c r="E688" s="20" t="s">
        <v>24</v>
      </c>
      <c r="F688" s="20" t="s">
        <v>2653</v>
      </c>
      <c r="G688" s="21" t="s">
        <v>2729</v>
      </c>
      <c r="H688" s="20" t="s">
        <v>2730</v>
      </c>
      <c r="I688" s="20"/>
      <c r="J688" s="20"/>
      <c r="K688" s="22"/>
      <c r="L688" s="23"/>
      <c r="M688" s="20" t="s">
        <v>100</v>
      </c>
      <c r="N688" s="24" t="n">
        <v>6.57672</v>
      </c>
      <c r="O688" s="24" t="n">
        <v>3.37017</v>
      </c>
      <c r="P688" s="20" t="s">
        <v>85</v>
      </c>
      <c r="Q688" s="20" t="s">
        <v>86</v>
      </c>
      <c r="R688" s="20" t="s">
        <v>86</v>
      </c>
      <c r="S688" s="20" t="s">
        <v>87</v>
      </c>
      <c r="T688" s="26" t="s">
        <v>103</v>
      </c>
      <c r="U688" s="20" t="s">
        <v>104</v>
      </c>
      <c r="V688" s="20" t="s">
        <v>90</v>
      </c>
      <c r="W688" s="21"/>
    </row>
    <row r="689" customFormat="false" ht="15" hidden="false" customHeight="false" outlineLevel="0" collapsed="false">
      <c r="A689" s="20" t="n">
        <v>688</v>
      </c>
      <c r="B689" s="20" t="s">
        <v>2731</v>
      </c>
      <c r="C689" s="20" t="s">
        <v>5</v>
      </c>
      <c r="D689" s="20" t="s">
        <v>2732</v>
      </c>
      <c r="E689" s="20" t="s">
        <v>24</v>
      </c>
      <c r="F689" s="20" t="s">
        <v>715</v>
      </c>
      <c r="G689" s="21" t="s">
        <v>2733</v>
      </c>
      <c r="H689" s="20" t="s">
        <v>2734</v>
      </c>
      <c r="I689" s="20"/>
      <c r="J689" s="20"/>
      <c r="K689" s="22" t="n">
        <v>4.7</v>
      </c>
      <c r="L689" s="23" t="n">
        <v>43</v>
      </c>
      <c r="M689" s="20" t="s">
        <v>100</v>
      </c>
      <c r="N689" s="24" t="n">
        <v>6.57768</v>
      </c>
      <c r="O689" s="24" t="n">
        <v>3.3612</v>
      </c>
      <c r="P689" s="20" t="s">
        <v>85</v>
      </c>
      <c r="Q689" s="20" t="s">
        <v>86</v>
      </c>
      <c r="R689" s="20" t="s">
        <v>86</v>
      </c>
      <c r="S689" s="20" t="s">
        <v>87</v>
      </c>
      <c r="T689" s="27" t="s">
        <v>117</v>
      </c>
      <c r="U689" s="20" t="s">
        <v>118</v>
      </c>
      <c r="V689" s="20" t="s">
        <v>90</v>
      </c>
      <c r="W689" s="21"/>
    </row>
    <row r="690" customFormat="false" ht="15" hidden="false" customHeight="false" outlineLevel="0" collapsed="false">
      <c r="A690" s="20" t="n">
        <v>689</v>
      </c>
      <c r="B690" s="20" t="s">
        <v>2735</v>
      </c>
      <c r="C690" s="20" t="s">
        <v>5</v>
      </c>
      <c r="D690" s="20" t="s">
        <v>2736</v>
      </c>
      <c r="E690" s="20" t="s">
        <v>25</v>
      </c>
      <c r="F690" s="20" t="s">
        <v>738</v>
      </c>
      <c r="G690" s="21" t="s">
        <v>2737</v>
      </c>
      <c r="H690" s="20" t="s">
        <v>2738</v>
      </c>
      <c r="I690" s="20"/>
      <c r="J690" s="20"/>
      <c r="K690" s="22"/>
      <c r="L690" s="23"/>
      <c r="M690" s="20" t="s">
        <v>100</v>
      </c>
      <c r="N690" s="24"/>
      <c r="O690" s="24"/>
      <c r="P690" s="20" t="s">
        <v>101</v>
      </c>
      <c r="Q690" s="20" t="s">
        <v>86</v>
      </c>
      <c r="R690" s="20" t="s">
        <v>86</v>
      </c>
      <c r="S690" s="20" t="s">
        <v>102</v>
      </c>
      <c r="T690" s="26" t="s">
        <v>103</v>
      </c>
      <c r="U690" s="20" t="s">
        <v>104</v>
      </c>
      <c r="V690" s="20" t="s">
        <v>138</v>
      </c>
      <c r="W690" s="21" t="s">
        <v>181</v>
      </c>
    </row>
    <row r="691" customFormat="false" ht="23.85" hidden="false" customHeight="false" outlineLevel="0" collapsed="false">
      <c r="A691" s="20" t="n">
        <v>690</v>
      </c>
      <c r="B691" s="20" t="s">
        <v>2739</v>
      </c>
      <c r="C691" s="20" t="s">
        <v>5</v>
      </c>
      <c r="D691" s="20" t="s">
        <v>2740</v>
      </c>
      <c r="E691" s="20" t="s">
        <v>25</v>
      </c>
      <c r="F691" s="20" t="s">
        <v>738</v>
      </c>
      <c r="G691" s="21" t="s">
        <v>2741</v>
      </c>
      <c r="H691" s="20" t="s">
        <v>2742</v>
      </c>
      <c r="I691" s="20"/>
      <c r="J691" s="20"/>
      <c r="K691" s="22"/>
      <c r="L691" s="23"/>
      <c r="M691" s="20" t="s">
        <v>100</v>
      </c>
      <c r="N691" s="24"/>
      <c r="O691" s="24"/>
      <c r="P691" s="20" t="s">
        <v>101</v>
      </c>
      <c r="Q691" s="20" t="s">
        <v>86</v>
      </c>
      <c r="R691" s="20" t="s">
        <v>86</v>
      </c>
      <c r="S691" s="20" t="s">
        <v>102</v>
      </c>
      <c r="T691" s="26" t="s">
        <v>103</v>
      </c>
      <c r="U691" s="20" t="s">
        <v>104</v>
      </c>
      <c r="V691" s="20" t="s">
        <v>138</v>
      </c>
      <c r="W691" s="21" t="s">
        <v>181</v>
      </c>
    </row>
    <row r="692" customFormat="false" ht="15" hidden="false" customHeight="false" outlineLevel="0" collapsed="false">
      <c r="A692" s="20" t="n">
        <v>691</v>
      </c>
      <c r="B692" s="20" t="s">
        <v>2743</v>
      </c>
      <c r="C692" s="20" t="s">
        <v>5</v>
      </c>
      <c r="D692" s="20" t="s">
        <v>2744</v>
      </c>
      <c r="E692" s="20" t="s">
        <v>25</v>
      </c>
      <c r="F692" s="20" t="s">
        <v>2745</v>
      </c>
      <c r="G692" s="21" t="s">
        <v>2746</v>
      </c>
      <c r="H692" s="20" t="s">
        <v>2747</v>
      </c>
      <c r="I692" s="20"/>
      <c r="J692" s="20"/>
      <c r="K692" s="22"/>
      <c r="L692" s="23"/>
      <c r="M692" s="20" t="s">
        <v>100</v>
      </c>
      <c r="N692" s="24"/>
      <c r="O692" s="24"/>
      <c r="P692" s="20" t="s">
        <v>101</v>
      </c>
      <c r="Q692" s="20" t="s">
        <v>86</v>
      </c>
      <c r="R692" s="20" t="s">
        <v>86</v>
      </c>
      <c r="S692" s="20" t="s">
        <v>102</v>
      </c>
      <c r="T692" s="26" t="s">
        <v>103</v>
      </c>
      <c r="U692" s="20" t="s">
        <v>104</v>
      </c>
      <c r="V692" s="20" t="s">
        <v>138</v>
      </c>
      <c r="W692" s="21" t="s">
        <v>181</v>
      </c>
    </row>
    <row r="693" customFormat="false" ht="15" hidden="false" customHeight="false" outlineLevel="0" collapsed="false">
      <c r="A693" s="20" t="n">
        <v>692</v>
      </c>
      <c r="B693" s="20" t="s">
        <v>2748</v>
      </c>
      <c r="C693" s="20" t="s">
        <v>5</v>
      </c>
      <c r="D693" s="20" t="s">
        <v>2749</v>
      </c>
      <c r="E693" s="20" t="s">
        <v>25</v>
      </c>
      <c r="F693" s="20" t="s">
        <v>2750</v>
      </c>
      <c r="G693" s="21" t="s">
        <v>2749</v>
      </c>
      <c r="H693" s="20" t="s">
        <v>2751</v>
      </c>
      <c r="I693" s="20"/>
      <c r="J693" s="20"/>
      <c r="K693" s="22" t="n">
        <v>5</v>
      </c>
      <c r="L693" s="23" t="n">
        <v>3</v>
      </c>
      <c r="M693" s="20" t="s">
        <v>100</v>
      </c>
      <c r="N693" s="24" t="n">
        <v>6.57523</v>
      </c>
      <c r="O693" s="24" t="n">
        <v>3.37026</v>
      </c>
      <c r="P693" s="20" t="s">
        <v>85</v>
      </c>
      <c r="Q693" s="20" t="s">
        <v>86</v>
      </c>
      <c r="R693" s="20" t="s">
        <v>86</v>
      </c>
      <c r="S693" s="20" t="s">
        <v>87</v>
      </c>
      <c r="T693" s="26" t="s">
        <v>103</v>
      </c>
      <c r="U693" s="20" t="s">
        <v>104</v>
      </c>
      <c r="V693" s="20" t="s">
        <v>90</v>
      </c>
      <c r="W693" s="21"/>
    </row>
    <row r="694" customFormat="false" ht="15" hidden="false" customHeight="false" outlineLevel="0" collapsed="false">
      <c r="A694" s="20" t="n">
        <v>693</v>
      </c>
      <c r="B694" s="20" t="s">
        <v>2752</v>
      </c>
      <c r="C694" s="20" t="s">
        <v>5</v>
      </c>
      <c r="D694" s="20" t="s">
        <v>2753</v>
      </c>
      <c r="E694" s="20" t="s">
        <v>25</v>
      </c>
      <c r="F694" s="20" t="s">
        <v>738</v>
      </c>
      <c r="G694" s="21" t="s">
        <v>2754</v>
      </c>
      <c r="H694" s="20" t="s">
        <v>2755</v>
      </c>
      <c r="I694" s="20"/>
      <c r="J694" s="20"/>
      <c r="K694" s="22"/>
      <c r="L694" s="23"/>
      <c r="M694" s="20" t="s">
        <v>100</v>
      </c>
      <c r="N694" s="24"/>
      <c r="O694" s="24"/>
      <c r="P694" s="20" t="s">
        <v>101</v>
      </c>
      <c r="Q694" s="20" t="s">
        <v>86</v>
      </c>
      <c r="R694" s="20" t="s">
        <v>86</v>
      </c>
      <c r="S694" s="20" t="s">
        <v>102</v>
      </c>
      <c r="T694" s="26" t="s">
        <v>103</v>
      </c>
      <c r="U694" s="20" t="s">
        <v>104</v>
      </c>
      <c r="V694" s="20" t="s">
        <v>138</v>
      </c>
      <c r="W694" s="21" t="s">
        <v>181</v>
      </c>
    </row>
    <row r="695" customFormat="false" ht="15" hidden="false" customHeight="false" outlineLevel="0" collapsed="false">
      <c r="A695" s="20" t="n">
        <v>694</v>
      </c>
      <c r="B695" s="20" t="s">
        <v>2756</v>
      </c>
      <c r="C695" s="20" t="s">
        <v>5</v>
      </c>
      <c r="D695" s="20" t="s">
        <v>2253</v>
      </c>
      <c r="E695" s="20" t="s">
        <v>25</v>
      </c>
      <c r="F695" s="20" t="s">
        <v>738</v>
      </c>
      <c r="G695" s="21" t="s">
        <v>2253</v>
      </c>
      <c r="H695" s="20" t="s">
        <v>2757</v>
      </c>
      <c r="I695" s="20"/>
      <c r="J695" s="20"/>
      <c r="K695" s="22" t="n">
        <v>4</v>
      </c>
      <c r="L695" s="23"/>
      <c r="M695" s="20" t="s">
        <v>100</v>
      </c>
      <c r="N695" s="24" t="n">
        <v>6.57041</v>
      </c>
      <c r="O695" s="24" t="n">
        <v>3.36513</v>
      </c>
      <c r="P695" s="20" t="s">
        <v>85</v>
      </c>
      <c r="Q695" s="20" t="s">
        <v>86</v>
      </c>
      <c r="R695" s="20" t="s">
        <v>86</v>
      </c>
      <c r="S695" s="20" t="s">
        <v>87</v>
      </c>
      <c r="T695" s="26" t="s">
        <v>103</v>
      </c>
      <c r="U695" s="20" t="s">
        <v>104</v>
      </c>
      <c r="V695" s="20" t="s">
        <v>90</v>
      </c>
      <c r="W695" s="21"/>
    </row>
    <row r="696" customFormat="false" ht="15" hidden="false" customHeight="false" outlineLevel="0" collapsed="false">
      <c r="A696" s="20" t="n">
        <v>695</v>
      </c>
      <c r="B696" s="20" t="s">
        <v>2758</v>
      </c>
      <c r="C696" s="20" t="s">
        <v>5</v>
      </c>
      <c r="D696" s="20" t="s">
        <v>2759</v>
      </c>
      <c r="E696" s="20" t="s">
        <v>25</v>
      </c>
      <c r="F696" s="20" t="s">
        <v>738</v>
      </c>
      <c r="G696" s="21" t="s">
        <v>2759</v>
      </c>
      <c r="H696" s="20" t="s">
        <v>2760</v>
      </c>
      <c r="I696" s="20"/>
      <c r="J696" s="20"/>
      <c r="K696" s="22" t="n">
        <v>4.4</v>
      </c>
      <c r="L696" s="23" t="n">
        <v>7</v>
      </c>
      <c r="M696" s="20" t="s">
        <v>100</v>
      </c>
      <c r="N696" s="24" t="n">
        <v>6.57359</v>
      </c>
      <c r="O696" s="24" t="n">
        <v>3.37225</v>
      </c>
      <c r="P696" s="20" t="s">
        <v>85</v>
      </c>
      <c r="Q696" s="20" t="s">
        <v>86</v>
      </c>
      <c r="R696" s="20" t="s">
        <v>86</v>
      </c>
      <c r="S696" s="20" t="s">
        <v>87</v>
      </c>
      <c r="T696" s="26" t="s">
        <v>103</v>
      </c>
      <c r="U696" s="20" t="s">
        <v>104</v>
      </c>
      <c r="V696" s="20" t="s">
        <v>90</v>
      </c>
      <c r="W696" s="21"/>
    </row>
    <row r="697" customFormat="false" ht="15" hidden="false" customHeight="false" outlineLevel="0" collapsed="false">
      <c r="A697" s="20" t="n">
        <v>696</v>
      </c>
      <c r="B697" s="20" t="s">
        <v>2761</v>
      </c>
      <c r="C697" s="20" t="s">
        <v>5</v>
      </c>
      <c r="D697" s="20" t="s">
        <v>2762</v>
      </c>
      <c r="E697" s="20" t="s">
        <v>25</v>
      </c>
      <c r="F697" s="20" t="s">
        <v>738</v>
      </c>
      <c r="G697" s="21" t="s">
        <v>2762</v>
      </c>
      <c r="H697" s="20" t="s">
        <v>2763</v>
      </c>
      <c r="I697" s="20"/>
      <c r="J697" s="20"/>
      <c r="K697" s="22"/>
      <c r="L697" s="23"/>
      <c r="M697" s="20" t="s">
        <v>100</v>
      </c>
      <c r="N697" s="24" t="n">
        <v>6.57264</v>
      </c>
      <c r="O697" s="24" t="n">
        <v>3.37145</v>
      </c>
      <c r="P697" s="20" t="s">
        <v>85</v>
      </c>
      <c r="Q697" s="20" t="s">
        <v>86</v>
      </c>
      <c r="R697" s="20" t="s">
        <v>86</v>
      </c>
      <c r="S697" s="20" t="s">
        <v>87</v>
      </c>
      <c r="T697" s="26" t="s">
        <v>103</v>
      </c>
      <c r="U697" s="20" t="s">
        <v>104</v>
      </c>
      <c r="V697" s="20" t="s">
        <v>90</v>
      </c>
      <c r="W697" s="21"/>
    </row>
    <row r="698" customFormat="false" ht="23.85" hidden="false" customHeight="false" outlineLevel="0" collapsed="false">
      <c r="A698" s="20" t="n">
        <v>697</v>
      </c>
      <c r="B698" s="20" t="s">
        <v>2764</v>
      </c>
      <c r="C698" s="20" t="s">
        <v>5</v>
      </c>
      <c r="D698" s="20" t="s">
        <v>2765</v>
      </c>
      <c r="E698" s="20" t="s">
        <v>25</v>
      </c>
      <c r="F698" s="20" t="s">
        <v>738</v>
      </c>
      <c r="G698" s="21" t="s">
        <v>2766</v>
      </c>
      <c r="H698" s="20" t="s">
        <v>2767</v>
      </c>
      <c r="I698" s="20"/>
      <c r="J698" s="20"/>
      <c r="K698" s="22" t="n">
        <v>5</v>
      </c>
      <c r="L698" s="23"/>
      <c r="M698" s="20" t="s">
        <v>100</v>
      </c>
      <c r="N698" s="24" t="n">
        <v>6.57045</v>
      </c>
      <c r="O698" s="24" t="n">
        <v>3.36555</v>
      </c>
      <c r="P698" s="20" t="s">
        <v>85</v>
      </c>
      <c r="Q698" s="20" t="s">
        <v>86</v>
      </c>
      <c r="R698" s="20" t="s">
        <v>86</v>
      </c>
      <c r="S698" s="20" t="s">
        <v>87</v>
      </c>
      <c r="T698" s="26" t="s">
        <v>103</v>
      </c>
      <c r="U698" s="20" t="s">
        <v>104</v>
      </c>
      <c r="V698" s="20" t="s">
        <v>90</v>
      </c>
      <c r="W698" s="21"/>
    </row>
    <row r="699" customFormat="false" ht="15" hidden="false" customHeight="false" outlineLevel="0" collapsed="false">
      <c r="A699" s="20" t="n">
        <v>698</v>
      </c>
      <c r="B699" s="20" t="s">
        <v>2768</v>
      </c>
      <c r="C699" s="20" t="s">
        <v>5</v>
      </c>
      <c r="D699" s="20" t="s">
        <v>2769</v>
      </c>
      <c r="E699" s="20" t="s">
        <v>25</v>
      </c>
      <c r="F699" s="20" t="s">
        <v>738</v>
      </c>
      <c r="G699" s="21" t="s">
        <v>2769</v>
      </c>
      <c r="H699" s="20" t="s">
        <v>2770</v>
      </c>
      <c r="I699" s="20"/>
      <c r="J699" s="20"/>
      <c r="K699" s="22" t="n">
        <v>4.7</v>
      </c>
      <c r="L699" s="23" t="n">
        <v>3</v>
      </c>
      <c r="M699" s="20" t="s">
        <v>100</v>
      </c>
      <c r="N699" s="24" t="n">
        <v>6.5696</v>
      </c>
      <c r="O699" s="24" t="n">
        <v>3.36621</v>
      </c>
      <c r="P699" s="20" t="s">
        <v>85</v>
      </c>
      <c r="Q699" s="20" t="s">
        <v>86</v>
      </c>
      <c r="R699" s="20" t="s">
        <v>86</v>
      </c>
      <c r="S699" s="20" t="s">
        <v>87</v>
      </c>
      <c r="T699" s="26" t="s">
        <v>103</v>
      </c>
      <c r="U699" s="20" t="s">
        <v>104</v>
      </c>
      <c r="V699" s="20" t="s">
        <v>90</v>
      </c>
      <c r="W699" s="21"/>
    </row>
    <row r="700" customFormat="false" ht="15" hidden="false" customHeight="false" outlineLevel="0" collapsed="false">
      <c r="A700" s="20" t="n">
        <v>699</v>
      </c>
      <c r="B700" s="20" t="s">
        <v>2771</v>
      </c>
      <c r="C700" s="20" t="s">
        <v>5</v>
      </c>
      <c r="D700" s="20" t="s">
        <v>2717</v>
      </c>
      <c r="E700" s="20" t="s">
        <v>25</v>
      </c>
      <c r="F700" s="20" t="s">
        <v>738</v>
      </c>
      <c r="G700" s="21" t="s">
        <v>2717</v>
      </c>
      <c r="H700" s="20" t="s">
        <v>2772</v>
      </c>
      <c r="I700" s="20"/>
      <c r="J700" s="20"/>
      <c r="K700" s="22" t="n">
        <v>5</v>
      </c>
      <c r="L700" s="23" t="n">
        <v>1</v>
      </c>
      <c r="M700" s="20" t="s">
        <v>100</v>
      </c>
      <c r="N700" s="24" t="n">
        <v>6.57495</v>
      </c>
      <c r="O700" s="24" t="n">
        <v>3.3626</v>
      </c>
      <c r="P700" s="20" t="s">
        <v>85</v>
      </c>
      <c r="Q700" s="20" t="s">
        <v>86</v>
      </c>
      <c r="R700" s="20" t="s">
        <v>86</v>
      </c>
      <c r="S700" s="20" t="s">
        <v>87</v>
      </c>
      <c r="T700" s="26" t="s">
        <v>103</v>
      </c>
      <c r="U700" s="20" t="s">
        <v>104</v>
      </c>
      <c r="V700" s="20" t="s">
        <v>90</v>
      </c>
      <c r="W700" s="21"/>
    </row>
    <row r="701" customFormat="false" ht="15" hidden="false" customHeight="false" outlineLevel="0" collapsed="false">
      <c r="A701" s="20" t="n">
        <v>700</v>
      </c>
      <c r="B701" s="20" t="s">
        <v>2773</v>
      </c>
      <c r="C701" s="20" t="s">
        <v>5</v>
      </c>
      <c r="D701" s="20" t="s">
        <v>2774</v>
      </c>
      <c r="E701" s="20" t="s">
        <v>25</v>
      </c>
      <c r="F701" s="20" t="s">
        <v>738</v>
      </c>
      <c r="G701" s="21" t="s">
        <v>2774</v>
      </c>
      <c r="H701" s="20" t="s">
        <v>2775</v>
      </c>
      <c r="I701" s="20"/>
      <c r="J701" s="20"/>
      <c r="K701" s="22" t="n">
        <v>4.8</v>
      </c>
      <c r="L701" s="23"/>
      <c r="M701" s="20" t="s">
        <v>100</v>
      </c>
      <c r="N701" s="24" t="n">
        <v>6.57234</v>
      </c>
      <c r="O701" s="24" t="n">
        <v>3.36245</v>
      </c>
      <c r="P701" s="20" t="s">
        <v>85</v>
      </c>
      <c r="Q701" s="20" t="s">
        <v>86</v>
      </c>
      <c r="R701" s="20" t="s">
        <v>86</v>
      </c>
      <c r="S701" s="20" t="s">
        <v>87</v>
      </c>
      <c r="T701" s="26" t="s">
        <v>103</v>
      </c>
      <c r="U701" s="20" t="s">
        <v>104</v>
      </c>
      <c r="V701" s="20" t="s">
        <v>90</v>
      </c>
      <c r="W701" s="21"/>
    </row>
    <row r="702" customFormat="false" ht="35.05" hidden="false" customHeight="false" outlineLevel="0" collapsed="false">
      <c r="A702" s="20" t="n">
        <v>701</v>
      </c>
      <c r="B702" s="20" t="s">
        <v>2776</v>
      </c>
      <c r="C702" s="20" t="s">
        <v>5</v>
      </c>
      <c r="D702" s="20" t="s">
        <v>2777</v>
      </c>
      <c r="E702" s="20" t="s">
        <v>25</v>
      </c>
      <c r="F702" s="20" t="s">
        <v>738</v>
      </c>
      <c r="G702" s="21" t="s">
        <v>2778</v>
      </c>
      <c r="H702" s="20" t="s">
        <v>2779</v>
      </c>
      <c r="I702" s="20"/>
      <c r="J702" s="20"/>
      <c r="K702" s="22" t="n">
        <v>4.6</v>
      </c>
      <c r="L702" s="23"/>
      <c r="M702" s="20" t="s">
        <v>100</v>
      </c>
      <c r="N702" s="24" t="n">
        <v>6.57246</v>
      </c>
      <c r="O702" s="24" t="n">
        <v>3.36973</v>
      </c>
      <c r="P702" s="20" t="s">
        <v>85</v>
      </c>
      <c r="Q702" s="20" t="s">
        <v>86</v>
      </c>
      <c r="R702" s="20" t="s">
        <v>86</v>
      </c>
      <c r="S702" s="20" t="s">
        <v>87</v>
      </c>
      <c r="T702" s="26" t="s">
        <v>103</v>
      </c>
      <c r="U702" s="20" t="s">
        <v>104</v>
      </c>
      <c r="V702" s="20" t="s">
        <v>90</v>
      </c>
      <c r="W702" s="21"/>
    </row>
    <row r="703" customFormat="false" ht="15" hidden="false" customHeight="false" outlineLevel="0" collapsed="false">
      <c r="A703" s="20" t="n">
        <v>702</v>
      </c>
      <c r="B703" s="20" t="s">
        <v>2780</v>
      </c>
      <c r="C703" s="20" t="s">
        <v>5</v>
      </c>
      <c r="D703" s="20" t="s">
        <v>2781</v>
      </c>
      <c r="E703" s="20" t="s">
        <v>25</v>
      </c>
      <c r="F703" s="20" t="s">
        <v>738</v>
      </c>
      <c r="G703" s="21" t="s">
        <v>2781</v>
      </c>
      <c r="H703" s="20"/>
      <c r="I703" s="20"/>
      <c r="J703" s="20"/>
      <c r="K703" s="22" t="n">
        <v>3.5</v>
      </c>
      <c r="L703" s="23"/>
      <c r="M703" s="20" t="s">
        <v>84</v>
      </c>
      <c r="N703" s="24" t="n">
        <v>6.57567</v>
      </c>
      <c r="O703" s="24" t="n">
        <v>3.36871</v>
      </c>
      <c r="P703" s="20" t="s">
        <v>85</v>
      </c>
      <c r="Q703" s="20" t="s">
        <v>86</v>
      </c>
      <c r="R703" s="20" t="s">
        <v>86</v>
      </c>
      <c r="S703" s="20" t="s">
        <v>87</v>
      </c>
      <c r="T703" s="25" t="s">
        <v>88</v>
      </c>
      <c r="U703" s="20" t="s">
        <v>89</v>
      </c>
      <c r="V703" s="20" t="s">
        <v>90</v>
      </c>
      <c r="W703" s="21"/>
    </row>
    <row r="704" customFormat="false" ht="15" hidden="false" customHeight="false" outlineLevel="0" collapsed="false">
      <c r="A704" s="20" t="n">
        <v>703</v>
      </c>
      <c r="B704" s="20" t="s">
        <v>2782</v>
      </c>
      <c r="C704" s="20" t="s">
        <v>5</v>
      </c>
      <c r="D704" s="20" t="s">
        <v>2495</v>
      </c>
      <c r="E704" s="20" t="s">
        <v>25</v>
      </c>
      <c r="F704" s="20" t="s">
        <v>738</v>
      </c>
      <c r="G704" s="21" t="s">
        <v>2495</v>
      </c>
      <c r="H704" s="20" t="s">
        <v>2783</v>
      </c>
      <c r="I704" s="20"/>
      <c r="J704" s="20"/>
      <c r="K704" s="22" t="n">
        <v>3.7</v>
      </c>
      <c r="L704" s="23"/>
      <c r="M704" s="20" t="s">
        <v>100</v>
      </c>
      <c r="N704" s="24" t="n">
        <v>6.56923</v>
      </c>
      <c r="O704" s="24" t="n">
        <v>3.37305</v>
      </c>
      <c r="P704" s="20" t="s">
        <v>85</v>
      </c>
      <c r="Q704" s="20" t="s">
        <v>86</v>
      </c>
      <c r="R704" s="20" t="s">
        <v>86</v>
      </c>
      <c r="S704" s="20" t="s">
        <v>87</v>
      </c>
      <c r="T704" s="26" t="s">
        <v>103</v>
      </c>
      <c r="U704" s="20" t="s">
        <v>104</v>
      </c>
      <c r="V704" s="20" t="s">
        <v>90</v>
      </c>
      <c r="W704" s="21"/>
    </row>
    <row r="705" customFormat="false" ht="15" hidden="false" customHeight="false" outlineLevel="0" collapsed="false">
      <c r="A705" s="20" t="n">
        <v>704</v>
      </c>
      <c r="B705" s="20" t="s">
        <v>2784</v>
      </c>
      <c r="C705" s="20" t="s">
        <v>5</v>
      </c>
      <c r="D705" s="20" t="s">
        <v>2344</v>
      </c>
      <c r="E705" s="20" t="s">
        <v>25</v>
      </c>
      <c r="F705" s="20" t="s">
        <v>738</v>
      </c>
      <c r="G705" s="21" t="s">
        <v>2785</v>
      </c>
      <c r="H705" s="20" t="s">
        <v>2786</v>
      </c>
      <c r="I705" s="20"/>
      <c r="J705" s="20"/>
      <c r="K705" s="22" t="n">
        <v>3.8</v>
      </c>
      <c r="L705" s="23"/>
      <c r="M705" s="20" t="s">
        <v>100</v>
      </c>
      <c r="N705" s="24" t="n">
        <v>6.56767</v>
      </c>
      <c r="O705" s="24" t="n">
        <v>3.36728</v>
      </c>
      <c r="P705" s="20" t="s">
        <v>110</v>
      </c>
      <c r="Q705" s="20" t="s">
        <v>86</v>
      </c>
      <c r="R705" s="20" t="s">
        <v>86</v>
      </c>
      <c r="S705" s="20" t="s">
        <v>87</v>
      </c>
      <c r="T705" s="26" t="s">
        <v>103</v>
      </c>
      <c r="U705" s="20" t="s">
        <v>104</v>
      </c>
      <c r="V705" s="20" t="s">
        <v>138</v>
      </c>
      <c r="W705" s="21" t="s">
        <v>181</v>
      </c>
    </row>
    <row r="706" customFormat="false" ht="15" hidden="false" customHeight="false" outlineLevel="0" collapsed="false">
      <c r="A706" s="20" t="n">
        <v>705</v>
      </c>
      <c r="B706" s="20" t="s">
        <v>2787</v>
      </c>
      <c r="C706" s="20" t="s">
        <v>5</v>
      </c>
      <c r="D706" s="20" t="s">
        <v>2788</v>
      </c>
      <c r="E706" s="20" t="s">
        <v>25</v>
      </c>
      <c r="F706" s="20" t="s">
        <v>2750</v>
      </c>
      <c r="G706" s="21" t="s">
        <v>2789</v>
      </c>
      <c r="H706" s="20" t="s">
        <v>2790</v>
      </c>
      <c r="I706" s="20"/>
      <c r="J706" s="20"/>
      <c r="K706" s="22" t="n">
        <v>2.5</v>
      </c>
      <c r="L706" s="23"/>
      <c r="M706" s="20" t="s">
        <v>100</v>
      </c>
      <c r="N706" s="24" t="n">
        <v>6.57356</v>
      </c>
      <c r="O706" s="24" t="n">
        <v>3.35864</v>
      </c>
      <c r="P706" s="20" t="s">
        <v>85</v>
      </c>
      <c r="Q706" s="20" t="s">
        <v>86</v>
      </c>
      <c r="R706" s="20" t="s">
        <v>86</v>
      </c>
      <c r="S706" s="20" t="s">
        <v>87</v>
      </c>
      <c r="T706" s="26" t="s">
        <v>103</v>
      </c>
      <c r="U706" s="20" t="s">
        <v>104</v>
      </c>
      <c r="V706" s="20" t="s">
        <v>90</v>
      </c>
      <c r="W706" s="21"/>
    </row>
    <row r="707" customFormat="false" ht="15" hidden="false" customHeight="false" outlineLevel="0" collapsed="false">
      <c r="A707" s="20" t="n">
        <v>706</v>
      </c>
      <c r="B707" s="20" t="s">
        <v>2791</v>
      </c>
      <c r="C707" s="20" t="s">
        <v>5</v>
      </c>
      <c r="D707" s="20" t="s">
        <v>2792</v>
      </c>
      <c r="E707" s="20" t="s">
        <v>25</v>
      </c>
      <c r="F707" s="20" t="s">
        <v>738</v>
      </c>
      <c r="G707" s="21" t="s">
        <v>2793</v>
      </c>
      <c r="H707" s="20"/>
      <c r="I707" s="20"/>
      <c r="J707" s="20"/>
      <c r="K707" s="22" t="n">
        <v>4.5</v>
      </c>
      <c r="L707" s="23" t="n">
        <v>2</v>
      </c>
      <c r="M707" s="20" t="s">
        <v>84</v>
      </c>
      <c r="N707" s="24"/>
      <c r="O707" s="24"/>
      <c r="P707" s="20" t="s">
        <v>101</v>
      </c>
      <c r="Q707" s="20" t="s">
        <v>86</v>
      </c>
      <c r="R707" s="20" t="s">
        <v>86</v>
      </c>
      <c r="S707" s="20" t="s">
        <v>102</v>
      </c>
      <c r="T707" s="25" t="s">
        <v>88</v>
      </c>
      <c r="U707" s="20" t="s">
        <v>89</v>
      </c>
      <c r="V707" s="20" t="s">
        <v>138</v>
      </c>
      <c r="W707" s="21" t="s">
        <v>299</v>
      </c>
    </row>
    <row r="708" customFormat="false" ht="15" hidden="false" customHeight="false" outlineLevel="0" collapsed="false">
      <c r="A708" s="20" t="n">
        <v>707</v>
      </c>
      <c r="B708" s="20" t="s">
        <v>2794</v>
      </c>
      <c r="C708" s="20" t="s">
        <v>5</v>
      </c>
      <c r="D708" s="20" t="s">
        <v>2795</v>
      </c>
      <c r="E708" s="20" t="s">
        <v>25</v>
      </c>
      <c r="F708" s="20" t="s">
        <v>2750</v>
      </c>
      <c r="G708" s="21" t="s">
        <v>2795</v>
      </c>
      <c r="H708" s="20" t="s">
        <v>2796</v>
      </c>
      <c r="I708" s="20"/>
      <c r="J708" s="20"/>
      <c r="K708" s="22" t="n">
        <v>4</v>
      </c>
      <c r="L708" s="23" t="n">
        <v>1</v>
      </c>
      <c r="M708" s="20" t="s">
        <v>100</v>
      </c>
      <c r="N708" s="24" t="n">
        <v>6.56716</v>
      </c>
      <c r="O708" s="24" t="n">
        <v>3.36731</v>
      </c>
      <c r="P708" s="20" t="s">
        <v>85</v>
      </c>
      <c r="Q708" s="20" t="s">
        <v>86</v>
      </c>
      <c r="R708" s="20" t="s">
        <v>86</v>
      </c>
      <c r="S708" s="20" t="s">
        <v>87</v>
      </c>
      <c r="T708" s="26" t="s">
        <v>103</v>
      </c>
      <c r="U708" s="20" t="s">
        <v>104</v>
      </c>
      <c r="V708" s="20" t="s">
        <v>90</v>
      </c>
      <c r="W708" s="21"/>
    </row>
    <row r="709" customFormat="false" ht="23.85" hidden="false" customHeight="false" outlineLevel="0" collapsed="false">
      <c r="A709" s="20" t="n">
        <v>708</v>
      </c>
      <c r="B709" s="20" t="s">
        <v>2797</v>
      </c>
      <c r="C709" s="20" t="s">
        <v>5</v>
      </c>
      <c r="D709" s="20" t="s">
        <v>2717</v>
      </c>
      <c r="E709" s="20" t="s">
        <v>25</v>
      </c>
      <c r="F709" s="20" t="s">
        <v>738</v>
      </c>
      <c r="G709" s="21" t="s">
        <v>2798</v>
      </c>
      <c r="H709" s="20" t="s">
        <v>2799</v>
      </c>
      <c r="I709" s="20"/>
      <c r="J709" s="20"/>
      <c r="K709" s="22" t="n">
        <v>5</v>
      </c>
      <c r="L709" s="23" t="n">
        <v>1</v>
      </c>
      <c r="M709" s="20" t="s">
        <v>100</v>
      </c>
      <c r="N709" s="24" t="n">
        <v>6.57515</v>
      </c>
      <c r="O709" s="24" t="n">
        <v>3.36244</v>
      </c>
      <c r="P709" s="20" t="s">
        <v>110</v>
      </c>
      <c r="Q709" s="20" t="s">
        <v>86</v>
      </c>
      <c r="R709" s="20" t="s">
        <v>86</v>
      </c>
      <c r="S709" s="20" t="s">
        <v>87</v>
      </c>
      <c r="T709" s="26" t="s">
        <v>103</v>
      </c>
      <c r="U709" s="20" t="s">
        <v>104</v>
      </c>
      <c r="V709" s="20" t="s">
        <v>138</v>
      </c>
      <c r="W709" s="21" t="s">
        <v>299</v>
      </c>
    </row>
    <row r="710" customFormat="false" ht="15" hidden="false" customHeight="false" outlineLevel="0" collapsed="false">
      <c r="A710" s="20" t="n">
        <v>709</v>
      </c>
      <c r="B710" s="20" t="s">
        <v>2800</v>
      </c>
      <c r="C710" s="20" t="s">
        <v>5</v>
      </c>
      <c r="D710" s="20" t="s">
        <v>2801</v>
      </c>
      <c r="E710" s="20" t="s">
        <v>25</v>
      </c>
      <c r="F710" s="20" t="s">
        <v>738</v>
      </c>
      <c r="G710" s="21" t="s">
        <v>2801</v>
      </c>
      <c r="H710" s="20" t="s">
        <v>2802</v>
      </c>
      <c r="I710" s="20"/>
      <c r="J710" s="20"/>
      <c r="K710" s="22" t="n">
        <v>4.4</v>
      </c>
      <c r="L710" s="23" t="n">
        <v>4493</v>
      </c>
      <c r="M710" s="20" t="s">
        <v>100</v>
      </c>
      <c r="N710" s="24" t="n">
        <v>6.57697</v>
      </c>
      <c r="O710" s="24" t="n">
        <v>3.36044</v>
      </c>
      <c r="P710" s="20" t="s">
        <v>85</v>
      </c>
      <c r="Q710" s="20" t="s">
        <v>86</v>
      </c>
      <c r="R710" s="20" t="s">
        <v>86</v>
      </c>
      <c r="S710" s="20" t="s">
        <v>87</v>
      </c>
      <c r="T710" s="27" t="s">
        <v>117</v>
      </c>
      <c r="U710" s="20" t="s">
        <v>118</v>
      </c>
      <c r="V710" s="20" t="s">
        <v>90</v>
      </c>
      <c r="W710" s="21"/>
    </row>
    <row r="711" customFormat="false" ht="15" hidden="false" customHeight="false" outlineLevel="0" collapsed="false">
      <c r="A711" s="20" t="n">
        <v>710</v>
      </c>
      <c r="B711" s="20" t="s">
        <v>2803</v>
      </c>
      <c r="C711" s="20" t="s">
        <v>5</v>
      </c>
      <c r="D711" s="20" t="s">
        <v>2801</v>
      </c>
      <c r="E711" s="20" t="s">
        <v>25</v>
      </c>
      <c r="F711" s="20" t="s">
        <v>738</v>
      </c>
      <c r="G711" s="21" t="s">
        <v>2801</v>
      </c>
      <c r="H711" s="20" t="s">
        <v>2804</v>
      </c>
      <c r="I711" s="20"/>
      <c r="J711" s="20"/>
      <c r="K711" s="22" t="n">
        <v>3.9</v>
      </c>
      <c r="L711" s="23"/>
      <c r="M711" s="20" t="s">
        <v>100</v>
      </c>
      <c r="N711" s="24" t="n">
        <v>6.577</v>
      </c>
      <c r="O711" s="24" t="n">
        <v>3.36062</v>
      </c>
      <c r="P711" s="20" t="s">
        <v>85</v>
      </c>
      <c r="Q711" s="20" t="s">
        <v>86</v>
      </c>
      <c r="R711" s="20" t="s">
        <v>86</v>
      </c>
      <c r="S711" s="20" t="s">
        <v>87</v>
      </c>
      <c r="T711" s="26" t="s">
        <v>103</v>
      </c>
      <c r="U711" s="20" t="s">
        <v>104</v>
      </c>
      <c r="V711" s="20" t="s">
        <v>90</v>
      </c>
      <c r="W711" s="21"/>
    </row>
    <row r="712" customFormat="false" ht="15" hidden="false" customHeight="false" outlineLevel="0" collapsed="false">
      <c r="A712" s="20" t="n">
        <v>711</v>
      </c>
      <c r="B712" s="20" t="s">
        <v>2805</v>
      </c>
      <c r="C712" s="20" t="s">
        <v>5</v>
      </c>
      <c r="D712" s="20" t="s">
        <v>2296</v>
      </c>
      <c r="E712" s="20" t="s">
        <v>25</v>
      </c>
      <c r="F712" s="20" t="s">
        <v>738</v>
      </c>
      <c r="G712" s="21" t="s">
        <v>2298</v>
      </c>
      <c r="H712" s="20" t="s">
        <v>2806</v>
      </c>
      <c r="I712" s="20"/>
      <c r="J712" s="20"/>
      <c r="K712" s="22" t="n">
        <v>4.2</v>
      </c>
      <c r="L712" s="23"/>
      <c r="M712" s="20" t="s">
        <v>100</v>
      </c>
      <c r="N712" s="24" t="n">
        <v>6.56761</v>
      </c>
      <c r="O712" s="24" t="n">
        <v>3.36719</v>
      </c>
      <c r="P712" s="20" t="s">
        <v>85</v>
      </c>
      <c r="Q712" s="20" t="s">
        <v>86</v>
      </c>
      <c r="R712" s="20" t="s">
        <v>86</v>
      </c>
      <c r="S712" s="20" t="s">
        <v>87</v>
      </c>
      <c r="T712" s="26" t="s">
        <v>103</v>
      </c>
      <c r="U712" s="20" t="s">
        <v>104</v>
      </c>
      <c r="V712" s="20" t="s">
        <v>90</v>
      </c>
      <c r="W712" s="21"/>
    </row>
    <row r="713" customFormat="false" ht="15" hidden="false" customHeight="false" outlineLevel="0" collapsed="false">
      <c r="A713" s="20" t="n">
        <v>712</v>
      </c>
      <c r="B713" s="20" t="s">
        <v>2807</v>
      </c>
      <c r="C713" s="20" t="s">
        <v>5</v>
      </c>
      <c r="D713" s="20" t="s">
        <v>2781</v>
      </c>
      <c r="E713" s="20" t="s">
        <v>25</v>
      </c>
      <c r="F713" s="20" t="s">
        <v>738</v>
      </c>
      <c r="G713" s="21" t="s">
        <v>2781</v>
      </c>
      <c r="H713" s="20" t="s">
        <v>2808</v>
      </c>
      <c r="I713" s="20"/>
      <c r="J713" s="20"/>
      <c r="K713" s="22" t="n">
        <v>4.4</v>
      </c>
      <c r="L713" s="23"/>
      <c r="M713" s="20" t="s">
        <v>100</v>
      </c>
      <c r="N713" s="24" t="n">
        <v>6.57564</v>
      </c>
      <c r="O713" s="24" t="n">
        <v>3.36863</v>
      </c>
      <c r="P713" s="20" t="s">
        <v>85</v>
      </c>
      <c r="Q713" s="20" t="s">
        <v>86</v>
      </c>
      <c r="R713" s="20" t="s">
        <v>86</v>
      </c>
      <c r="S713" s="20" t="s">
        <v>87</v>
      </c>
      <c r="T713" s="26" t="s">
        <v>103</v>
      </c>
      <c r="U713" s="20" t="s">
        <v>104</v>
      </c>
      <c r="V713" s="20" t="s">
        <v>90</v>
      </c>
      <c r="W713" s="21"/>
    </row>
    <row r="714" customFormat="false" ht="15" hidden="false" customHeight="false" outlineLevel="0" collapsed="false">
      <c r="A714" s="20" t="n">
        <v>713</v>
      </c>
      <c r="B714" s="20" t="s">
        <v>2809</v>
      </c>
      <c r="C714" s="20" t="s">
        <v>5</v>
      </c>
      <c r="D714" s="20" t="s">
        <v>2810</v>
      </c>
      <c r="E714" s="20" t="s">
        <v>26</v>
      </c>
      <c r="F714" s="20" t="s">
        <v>835</v>
      </c>
      <c r="G714" s="21" t="s">
        <v>2810</v>
      </c>
      <c r="H714" s="20"/>
      <c r="I714" s="20"/>
      <c r="J714" s="20"/>
      <c r="K714" s="22"/>
      <c r="L714" s="23"/>
      <c r="M714" s="20" t="s">
        <v>84</v>
      </c>
      <c r="N714" s="24" t="n">
        <v>6.57642</v>
      </c>
      <c r="O714" s="24" t="n">
        <v>3.3723</v>
      </c>
      <c r="P714" s="20" t="s">
        <v>85</v>
      </c>
      <c r="Q714" s="20" t="s">
        <v>86</v>
      </c>
      <c r="R714" s="20" t="s">
        <v>86</v>
      </c>
      <c r="S714" s="20" t="s">
        <v>87</v>
      </c>
      <c r="T714" s="25" t="s">
        <v>88</v>
      </c>
      <c r="U714" s="20" t="s">
        <v>89</v>
      </c>
      <c r="V714" s="20" t="s">
        <v>90</v>
      </c>
      <c r="W714" s="21"/>
    </row>
    <row r="715" customFormat="false" ht="15" hidden="false" customHeight="false" outlineLevel="0" collapsed="false">
      <c r="A715" s="20" t="n">
        <v>714</v>
      </c>
      <c r="B715" s="20" t="s">
        <v>2811</v>
      </c>
      <c r="C715" s="20" t="s">
        <v>5</v>
      </c>
      <c r="D715" s="20" t="s">
        <v>2812</v>
      </c>
      <c r="E715" s="20" t="s">
        <v>26</v>
      </c>
      <c r="F715" s="20" t="s">
        <v>788</v>
      </c>
      <c r="G715" s="21" t="s">
        <v>2813</v>
      </c>
      <c r="H715" s="20" t="s">
        <v>2814</v>
      </c>
      <c r="I715" s="20"/>
      <c r="J715" s="20"/>
      <c r="K715" s="22"/>
      <c r="L715" s="23"/>
      <c r="M715" s="20" t="s">
        <v>100</v>
      </c>
      <c r="N715" s="24"/>
      <c r="O715" s="24"/>
      <c r="P715" s="20" t="s">
        <v>101</v>
      </c>
      <c r="Q715" s="20" t="s">
        <v>86</v>
      </c>
      <c r="R715" s="20" t="s">
        <v>86</v>
      </c>
      <c r="S715" s="20" t="s">
        <v>102</v>
      </c>
      <c r="T715" s="26" t="s">
        <v>103</v>
      </c>
      <c r="U715" s="20" t="s">
        <v>104</v>
      </c>
      <c r="V715" s="20" t="s">
        <v>138</v>
      </c>
      <c r="W715" s="21" t="s">
        <v>181</v>
      </c>
    </row>
    <row r="716" customFormat="false" ht="15" hidden="false" customHeight="false" outlineLevel="0" collapsed="false">
      <c r="A716" s="20" t="n">
        <v>715</v>
      </c>
      <c r="B716" s="20" t="s">
        <v>2815</v>
      </c>
      <c r="C716" s="20" t="s">
        <v>5</v>
      </c>
      <c r="D716" s="20" t="s">
        <v>2816</v>
      </c>
      <c r="E716" s="20" t="s">
        <v>26</v>
      </c>
      <c r="F716" s="20" t="s">
        <v>2817</v>
      </c>
      <c r="G716" s="21" t="s">
        <v>2818</v>
      </c>
      <c r="H716" s="20" t="s">
        <v>2819</v>
      </c>
      <c r="I716" s="20"/>
      <c r="J716" s="20"/>
      <c r="K716" s="22"/>
      <c r="L716" s="23"/>
      <c r="M716" s="20" t="s">
        <v>100</v>
      </c>
      <c r="N716" s="24"/>
      <c r="O716" s="24"/>
      <c r="P716" s="20" t="s">
        <v>101</v>
      </c>
      <c r="Q716" s="20" t="s">
        <v>86</v>
      </c>
      <c r="R716" s="20" t="s">
        <v>86</v>
      </c>
      <c r="S716" s="20" t="s">
        <v>102</v>
      </c>
      <c r="T716" s="26" t="s">
        <v>103</v>
      </c>
      <c r="U716" s="20" t="s">
        <v>104</v>
      </c>
      <c r="V716" s="20" t="s">
        <v>138</v>
      </c>
      <c r="W716" s="21" t="s">
        <v>181</v>
      </c>
    </row>
    <row r="717" customFormat="false" ht="15" hidden="false" customHeight="false" outlineLevel="0" collapsed="false">
      <c r="A717" s="20" t="n">
        <v>716</v>
      </c>
      <c r="B717" s="20" t="s">
        <v>2820</v>
      </c>
      <c r="C717" s="20" t="s">
        <v>5</v>
      </c>
      <c r="D717" s="20" t="s">
        <v>2821</v>
      </c>
      <c r="E717" s="20" t="s">
        <v>26</v>
      </c>
      <c r="F717" s="20" t="s">
        <v>2822</v>
      </c>
      <c r="G717" s="21" t="s">
        <v>2821</v>
      </c>
      <c r="H717" s="20"/>
      <c r="I717" s="20"/>
      <c r="J717" s="20"/>
      <c r="K717" s="22" t="n">
        <v>4.6</v>
      </c>
      <c r="L717" s="23" t="n">
        <v>54</v>
      </c>
      <c r="M717" s="20" t="s">
        <v>84</v>
      </c>
      <c r="N717" s="24" t="n">
        <v>6.5757</v>
      </c>
      <c r="O717" s="24" t="n">
        <v>3.37261</v>
      </c>
      <c r="P717" s="20" t="s">
        <v>85</v>
      </c>
      <c r="Q717" s="20" t="s">
        <v>86</v>
      </c>
      <c r="R717" s="20" t="s">
        <v>86</v>
      </c>
      <c r="S717" s="20" t="s">
        <v>87</v>
      </c>
      <c r="T717" s="25" t="s">
        <v>88</v>
      </c>
      <c r="U717" s="20" t="s">
        <v>89</v>
      </c>
      <c r="V717" s="20" t="s">
        <v>90</v>
      </c>
      <c r="W717" s="21"/>
    </row>
    <row r="718" customFormat="false" ht="15" hidden="false" customHeight="false" outlineLevel="0" collapsed="false">
      <c r="A718" s="20" t="n">
        <v>717</v>
      </c>
      <c r="B718" s="20" t="s">
        <v>2823</v>
      </c>
      <c r="C718" s="20" t="s">
        <v>5</v>
      </c>
      <c r="D718" s="20" t="s">
        <v>2824</v>
      </c>
      <c r="E718" s="20" t="s">
        <v>26</v>
      </c>
      <c r="F718" s="20" t="s">
        <v>2825</v>
      </c>
      <c r="G718" s="21" t="s">
        <v>2824</v>
      </c>
      <c r="H718" s="20"/>
      <c r="I718" s="20"/>
      <c r="J718" s="20"/>
      <c r="K718" s="22"/>
      <c r="L718" s="23"/>
      <c r="M718" s="20" t="s">
        <v>84</v>
      </c>
      <c r="N718" s="24" t="n">
        <v>6.56891</v>
      </c>
      <c r="O718" s="24" t="n">
        <v>3.37135</v>
      </c>
      <c r="P718" s="20" t="s">
        <v>85</v>
      </c>
      <c r="Q718" s="20" t="s">
        <v>86</v>
      </c>
      <c r="R718" s="20" t="s">
        <v>86</v>
      </c>
      <c r="S718" s="20" t="s">
        <v>87</v>
      </c>
      <c r="T718" s="25" t="s">
        <v>88</v>
      </c>
      <c r="U718" s="20" t="s">
        <v>89</v>
      </c>
      <c r="V718" s="20" t="s">
        <v>90</v>
      </c>
      <c r="W718" s="21"/>
    </row>
    <row r="719" customFormat="false" ht="15" hidden="false" customHeight="false" outlineLevel="0" collapsed="false">
      <c r="A719" s="20" t="n">
        <v>718</v>
      </c>
      <c r="B719" s="20" t="s">
        <v>2826</v>
      </c>
      <c r="C719" s="20" t="s">
        <v>5</v>
      </c>
      <c r="D719" s="20" t="s">
        <v>2827</v>
      </c>
      <c r="E719" s="20" t="s">
        <v>26</v>
      </c>
      <c r="F719" s="20" t="s">
        <v>2828</v>
      </c>
      <c r="G719" s="21" t="s">
        <v>2829</v>
      </c>
      <c r="H719" s="20" t="s">
        <v>2830</v>
      </c>
      <c r="I719" s="20"/>
      <c r="J719" s="20"/>
      <c r="K719" s="22"/>
      <c r="L719" s="23"/>
      <c r="M719" s="20" t="s">
        <v>100</v>
      </c>
      <c r="N719" s="24"/>
      <c r="O719" s="24"/>
      <c r="P719" s="20" t="s">
        <v>101</v>
      </c>
      <c r="Q719" s="20" t="s">
        <v>86</v>
      </c>
      <c r="R719" s="20" t="s">
        <v>86</v>
      </c>
      <c r="S719" s="20" t="s">
        <v>102</v>
      </c>
      <c r="T719" s="26" t="s">
        <v>103</v>
      </c>
      <c r="U719" s="20" t="s">
        <v>104</v>
      </c>
      <c r="V719" s="20" t="s">
        <v>138</v>
      </c>
      <c r="W719" s="21" t="s">
        <v>181</v>
      </c>
    </row>
    <row r="720" customFormat="false" ht="15" hidden="false" customHeight="false" outlineLevel="0" collapsed="false">
      <c r="A720" s="20" t="n">
        <v>719</v>
      </c>
      <c r="B720" s="20" t="s">
        <v>2831</v>
      </c>
      <c r="C720" s="20" t="s">
        <v>5</v>
      </c>
      <c r="D720" s="20" t="s">
        <v>2832</v>
      </c>
      <c r="E720" s="20" t="s">
        <v>26</v>
      </c>
      <c r="F720" s="20" t="s">
        <v>835</v>
      </c>
      <c r="G720" s="21" t="s">
        <v>2832</v>
      </c>
      <c r="H720" s="20"/>
      <c r="I720" s="20"/>
      <c r="J720" s="20"/>
      <c r="K720" s="22"/>
      <c r="L720" s="23"/>
      <c r="M720" s="20" t="s">
        <v>84</v>
      </c>
      <c r="N720" s="24" t="n">
        <v>6.57579</v>
      </c>
      <c r="O720" s="24" t="n">
        <v>3.37284</v>
      </c>
      <c r="P720" s="20" t="s">
        <v>85</v>
      </c>
      <c r="Q720" s="20" t="s">
        <v>86</v>
      </c>
      <c r="R720" s="20" t="s">
        <v>86</v>
      </c>
      <c r="S720" s="20" t="s">
        <v>87</v>
      </c>
      <c r="T720" s="25" t="s">
        <v>88</v>
      </c>
      <c r="U720" s="20" t="s">
        <v>89</v>
      </c>
      <c r="V720" s="20" t="s">
        <v>90</v>
      </c>
      <c r="W720" s="21"/>
    </row>
    <row r="721" customFormat="false" ht="15" hidden="false" customHeight="false" outlineLevel="0" collapsed="false">
      <c r="A721" s="20" t="n">
        <v>720</v>
      </c>
      <c r="B721" s="20" t="s">
        <v>2833</v>
      </c>
      <c r="C721" s="20" t="s">
        <v>5</v>
      </c>
      <c r="D721" s="20" t="s">
        <v>2834</v>
      </c>
      <c r="E721" s="20" t="s">
        <v>26</v>
      </c>
      <c r="F721" s="20" t="s">
        <v>2835</v>
      </c>
      <c r="G721" s="21" t="s">
        <v>2836</v>
      </c>
      <c r="H721" s="20" t="s">
        <v>2837</v>
      </c>
      <c r="I721" s="20"/>
      <c r="J721" s="20"/>
      <c r="K721" s="22"/>
      <c r="L721" s="23"/>
      <c r="M721" s="20" t="s">
        <v>100</v>
      </c>
      <c r="N721" s="24"/>
      <c r="O721" s="24"/>
      <c r="P721" s="20" t="s">
        <v>101</v>
      </c>
      <c r="Q721" s="20" t="s">
        <v>86</v>
      </c>
      <c r="R721" s="20" t="s">
        <v>86</v>
      </c>
      <c r="S721" s="20" t="s">
        <v>102</v>
      </c>
      <c r="T721" s="26" t="s">
        <v>103</v>
      </c>
      <c r="U721" s="20" t="s">
        <v>104</v>
      </c>
      <c r="V721" s="20" t="s">
        <v>138</v>
      </c>
      <c r="W721" s="21" t="s">
        <v>181</v>
      </c>
    </row>
    <row r="722" customFormat="false" ht="15" hidden="false" customHeight="false" outlineLevel="0" collapsed="false">
      <c r="A722" s="20" t="n">
        <v>721</v>
      </c>
      <c r="B722" s="20" t="s">
        <v>2838</v>
      </c>
      <c r="C722" s="20" t="s">
        <v>5</v>
      </c>
      <c r="D722" s="20"/>
      <c r="E722" s="20" t="s">
        <v>26</v>
      </c>
      <c r="F722" s="20"/>
      <c r="G722" s="21"/>
      <c r="H722" s="20"/>
      <c r="I722" s="20"/>
      <c r="J722" s="20"/>
      <c r="K722" s="22"/>
      <c r="L722" s="23"/>
      <c r="M722" s="20" t="s">
        <v>84</v>
      </c>
      <c r="N722" s="24" t="n">
        <v>6.57073</v>
      </c>
      <c r="O722" s="24" t="n">
        <v>3.36944</v>
      </c>
      <c r="P722" s="20" t="s">
        <v>85</v>
      </c>
      <c r="Q722" s="20" t="s">
        <v>86</v>
      </c>
      <c r="R722" s="20" t="s">
        <v>86</v>
      </c>
      <c r="S722" s="20" t="s">
        <v>87</v>
      </c>
      <c r="T722" s="25" t="s">
        <v>88</v>
      </c>
      <c r="U722" s="20" t="s">
        <v>89</v>
      </c>
      <c r="V722" s="20" t="s">
        <v>90</v>
      </c>
      <c r="W722" s="21"/>
    </row>
    <row r="723" customFormat="false" ht="15" hidden="false" customHeight="false" outlineLevel="0" collapsed="false">
      <c r="A723" s="20" t="n">
        <v>722</v>
      </c>
      <c r="B723" s="20" t="s">
        <v>2839</v>
      </c>
      <c r="C723" s="20" t="s">
        <v>5</v>
      </c>
      <c r="D723" s="20" t="s">
        <v>2840</v>
      </c>
      <c r="E723" s="20" t="s">
        <v>26</v>
      </c>
      <c r="F723" s="20" t="s">
        <v>2841</v>
      </c>
      <c r="G723" s="21" t="s">
        <v>2840</v>
      </c>
      <c r="H723" s="20"/>
      <c r="I723" s="20"/>
      <c r="J723" s="20"/>
      <c r="K723" s="22"/>
      <c r="L723" s="23"/>
      <c r="M723" s="20" t="s">
        <v>84</v>
      </c>
      <c r="N723" s="24" t="n">
        <v>6.57114</v>
      </c>
      <c r="O723" s="24" t="n">
        <v>3.36926</v>
      </c>
      <c r="P723" s="20" t="s">
        <v>85</v>
      </c>
      <c r="Q723" s="20" t="s">
        <v>86</v>
      </c>
      <c r="R723" s="20" t="s">
        <v>86</v>
      </c>
      <c r="S723" s="20" t="s">
        <v>87</v>
      </c>
      <c r="T723" s="25" t="s">
        <v>88</v>
      </c>
      <c r="U723" s="20" t="s">
        <v>89</v>
      </c>
      <c r="V723" s="20" t="s">
        <v>90</v>
      </c>
      <c r="W723" s="21"/>
    </row>
    <row r="724" customFormat="false" ht="15" hidden="false" customHeight="false" outlineLevel="0" collapsed="false">
      <c r="A724" s="20" t="n">
        <v>723</v>
      </c>
      <c r="B724" s="20" t="s">
        <v>2842</v>
      </c>
      <c r="C724" s="20" t="s">
        <v>5</v>
      </c>
      <c r="D724" s="20"/>
      <c r="E724" s="20" t="s">
        <v>26</v>
      </c>
      <c r="F724" s="20"/>
      <c r="G724" s="21"/>
      <c r="H724" s="20"/>
      <c r="I724" s="20"/>
      <c r="J724" s="20"/>
      <c r="K724" s="22"/>
      <c r="L724" s="23"/>
      <c r="M724" s="20" t="s">
        <v>84</v>
      </c>
      <c r="N724" s="24" t="n">
        <v>6.572</v>
      </c>
      <c r="O724" s="24" t="n">
        <v>3.36849</v>
      </c>
      <c r="P724" s="20" t="s">
        <v>85</v>
      </c>
      <c r="Q724" s="20" t="s">
        <v>86</v>
      </c>
      <c r="R724" s="20" t="s">
        <v>86</v>
      </c>
      <c r="S724" s="20" t="s">
        <v>87</v>
      </c>
      <c r="T724" s="25" t="s">
        <v>88</v>
      </c>
      <c r="U724" s="20" t="s">
        <v>89</v>
      </c>
      <c r="V724" s="20" t="s">
        <v>90</v>
      </c>
      <c r="W724" s="21"/>
    </row>
    <row r="725" customFormat="false" ht="15" hidden="false" customHeight="false" outlineLevel="0" collapsed="false">
      <c r="A725" s="20" t="n">
        <v>724</v>
      </c>
      <c r="B725" s="20" t="s">
        <v>2843</v>
      </c>
      <c r="C725" s="20" t="s">
        <v>5</v>
      </c>
      <c r="D725" s="20" t="s">
        <v>2844</v>
      </c>
      <c r="E725" s="20" t="s">
        <v>26</v>
      </c>
      <c r="F725" s="20" t="s">
        <v>811</v>
      </c>
      <c r="G725" s="21" t="s">
        <v>2844</v>
      </c>
      <c r="H725" s="20"/>
      <c r="I725" s="20"/>
      <c r="J725" s="20"/>
      <c r="K725" s="22"/>
      <c r="L725" s="23"/>
      <c r="M725" s="20" t="s">
        <v>84</v>
      </c>
      <c r="N725" s="24" t="n">
        <v>6.57362</v>
      </c>
      <c r="O725" s="24" t="n">
        <v>3.37188</v>
      </c>
      <c r="P725" s="20" t="s">
        <v>85</v>
      </c>
      <c r="Q725" s="20" t="s">
        <v>86</v>
      </c>
      <c r="R725" s="20" t="s">
        <v>86</v>
      </c>
      <c r="S725" s="20" t="s">
        <v>87</v>
      </c>
      <c r="T725" s="25" t="s">
        <v>88</v>
      </c>
      <c r="U725" s="20" t="s">
        <v>89</v>
      </c>
      <c r="V725" s="20" t="s">
        <v>90</v>
      </c>
      <c r="W725" s="21"/>
    </row>
    <row r="726" customFormat="false" ht="15" hidden="false" customHeight="false" outlineLevel="0" collapsed="false">
      <c r="A726" s="20" t="n">
        <v>725</v>
      </c>
      <c r="B726" s="20" t="s">
        <v>2845</v>
      </c>
      <c r="C726" s="20" t="s">
        <v>5</v>
      </c>
      <c r="D726" s="20" t="s">
        <v>2846</v>
      </c>
      <c r="E726" s="20" t="s">
        <v>26</v>
      </c>
      <c r="F726" s="20" t="s">
        <v>788</v>
      </c>
      <c r="G726" s="21" t="s">
        <v>2847</v>
      </c>
      <c r="H726" s="20" t="s">
        <v>2848</v>
      </c>
      <c r="I726" s="20"/>
      <c r="J726" s="20"/>
      <c r="K726" s="22"/>
      <c r="L726" s="23"/>
      <c r="M726" s="20" t="s">
        <v>100</v>
      </c>
      <c r="N726" s="24"/>
      <c r="O726" s="24"/>
      <c r="P726" s="20" t="s">
        <v>101</v>
      </c>
      <c r="Q726" s="20" t="s">
        <v>86</v>
      </c>
      <c r="R726" s="20" t="s">
        <v>86</v>
      </c>
      <c r="S726" s="20" t="s">
        <v>102</v>
      </c>
      <c r="T726" s="26" t="s">
        <v>103</v>
      </c>
      <c r="U726" s="20" t="s">
        <v>104</v>
      </c>
      <c r="V726" s="20" t="s">
        <v>138</v>
      </c>
      <c r="W726" s="21" t="s">
        <v>181</v>
      </c>
    </row>
    <row r="727" customFormat="false" ht="15" hidden="false" customHeight="false" outlineLevel="0" collapsed="false">
      <c r="A727" s="20" t="n">
        <v>726</v>
      </c>
      <c r="B727" s="20" t="s">
        <v>2849</v>
      </c>
      <c r="C727" s="20" t="s">
        <v>5</v>
      </c>
      <c r="D727" s="20" t="s">
        <v>2717</v>
      </c>
      <c r="E727" s="20" t="s">
        <v>26</v>
      </c>
      <c r="F727" s="20" t="s">
        <v>788</v>
      </c>
      <c r="G727" s="21" t="s">
        <v>2850</v>
      </c>
      <c r="H727" s="20" t="s">
        <v>2851</v>
      </c>
      <c r="I727" s="20"/>
      <c r="J727" s="20"/>
      <c r="K727" s="22"/>
      <c r="L727" s="23"/>
      <c r="M727" s="20" t="s">
        <v>100</v>
      </c>
      <c r="N727" s="24"/>
      <c r="O727" s="24"/>
      <c r="P727" s="20" t="s">
        <v>101</v>
      </c>
      <c r="Q727" s="20" t="s">
        <v>86</v>
      </c>
      <c r="R727" s="20" t="s">
        <v>86</v>
      </c>
      <c r="S727" s="20" t="s">
        <v>102</v>
      </c>
      <c r="T727" s="26" t="s">
        <v>103</v>
      </c>
      <c r="U727" s="20" t="s">
        <v>104</v>
      </c>
      <c r="V727" s="20" t="s">
        <v>138</v>
      </c>
      <c r="W727" s="21" t="s">
        <v>181</v>
      </c>
    </row>
    <row r="728" customFormat="false" ht="15" hidden="false" customHeight="false" outlineLevel="0" collapsed="false">
      <c r="A728" s="20" t="n">
        <v>727</v>
      </c>
      <c r="B728" s="20" t="s">
        <v>2852</v>
      </c>
      <c r="C728" s="20" t="s">
        <v>5</v>
      </c>
      <c r="D728" s="20" t="s">
        <v>2445</v>
      </c>
      <c r="E728" s="20" t="s">
        <v>26</v>
      </c>
      <c r="F728" s="20" t="s">
        <v>788</v>
      </c>
      <c r="G728" s="21" t="s">
        <v>2853</v>
      </c>
      <c r="H728" s="20" t="s">
        <v>2854</v>
      </c>
      <c r="I728" s="20"/>
      <c r="J728" s="20"/>
      <c r="K728" s="22" t="n">
        <v>3.7</v>
      </c>
      <c r="L728" s="23" t="n">
        <v>3</v>
      </c>
      <c r="M728" s="20" t="s">
        <v>100</v>
      </c>
      <c r="N728" s="24"/>
      <c r="O728" s="24"/>
      <c r="P728" s="20" t="s">
        <v>101</v>
      </c>
      <c r="Q728" s="20" t="s">
        <v>86</v>
      </c>
      <c r="R728" s="20" t="s">
        <v>86</v>
      </c>
      <c r="S728" s="20" t="s">
        <v>102</v>
      </c>
      <c r="T728" s="26" t="s">
        <v>103</v>
      </c>
      <c r="U728" s="20" t="s">
        <v>104</v>
      </c>
      <c r="V728" s="20" t="s">
        <v>138</v>
      </c>
      <c r="W728" s="21" t="s">
        <v>299</v>
      </c>
    </row>
    <row r="729" customFormat="false" ht="15" hidden="false" customHeight="false" outlineLevel="0" collapsed="false">
      <c r="A729" s="20" t="n">
        <v>728</v>
      </c>
      <c r="B729" s="20" t="s">
        <v>2855</v>
      </c>
      <c r="C729" s="20" t="s">
        <v>5</v>
      </c>
      <c r="D729" s="20" t="s">
        <v>2856</v>
      </c>
      <c r="E729" s="20" t="s">
        <v>26</v>
      </c>
      <c r="F729" s="20" t="s">
        <v>2857</v>
      </c>
      <c r="G729" s="21" t="s">
        <v>2856</v>
      </c>
      <c r="H729" s="20"/>
      <c r="I729" s="20"/>
      <c r="J729" s="20"/>
      <c r="K729" s="22" t="n">
        <v>4.6</v>
      </c>
      <c r="L729" s="23" t="n">
        <v>34</v>
      </c>
      <c r="M729" s="20" t="s">
        <v>84</v>
      </c>
      <c r="N729" s="24" t="n">
        <v>6.57703</v>
      </c>
      <c r="O729" s="24" t="n">
        <v>3.36813</v>
      </c>
      <c r="P729" s="20" t="s">
        <v>85</v>
      </c>
      <c r="Q729" s="20" t="s">
        <v>86</v>
      </c>
      <c r="R729" s="20" t="s">
        <v>86</v>
      </c>
      <c r="S729" s="20" t="s">
        <v>87</v>
      </c>
      <c r="T729" s="25" t="s">
        <v>88</v>
      </c>
      <c r="U729" s="20" t="s">
        <v>89</v>
      </c>
      <c r="V729" s="20" t="s">
        <v>90</v>
      </c>
      <c r="W729" s="21"/>
    </row>
    <row r="730" customFormat="false" ht="15" hidden="false" customHeight="false" outlineLevel="0" collapsed="false">
      <c r="A730" s="20" t="n">
        <v>729</v>
      </c>
      <c r="B730" s="20" t="s">
        <v>2858</v>
      </c>
      <c r="C730" s="20" t="s">
        <v>5</v>
      </c>
      <c r="D730" s="20" t="s">
        <v>2859</v>
      </c>
      <c r="E730" s="20" t="s">
        <v>26</v>
      </c>
      <c r="F730" s="20" t="s">
        <v>811</v>
      </c>
      <c r="G730" s="21" t="s">
        <v>2860</v>
      </c>
      <c r="H730" s="20"/>
      <c r="I730" s="20"/>
      <c r="J730" s="20"/>
      <c r="K730" s="22"/>
      <c r="L730" s="23"/>
      <c r="M730" s="20" t="s">
        <v>84</v>
      </c>
      <c r="N730" s="24" t="n">
        <v>6.56813</v>
      </c>
      <c r="O730" s="24" t="n">
        <v>3.36561</v>
      </c>
      <c r="P730" s="20" t="s">
        <v>85</v>
      </c>
      <c r="Q730" s="20" t="s">
        <v>86</v>
      </c>
      <c r="R730" s="20" t="s">
        <v>86</v>
      </c>
      <c r="S730" s="20" t="s">
        <v>87</v>
      </c>
      <c r="T730" s="25" t="s">
        <v>88</v>
      </c>
      <c r="U730" s="20" t="s">
        <v>89</v>
      </c>
      <c r="V730" s="20" t="s">
        <v>90</v>
      </c>
      <c r="W730" s="21"/>
    </row>
    <row r="731" customFormat="false" ht="15" hidden="false" customHeight="false" outlineLevel="0" collapsed="false">
      <c r="A731" s="20" t="n">
        <v>730</v>
      </c>
      <c r="B731" s="20" t="s">
        <v>2861</v>
      </c>
      <c r="C731" s="20" t="s">
        <v>5</v>
      </c>
      <c r="D731" s="20" t="s">
        <v>2862</v>
      </c>
      <c r="E731" s="20" t="s">
        <v>26</v>
      </c>
      <c r="F731" s="20" t="s">
        <v>823</v>
      </c>
      <c r="G731" s="21" t="s">
        <v>2862</v>
      </c>
      <c r="H731" s="20"/>
      <c r="I731" s="20"/>
      <c r="J731" s="20"/>
      <c r="K731" s="22"/>
      <c r="L731" s="23"/>
      <c r="M731" s="20" t="s">
        <v>84</v>
      </c>
      <c r="N731" s="24" t="n">
        <v>6.56922</v>
      </c>
      <c r="O731" s="24" t="n">
        <v>3.36888</v>
      </c>
      <c r="P731" s="20" t="s">
        <v>85</v>
      </c>
      <c r="Q731" s="20" t="s">
        <v>86</v>
      </c>
      <c r="R731" s="20" t="s">
        <v>86</v>
      </c>
      <c r="S731" s="20" t="s">
        <v>87</v>
      </c>
      <c r="T731" s="25" t="s">
        <v>88</v>
      </c>
      <c r="U731" s="20" t="s">
        <v>89</v>
      </c>
      <c r="V731" s="20" t="s">
        <v>90</v>
      </c>
      <c r="W731" s="21"/>
    </row>
    <row r="732" customFormat="false" ht="15" hidden="false" customHeight="false" outlineLevel="0" collapsed="false">
      <c r="A732" s="20" t="n">
        <v>731</v>
      </c>
      <c r="B732" s="20" t="s">
        <v>2863</v>
      </c>
      <c r="C732" s="20" t="s">
        <v>5</v>
      </c>
      <c r="D732" s="20" t="s">
        <v>2864</v>
      </c>
      <c r="E732" s="20" t="s">
        <v>26</v>
      </c>
      <c r="F732" s="20" t="s">
        <v>2865</v>
      </c>
      <c r="G732" s="21" t="s">
        <v>2864</v>
      </c>
      <c r="H732" s="20"/>
      <c r="I732" s="20"/>
      <c r="J732" s="20"/>
      <c r="K732" s="22" t="n">
        <v>4.1</v>
      </c>
      <c r="L732" s="23" t="n">
        <v>7</v>
      </c>
      <c r="M732" s="20" t="s">
        <v>84</v>
      </c>
      <c r="N732" s="24" t="n">
        <v>6.56894</v>
      </c>
      <c r="O732" s="24" t="n">
        <v>3.37647</v>
      </c>
      <c r="P732" s="20" t="s">
        <v>85</v>
      </c>
      <c r="Q732" s="20" t="s">
        <v>86</v>
      </c>
      <c r="R732" s="20" t="s">
        <v>86</v>
      </c>
      <c r="S732" s="20" t="s">
        <v>87</v>
      </c>
      <c r="T732" s="25" t="s">
        <v>88</v>
      </c>
      <c r="U732" s="20" t="s">
        <v>89</v>
      </c>
      <c r="V732" s="20" t="s">
        <v>90</v>
      </c>
      <c r="W732" s="21"/>
    </row>
    <row r="733" customFormat="false" ht="15" hidden="false" customHeight="false" outlineLevel="0" collapsed="false">
      <c r="A733" s="20" t="n">
        <v>732</v>
      </c>
      <c r="B733" s="20" t="s">
        <v>2866</v>
      </c>
      <c r="C733" s="20" t="s">
        <v>5</v>
      </c>
      <c r="D733" s="20" t="s">
        <v>2867</v>
      </c>
      <c r="E733" s="20" t="s">
        <v>26</v>
      </c>
      <c r="F733" s="20" t="s">
        <v>835</v>
      </c>
      <c r="G733" s="21" t="s">
        <v>2867</v>
      </c>
      <c r="H733" s="20"/>
      <c r="I733" s="20"/>
      <c r="J733" s="20"/>
      <c r="K733" s="22"/>
      <c r="L733" s="23"/>
      <c r="M733" s="20" t="s">
        <v>84</v>
      </c>
      <c r="N733" s="24" t="n">
        <v>6.57344</v>
      </c>
      <c r="O733" s="24" t="n">
        <v>3.36794</v>
      </c>
      <c r="P733" s="20" t="s">
        <v>85</v>
      </c>
      <c r="Q733" s="20" t="s">
        <v>86</v>
      </c>
      <c r="R733" s="20" t="s">
        <v>86</v>
      </c>
      <c r="S733" s="20" t="s">
        <v>87</v>
      </c>
      <c r="T733" s="25" t="s">
        <v>88</v>
      </c>
      <c r="U733" s="20" t="s">
        <v>89</v>
      </c>
      <c r="V733" s="20" t="s">
        <v>90</v>
      </c>
      <c r="W733" s="21"/>
    </row>
    <row r="734" customFormat="false" ht="15" hidden="false" customHeight="false" outlineLevel="0" collapsed="false">
      <c r="A734" s="20" t="n">
        <v>733</v>
      </c>
      <c r="B734" s="20" t="s">
        <v>2868</v>
      </c>
      <c r="C734" s="20" t="s">
        <v>5</v>
      </c>
      <c r="D734" s="20" t="s">
        <v>2869</v>
      </c>
      <c r="E734" s="20" t="s">
        <v>26</v>
      </c>
      <c r="F734" s="20" t="s">
        <v>2828</v>
      </c>
      <c r="G734" s="21" t="s">
        <v>2870</v>
      </c>
      <c r="H734" s="20" t="s">
        <v>2871</v>
      </c>
      <c r="I734" s="20"/>
      <c r="J734" s="20"/>
      <c r="K734" s="22"/>
      <c r="L734" s="23"/>
      <c r="M734" s="20" t="s">
        <v>100</v>
      </c>
      <c r="N734" s="24"/>
      <c r="O734" s="24"/>
      <c r="P734" s="20" t="s">
        <v>101</v>
      </c>
      <c r="Q734" s="20" t="s">
        <v>86</v>
      </c>
      <c r="R734" s="20" t="s">
        <v>86</v>
      </c>
      <c r="S734" s="20" t="s">
        <v>102</v>
      </c>
      <c r="T734" s="26" t="s">
        <v>103</v>
      </c>
      <c r="U734" s="20" t="s">
        <v>104</v>
      </c>
      <c r="V734" s="20" t="s">
        <v>138</v>
      </c>
      <c r="W734" s="21" t="s">
        <v>181</v>
      </c>
    </row>
    <row r="735" customFormat="false" ht="15" hidden="false" customHeight="false" outlineLevel="0" collapsed="false">
      <c r="A735" s="20" t="n">
        <v>734</v>
      </c>
      <c r="B735" s="20" t="s">
        <v>2872</v>
      </c>
      <c r="C735" s="20" t="s">
        <v>5</v>
      </c>
      <c r="D735" s="20" t="s">
        <v>2873</v>
      </c>
      <c r="E735" s="20" t="s">
        <v>27</v>
      </c>
      <c r="F735" s="20" t="s">
        <v>2874</v>
      </c>
      <c r="G735" s="21" t="s">
        <v>2873</v>
      </c>
      <c r="H735" s="20"/>
      <c r="I735" s="20"/>
      <c r="J735" s="20"/>
      <c r="K735" s="22" t="n">
        <v>4.1</v>
      </c>
      <c r="L735" s="23" t="n">
        <v>140</v>
      </c>
      <c r="M735" s="20" t="s">
        <v>84</v>
      </c>
      <c r="N735" s="24" t="n">
        <v>6.57238</v>
      </c>
      <c r="O735" s="24" t="n">
        <v>3.37201</v>
      </c>
      <c r="P735" s="20" t="s">
        <v>85</v>
      </c>
      <c r="Q735" s="20" t="s">
        <v>86</v>
      </c>
      <c r="R735" s="20" t="s">
        <v>86</v>
      </c>
      <c r="S735" s="20" t="s">
        <v>87</v>
      </c>
      <c r="T735" s="25" t="s">
        <v>88</v>
      </c>
      <c r="U735" s="20" t="s">
        <v>89</v>
      </c>
      <c r="V735" s="20" t="s">
        <v>90</v>
      </c>
      <c r="W735" s="21"/>
    </row>
    <row r="736" customFormat="false" ht="15" hidden="false" customHeight="false" outlineLevel="0" collapsed="false">
      <c r="A736" s="20" t="n">
        <v>735</v>
      </c>
      <c r="B736" s="20" t="s">
        <v>2875</v>
      </c>
      <c r="C736" s="20" t="s">
        <v>5</v>
      </c>
      <c r="D736" s="20" t="s">
        <v>2876</v>
      </c>
      <c r="E736" s="20" t="s">
        <v>27</v>
      </c>
      <c r="F736" s="20" t="s">
        <v>850</v>
      </c>
      <c r="G736" s="21" t="s">
        <v>2877</v>
      </c>
      <c r="H736" s="20"/>
      <c r="I736" s="20"/>
      <c r="J736" s="20"/>
      <c r="K736" s="22" t="n">
        <v>5</v>
      </c>
      <c r="L736" s="23" t="n">
        <v>67</v>
      </c>
      <c r="M736" s="20" t="s">
        <v>84</v>
      </c>
      <c r="N736" s="24" t="n">
        <v>6.57387</v>
      </c>
      <c r="O736" s="24" t="n">
        <v>3.36841</v>
      </c>
      <c r="P736" s="20" t="s">
        <v>85</v>
      </c>
      <c r="Q736" s="20" t="s">
        <v>86</v>
      </c>
      <c r="R736" s="20" t="s">
        <v>86</v>
      </c>
      <c r="S736" s="20" t="s">
        <v>87</v>
      </c>
      <c r="T736" s="25" t="s">
        <v>88</v>
      </c>
      <c r="U736" s="20" t="s">
        <v>89</v>
      </c>
      <c r="V736" s="20" t="s">
        <v>90</v>
      </c>
      <c r="W736" s="21"/>
    </row>
    <row r="737" customFormat="false" ht="15" hidden="false" customHeight="false" outlineLevel="0" collapsed="false">
      <c r="A737" s="20" t="n">
        <v>736</v>
      </c>
      <c r="B737" s="20" t="s">
        <v>2878</v>
      </c>
      <c r="C737" s="20" t="s">
        <v>5</v>
      </c>
      <c r="D737" s="20" t="s">
        <v>2879</v>
      </c>
      <c r="E737" s="20" t="s">
        <v>27</v>
      </c>
      <c r="F737" s="20" t="s">
        <v>2880</v>
      </c>
      <c r="G737" s="21" t="s">
        <v>2879</v>
      </c>
      <c r="H737" s="20"/>
      <c r="I737" s="20"/>
      <c r="J737" s="20"/>
      <c r="K737" s="22" t="n">
        <v>4.7</v>
      </c>
      <c r="L737" s="23" t="n">
        <v>328</v>
      </c>
      <c r="M737" s="20" t="s">
        <v>84</v>
      </c>
      <c r="N737" s="24" t="n">
        <v>6.5756</v>
      </c>
      <c r="O737" s="24" t="n">
        <v>3.37052</v>
      </c>
      <c r="P737" s="20" t="s">
        <v>85</v>
      </c>
      <c r="Q737" s="20" t="s">
        <v>86</v>
      </c>
      <c r="R737" s="20" t="s">
        <v>86</v>
      </c>
      <c r="S737" s="20" t="s">
        <v>87</v>
      </c>
      <c r="T737" s="25" t="s">
        <v>88</v>
      </c>
      <c r="U737" s="20" t="s">
        <v>89</v>
      </c>
      <c r="V737" s="20" t="s">
        <v>90</v>
      </c>
      <c r="W737" s="21"/>
    </row>
    <row r="738" customFormat="false" ht="23.85" hidden="false" customHeight="false" outlineLevel="0" collapsed="false">
      <c r="A738" s="20" t="n">
        <v>737</v>
      </c>
      <c r="B738" s="20" t="s">
        <v>2881</v>
      </c>
      <c r="C738" s="20" t="s">
        <v>5</v>
      </c>
      <c r="D738" s="20"/>
      <c r="E738" s="20" t="s">
        <v>27</v>
      </c>
      <c r="F738" s="20" t="s">
        <v>862</v>
      </c>
      <c r="G738" s="21" t="s">
        <v>2882</v>
      </c>
      <c r="H738" s="20"/>
      <c r="I738" s="20"/>
      <c r="J738" s="20"/>
      <c r="K738" s="22" t="n">
        <v>4.8</v>
      </c>
      <c r="L738" s="23" t="n">
        <v>20</v>
      </c>
      <c r="M738" s="20" t="s">
        <v>84</v>
      </c>
      <c r="N738" s="24" t="n">
        <v>6.57473</v>
      </c>
      <c r="O738" s="24" t="n">
        <v>3.36989</v>
      </c>
      <c r="P738" s="20" t="s">
        <v>85</v>
      </c>
      <c r="Q738" s="20" t="s">
        <v>86</v>
      </c>
      <c r="R738" s="20" t="s">
        <v>86</v>
      </c>
      <c r="S738" s="20" t="s">
        <v>87</v>
      </c>
      <c r="T738" s="25" t="s">
        <v>88</v>
      </c>
      <c r="U738" s="20" t="s">
        <v>89</v>
      </c>
      <c r="V738" s="20" t="s">
        <v>90</v>
      </c>
      <c r="W738" s="21"/>
    </row>
    <row r="739" customFormat="false" ht="15" hidden="false" customHeight="false" outlineLevel="0" collapsed="false">
      <c r="A739" s="20" t="n">
        <v>738</v>
      </c>
      <c r="B739" s="20" t="s">
        <v>2883</v>
      </c>
      <c r="C739" s="20" t="s">
        <v>5</v>
      </c>
      <c r="D739" s="20" t="s">
        <v>2884</v>
      </c>
      <c r="E739" s="20" t="s">
        <v>27</v>
      </c>
      <c r="F739" s="20" t="s">
        <v>862</v>
      </c>
      <c r="G739" s="21" t="s">
        <v>2884</v>
      </c>
      <c r="H739" s="20"/>
      <c r="I739" s="20"/>
      <c r="J739" s="20"/>
      <c r="K739" s="22" t="n">
        <v>4.7</v>
      </c>
      <c r="L739" s="23" t="n">
        <v>217</v>
      </c>
      <c r="M739" s="20" t="s">
        <v>84</v>
      </c>
      <c r="N739" s="24" t="n">
        <v>6.57266</v>
      </c>
      <c r="O739" s="24" t="n">
        <v>3.36703</v>
      </c>
      <c r="P739" s="20" t="s">
        <v>85</v>
      </c>
      <c r="Q739" s="20" t="s">
        <v>86</v>
      </c>
      <c r="R739" s="20" t="s">
        <v>86</v>
      </c>
      <c r="S739" s="20" t="s">
        <v>87</v>
      </c>
      <c r="T739" s="25" t="s">
        <v>88</v>
      </c>
      <c r="U739" s="20" t="s">
        <v>89</v>
      </c>
      <c r="V739" s="20" t="s">
        <v>90</v>
      </c>
      <c r="W739" s="21"/>
    </row>
    <row r="740" customFormat="false" ht="15" hidden="false" customHeight="false" outlineLevel="0" collapsed="false">
      <c r="A740" s="20" t="n">
        <v>739</v>
      </c>
      <c r="B740" s="20" t="s">
        <v>2885</v>
      </c>
      <c r="C740" s="20" t="s">
        <v>5</v>
      </c>
      <c r="D740" s="20" t="s">
        <v>2886</v>
      </c>
      <c r="E740" s="20" t="s">
        <v>27</v>
      </c>
      <c r="F740" s="20" t="s">
        <v>850</v>
      </c>
      <c r="G740" s="21" t="s">
        <v>2887</v>
      </c>
      <c r="H740" s="20"/>
      <c r="I740" s="20"/>
      <c r="J740" s="20"/>
      <c r="K740" s="22" t="n">
        <v>4.8</v>
      </c>
      <c r="L740" s="23" t="n">
        <v>53</v>
      </c>
      <c r="M740" s="20" t="s">
        <v>84</v>
      </c>
      <c r="N740" s="24" t="n">
        <v>6.57697</v>
      </c>
      <c r="O740" s="24" t="n">
        <v>3.37045</v>
      </c>
      <c r="P740" s="20" t="s">
        <v>85</v>
      </c>
      <c r="Q740" s="20" t="s">
        <v>86</v>
      </c>
      <c r="R740" s="20" t="s">
        <v>86</v>
      </c>
      <c r="S740" s="20" t="s">
        <v>87</v>
      </c>
      <c r="T740" s="25" t="s">
        <v>88</v>
      </c>
      <c r="U740" s="20" t="s">
        <v>89</v>
      </c>
      <c r="V740" s="20" t="s">
        <v>90</v>
      </c>
      <c r="W740" s="21"/>
    </row>
    <row r="741" customFormat="false" ht="15" hidden="false" customHeight="false" outlineLevel="0" collapsed="false">
      <c r="A741" s="20" t="n">
        <v>740</v>
      </c>
      <c r="B741" s="20" t="s">
        <v>2888</v>
      </c>
      <c r="C741" s="20" t="s">
        <v>5</v>
      </c>
      <c r="D741" s="20" t="s">
        <v>2889</v>
      </c>
      <c r="E741" s="20" t="s">
        <v>27</v>
      </c>
      <c r="F741" s="20" t="s">
        <v>2890</v>
      </c>
      <c r="G741" s="21" t="s">
        <v>2889</v>
      </c>
      <c r="H741" s="20"/>
      <c r="I741" s="20"/>
      <c r="J741" s="20"/>
      <c r="K741" s="22" t="n">
        <v>4.5</v>
      </c>
      <c r="L741" s="23" t="n">
        <v>10</v>
      </c>
      <c r="M741" s="20" t="s">
        <v>84</v>
      </c>
      <c r="N741" s="24" t="n">
        <v>6.57096</v>
      </c>
      <c r="O741" s="24" t="n">
        <v>3.36712</v>
      </c>
      <c r="P741" s="20" t="s">
        <v>85</v>
      </c>
      <c r="Q741" s="20" t="s">
        <v>86</v>
      </c>
      <c r="R741" s="20" t="s">
        <v>86</v>
      </c>
      <c r="S741" s="20" t="s">
        <v>87</v>
      </c>
      <c r="T741" s="25" t="s">
        <v>88</v>
      </c>
      <c r="U741" s="20" t="s">
        <v>89</v>
      </c>
      <c r="V741" s="20" t="s">
        <v>90</v>
      </c>
      <c r="W741" s="21"/>
    </row>
    <row r="742" customFormat="false" ht="15" hidden="false" customHeight="false" outlineLevel="0" collapsed="false">
      <c r="A742" s="20" t="n">
        <v>741</v>
      </c>
      <c r="B742" s="20" t="s">
        <v>2891</v>
      </c>
      <c r="C742" s="20" t="s">
        <v>5</v>
      </c>
      <c r="D742" s="20" t="s">
        <v>2867</v>
      </c>
      <c r="E742" s="20" t="s">
        <v>27</v>
      </c>
      <c r="F742" s="20" t="s">
        <v>2892</v>
      </c>
      <c r="G742" s="21" t="s">
        <v>2867</v>
      </c>
      <c r="H742" s="20"/>
      <c r="I742" s="20"/>
      <c r="J742" s="20"/>
      <c r="K742" s="22" t="n">
        <v>4.5</v>
      </c>
      <c r="L742" s="23" t="n">
        <v>979</v>
      </c>
      <c r="M742" s="20" t="s">
        <v>84</v>
      </c>
      <c r="N742" s="24" t="n">
        <v>6.56981</v>
      </c>
      <c r="O742" s="24" t="n">
        <v>3.36785</v>
      </c>
      <c r="P742" s="20" t="s">
        <v>85</v>
      </c>
      <c r="Q742" s="20" t="s">
        <v>86</v>
      </c>
      <c r="R742" s="20" t="s">
        <v>86</v>
      </c>
      <c r="S742" s="20" t="s">
        <v>87</v>
      </c>
      <c r="T742" s="25" t="s">
        <v>88</v>
      </c>
      <c r="U742" s="20" t="s">
        <v>89</v>
      </c>
      <c r="V742" s="20" t="s">
        <v>90</v>
      </c>
      <c r="W742" s="21"/>
    </row>
    <row r="743" customFormat="false" ht="15" hidden="false" customHeight="false" outlineLevel="0" collapsed="false">
      <c r="A743" s="20" t="n">
        <v>742</v>
      </c>
      <c r="B743" s="20" t="s">
        <v>2893</v>
      </c>
      <c r="C743" s="20" t="s">
        <v>5</v>
      </c>
      <c r="D743" s="20" t="s">
        <v>2894</v>
      </c>
      <c r="E743" s="20" t="s">
        <v>27</v>
      </c>
      <c r="F743" s="20" t="s">
        <v>850</v>
      </c>
      <c r="G743" s="21" t="s">
        <v>2895</v>
      </c>
      <c r="H743" s="20"/>
      <c r="I743" s="20"/>
      <c r="J743" s="20"/>
      <c r="K743" s="22" t="n">
        <v>4.8</v>
      </c>
      <c r="L743" s="23" t="n">
        <v>64</v>
      </c>
      <c r="M743" s="20" t="s">
        <v>84</v>
      </c>
      <c r="N743" s="24" t="n">
        <v>6.57794</v>
      </c>
      <c r="O743" s="24" t="n">
        <v>3.37116</v>
      </c>
      <c r="P743" s="20" t="s">
        <v>85</v>
      </c>
      <c r="Q743" s="20" t="s">
        <v>86</v>
      </c>
      <c r="R743" s="20" t="s">
        <v>86</v>
      </c>
      <c r="S743" s="20" t="s">
        <v>87</v>
      </c>
      <c r="T743" s="25" t="s">
        <v>88</v>
      </c>
      <c r="U743" s="20" t="s">
        <v>89</v>
      </c>
      <c r="V743" s="20" t="s">
        <v>90</v>
      </c>
      <c r="W743" s="21"/>
    </row>
    <row r="744" customFormat="false" ht="15" hidden="false" customHeight="false" outlineLevel="0" collapsed="false">
      <c r="A744" s="20" t="n">
        <v>743</v>
      </c>
      <c r="B744" s="20" t="s">
        <v>2896</v>
      </c>
      <c r="C744" s="20" t="s">
        <v>5</v>
      </c>
      <c r="D744" s="20" t="s">
        <v>2897</v>
      </c>
      <c r="E744" s="20" t="s">
        <v>27</v>
      </c>
      <c r="F744" s="20" t="s">
        <v>850</v>
      </c>
      <c r="G744" s="21" t="s">
        <v>2897</v>
      </c>
      <c r="H744" s="20"/>
      <c r="I744" s="20"/>
      <c r="J744" s="20"/>
      <c r="K744" s="22" t="n">
        <v>4.5</v>
      </c>
      <c r="L744" s="23" t="n">
        <v>112</v>
      </c>
      <c r="M744" s="20" t="s">
        <v>84</v>
      </c>
      <c r="N744" s="24" t="n">
        <v>6.57854</v>
      </c>
      <c r="O744" s="24" t="n">
        <v>3.37146</v>
      </c>
      <c r="P744" s="20" t="s">
        <v>85</v>
      </c>
      <c r="Q744" s="20" t="s">
        <v>86</v>
      </c>
      <c r="R744" s="20" t="s">
        <v>86</v>
      </c>
      <c r="S744" s="20" t="s">
        <v>87</v>
      </c>
      <c r="T744" s="25" t="s">
        <v>88</v>
      </c>
      <c r="U744" s="20" t="s">
        <v>89</v>
      </c>
      <c r="V744" s="20" t="s">
        <v>90</v>
      </c>
      <c r="W744" s="21"/>
    </row>
    <row r="745" customFormat="false" ht="15" hidden="false" customHeight="false" outlineLevel="0" collapsed="false">
      <c r="A745" s="20" t="n">
        <v>744</v>
      </c>
      <c r="B745" s="20" t="s">
        <v>2898</v>
      </c>
      <c r="C745" s="20" t="s">
        <v>5</v>
      </c>
      <c r="D745" s="20" t="s">
        <v>2899</v>
      </c>
      <c r="E745" s="20" t="s">
        <v>27</v>
      </c>
      <c r="F745" s="20" t="s">
        <v>850</v>
      </c>
      <c r="G745" s="21" t="s">
        <v>2899</v>
      </c>
      <c r="H745" s="20"/>
      <c r="I745" s="20"/>
      <c r="J745" s="20"/>
      <c r="K745" s="22" t="n">
        <v>4.8</v>
      </c>
      <c r="L745" s="23" t="n">
        <v>26</v>
      </c>
      <c r="M745" s="20" t="s">
        <v>84</v>
      </c>
      <c r="N745" s="24" t="n">
        <v>6.57379</v>
      </c>
      <c r="O745" s="24" t="n">
        <v>3.36915</v>
      </c>
      <c r="P745" s="20" t="s">
        <v>85</v>
      </c>
      <c r="Q745" s="20" t="s">
        <v>86</v>
      </c>
      <c r="R745" s="20" t="s">
        <v>86</v>
      </c>
      <c r="S745" s="20" t="s">
        <v>87</v>
      </c>
      <c r="T745" s="25" t="s">
        <v>88</v>
      </c>
      <c r="U745" s="20" t="s">
        <v>89</v>
      </c>
      <c r="V745" s="20" t="s">
        <v>90</v>
      </c>
      <c r="W745" s="21"/>
    </row>
    <row r="746" customFormat="false" ht="15" hidden="false" customHeight="false" outlineLevel="0" collapsed="false">
      <c r="A746" s="20" t="n">
        <v>745</v>
      </c>
      <c r="B746" s="20" t="s">
        <v>2900</v>
      </c>
      <c r="C746" s="20" t="s">
        <v>5</v>
      </c>
      <c r="D746" s="20" t="s">
        <v>2724</v>
      </c>
      <c r="E746" s="20" t="s">
        <v>27</v>
      </c>
      <c r="F746" s="20" t="s">
        <v>2880</v>
      </c>
      <c r="G746" s="21" t="s">
        <v>2724</v>
      </c>
      <c r="H746" s="20"/>
      <c r="I746" s="20"/>
      <c r="J746" s="20"/>
      <c r="K746" s="22" t="n">
        <v>4.6</v>
      </c>
      <c r="L746" s="23" t="n">
        <v>1519</v>
      </c>
      <c r="M746" s="20" t="s">
        <v>84</v>
      </c>
      <c r="N746" s="24" t="n">
        <v>6.57276</v>
      </c>
      <c r="O746" s="24" t="n">
        <v>3.36771</v>
      </c>
      <c r="P746" s="20" t="s">
        <v>85</v>
      </c>
      <c r="Q746" s="20" t="s">
        <v>86</v>
      </c>
      <c r="R746" s="20" t="s">
        <v>86</v>
      </c>
      <c r="S746" s="20" t="s">
        <v>87</v>
      </c>
      <c r="T746" s="25" t="s">
        <v>88</v>
      </c>
      <c r="U746" s="20" t="s">
        <v>89</v>
      </c>
      <c r="V746" s="20" t="s">
        <v>90</v>
      </c>
      <c r="W746" s="21"/>
    </row>
    <row r="747" customFormat="false" ht="15" hidden="false" customHeight="false" outlineLevel="0" collapsed="false">
      <c r="A747" s="20" t="n">
        <v>746</v>
      </c>
      <c r="B747" s="20" t="s">
        <v>2901</v>
      </c>
      <c r="C747" s="20" t="s">
        <v>5</v>
      </c>
      <c r="D747" s="20" t="s">
        <v>2902</v>
      </c>
      <c r="E747" s="20" t="s">
        <v>27</v>
      </c>
      <c r="F747" s="20" t="s">
        <v>850</v>
      </c>
      <c r="G747" s="21" t="s">
        <v>2902</v>
      </c>
      <c r="H747" s="20"/>
      <c r="I747" s="20"/>
      <c r="J747" s="20"/>
      <c r="K747" s="22" t="n">
        <v>4.9</v>
      </c>
      <c r="L747" s="23" t="n">
        <v>18</v>
      </c>
      <c r="M747" s="20" t="s">
        <v>84</v>
      </c>
      <c r="N747" s="24" t="n">
        <v>6.56981</v>
      </c>
      <c r="O747" s="24" t="n">
        <v>3.36523</v>
      </c>
      <c r="P747" s="20" t="s">
        <v>85</v>
      </c>
      <c r="Q747" s="20" t="s">
        <v>86</v>
      </c>
      <c r="R747" s="20" t="s">
        <v>86</v>
      </c>
      <c r="S747" s="20" t="s">
        <v>87</v>
      </c>
      <c r="T747" s="25" t="s">
        <v>88</v>
      </c>
      <c r="U747" s="20" t="s">
        <v>89</v>
      </c>
      <c r="V747" s="20" t="s">
        <v>90</v>
      </c>
      <c r="W747" s="21"/>
    </row>
    <row r="748" customFormat="false" ht="15" hidden="false" customHeight="false" outlineLevel="0" collapsed="false">
      <c r="A748" s="20" t="n">
        <v>747</v>
      </c>
      <c r="B748" s="20" t="s">
        <v>2903</v>
      </c>
      <c r="C748" s="20" t="s">
        <v>5</v>
      </c>
      <c r="D748" s="20" t="s">
        <v>2904</v>
      </c>
      <c r="E748" s="20" t="s">
        <v>27</v>
      </c>
      <c r="F748" s="20" t="s">
        <v>850</v>
      </c>
      <c r="G748" s="21" t="s">
        <v>2904</v>
      </c>
      <c r="H748" s="20"/>
      <c r="I748" s="20"/>
      <c r="J748" s="20"/>
      <c r="K748" s="22" t="n">
        <v>4.8</v>
      </c>
      <c r="L748" s="23" t="n">
        <v>13</v>
      </c>
      <c r="M748" s="20" t="s">
        <v>84</v>
      </c>
      <c r="N748" s="24" t="n">
        <v>6.57551</v>
      </c>
      <c r="O748" s="24" t="n">
        <v>3.36943</v>
      </c>
      <c r="P748" s="20" t="s">
        <v>85</v>
      </c>
      <c r="Q748" s="20" t="s">
        <v>86</v>
      </c>
      <c r="R748" s="20" t="s">
        <v>86</v>
      </c>
      <c r="S748" s="20" t="s">
        <v>87</v>
      </c>
      <c r="T748" s="25" t="s">
        <v>88</v>
      </c>
      <c r="U748" s="20" t="s">
        <v>89</v>
      </c>
      <c r="V748" s="20" t="s">
        <v>90</v>
      </c>
      <c r="W748" s="21"/>
    </row>
    <row r="749" customFormat="false" ht="15" hidden="false" customHeight="false" outlineLevel="0" collapsed="false">
      <c r="A749" s="20" t="n">
        <v>748</v>
      </c>
      <c r="B749" s="20" t="s">
        <v>2905</v>
      </c>
      <c r="C749" s="20" t="s">
        <v>5</v>
      </c>
      <c r="D749" s="20" t="s">
        <v>2906</v>
      </c>
      <c r="E749" s="20" t="s">
        <v>28</v>
      </c>
      <c r="F749" s="20" t="s">
        <v>913</v>
      </c>
      <c r="G749" s="21" t="s">
        <v>2907</v>
      </c>
      <c r="H749" s="20" t="s">
        <v>2908</v>
      </c>
      <c r="I749" s="20"/>
      <c r="J749" s="20"/>
      <c r="K749" s="22" t="n">
        <v>4</v>
      </c>
      <c r="L749" s="23" t="n">
        <v>1</v>
      </c>
      <c r="M749" s="20" t="s">
        <v>100</v>
      </c>
      <c r="N749" s="24" t="n">
        <v>6.57139</v>
      </c>
      <c r="O749" s="24" t="n">
        <v>3.37639</v>
      </c>
      <c r="P749" s="20" t="s">
        <v>85</v>
      </c>
      <c r="Q749" s="20" t="s">
        <v>86</v>
      </c>
      <c r="R749" s="20" t="s">
        <v>86</v>
      </c>
      <c r="S749" s="20" t="s">
        <v>87</v>
      </c>
      <c r="T749" s="26" t="s">
        <v>103</v>
      </c>
      <c r="U749" s="20" t="s">
        <v>104</v>
      </c>
      <c r="V749" s="20" t="s">
        <v>90</v>
      </c>
      <c r="W749" s="21"/>
    </row>
    <row r="750" customFormat="false" ht="15" hidden="false" customHeight="false" outlineLevel="0" collapsed="false">
      <c r="A750" s="20" t="n">
        <v>749</v>
      </c>
      <c r="B750" s="20" t="s">
        <v>2909</v>
      </c>
      <c r="C750" s="20" t="s">
        <v>5</v>
      </c>
      <c r="D750" s="20" t="s">
        <v>2717</v>
      </c>
      <c r="E750" s="20" t="s">
        <v>28</v>
      </c>
      <c r="F750" s="20" t="s">
        <v>892</v>
      </c>
      <c r="G750" s="21" t="s">
        <v>2717</v>
      </c>
      <c r="H750" s="20"/>
      <c r="I750" s="20"/>
      <c r="J750" s="20"/>
      <c r="K750" s="22" t="n">
        <v>4</v>
      </c>
      <c r="L750" s="23" t="n">
        <v>1193</v>
      </c>
      <c r="M750" s="20" t="s">
        <v>84</v>
      </c>
      <c r="N750" s="24" t="n">
        <v>6.57421</v>
      </c>
      <c r="O750" s="24" t="n">
        <v>3.36207</v>
      </c>
      <c r="P750" s="20" t="s">
        <v>85</v>
      </c>
      <c r="Q750" s="20" t="s">
        <v>86</v>
      </c>
      <c r="R750" s="20" t="s">
        <v>86</v>
      </c>
      <c r="S750" s="20" t="s">
        <v>87</v>
      </c>
      <c r="T750" s="25" t="s">
        <v>88</v>
      </c>
      <c r="U750" s="20" t="s">
        <v>89</v>
      </c>
      <c r="V750" s="20" t="s">
        <v>90</v>
      </c>
      <c r="W750" s="21"/>
    </row>
    <row r="751" customFormat="false" ht="15" hidden="false" customHeight="false" outlineLevel="0" collapsed="false">
      <c r="A751" s="20" t="n">
        <v>750</v>
      </c>
      <c r="B751" s="20" t="s">
        <v>2910</v>
      </c>
      <c r="C751" s="20" t="s">
        <v>5</v>
      </c>
      <c r="D751" s="20" t="s">
        <v>2911</v>
      </c>
      <c r="E751" s="20" t="s">
        <v>28</v>
      </c>
      <c r="F751" s="20" t="s">
        <v>934</v>
      </c>
      <c r="G751" s="21" t="s">
        <v>2911</v>
      </c>
      <c r="H751" s="20"/>
      <c r="I751" s="20"/>
      <c r="J751" s="20"/>
      <c r="K751" s="22" t="n">
        <v>4.7</v>
      </c>
      <c r="L751" s="23" t="n">
        <v>35</v>
      </c>
      <c r="M751" s="20" t="s">
        <v>84</v>
      </c>
      <c r="N751" s="24" t="n">
        <v>6.57261</v>
      </c>
      <c r="O751" s="24" t="n">
        <v>3.37057</v>
      </c>
      <c r="P751" s="20" t="s">
        <v>85</v>
      </c>
      <c r="Q751" s="20" t="s">
        <v>86</v>
      </c>
      <c r="R751" s="20" t="s">
        <v>86</v>
      </c>
      <c r="S751" s="20" t="s">
        <v>87</v>
      </c>
      <c r="T751" s="25" t="s">
        <v>88</v>
      </c>
      <c r="U751" s="20" t="s">
        <v>89</v>
      </c>
      <c r="V751" s="20" t="s">
        <v>90</v>
      </c>
      <c r="W751" s="21"/>
    </row>
    <row r="752" customFormat="false" ht="15" hidden="false" customHeight="false" outlineLevel="0" collapsed="false">
      <c r="A752" s="20" t="n">
        <v>751</v>
      </c>
      <c r="B752" s="20" t="s">
        <v>2912</v>
      </c>
      <c r="C752" s="20" t="s">
        <v>5</v>
      </c>
      <c r="D752" s="20" t="s">
        <v>2913</v>
      </c>
      <c r="E752" s="20" t="s">
        <v>28</v>
      </c>
      <c r="F752" s="20" t="s">
        <v>2914</v>
      </c>
      <c r="G752" s="21" t="s">
        <v>2915</v>
      </c>
      <c r="H752" s="20" t="s">
        <v>2916</v>
      </c>
      <c r="I752" s="20"/>
      <c r="J752" s="20"/>
      <c r="K752" s="22"/>
      <c r="L752" s="23"/>
      <c r="M752" s="20" t="s">
        <v>100</v>
      </c>
      <c r="N752" s="24"/>
      <c r="O752" s="24"/>
      <c r="P752" s="20" t="s">
        <v>101</v>
      </c>
      <c r="Q752" s="20" t="s">
        <v>86</v>
      </c>
      <c r="R752" s="20" t="s">
        <v>86</v>
      </c>
      <c r="S752" s="20" t="s">
        <v>102</v>
      </c>
      <c r="T752" s="26" t="s">
        <v>103</v>
      </c>
      <c r="U752" s="20" t="s">
        <v>104</v>
      </c>
      <c r="V752" s="20" t="s">
        <v>138</v>
      </c>
      <c r="W752" s="21" t="s">
        <v>181</v>
      </c>
    </row>
    <row r="753" customFormat="false" ht="15" hidden="false" customHeight="false" outlineLevel="0" collapsed="false">
      <c r="A753" s="20" t="n">
        <v>752</v>
      </c>
      <c r="B753" s="20" t="s">
        <v>2917</v>
      </c>
      <c r="C753" s="20" t="s">
        <v>5</v>
      </c>
      <c r="D753" s="20" t="s">
        <v>2918</v>
      </c>
      <c r="E753" s="20" t="s">
        <v>28</v>
      </c>
      <c r="F753" s="20" t="s">
        <v>2919</v>
      </c>
      <c r="G753" s="21" t="s">
        <v>2920</v>
      </c>
      <c r="H753" s="20"/>
      <c r="I753" s="20"/>
      <c r="J753" s="20"/>
      <c r="K753" s="22" t="n">
        <v>5</v>
      </c>
      <c r="L753" s="23" t="n">
        <v>20</v>
      </c>
      <c r="M753" s="20" t="s">
        <v>84</v>
      </c>
      <c r="N753" s="24" t="n">
        <v>6.5765</v>
      </c>
      <c r="O753" s="24" t="n">
        <v>3.37153</v>
      </c>
      <c r="P753" s="20" t="s">
        <v>85</v>
      </c>
      <c r="Q753" s="20" t="s">
        <v>86</v>
      </c>
      <c r="R753" s="20" t="s">
        <v>86</v>
      </c>
      <c r="S753" s="20" t="s">
        <v>87</v>
      </c>
      <c r="T753" s="25" t="s">
        <v>88</v>
      </c>
      <c r="U753" s="20" t="s">
        <v>89</v>
      </c>
      <c r="V753" s="20" t="s">
        <v>90</v>
      </c>
      <c r="W753" s="21"/>
    </row>
    <row r="754" customFormat="false" ht="15" hidden="false" customHeight="false" outlineLevel="0" collapsed="false">
      <c r="A754" s="20" t="n">
        <v>753</v>
      </c>
      <c r="B754" s="20" t="s">
        <v>2921</v>
      </c>
      <c r="C754" s="20" t="s">
        <v>5</v>
      </c>
      <c r="D754" s="20" t="s">
        <v>2922</v>
      </c>
      <c r="E754" s="20" t="s">
        <v>28</v>
      </c>
      <c r="F754" s="20" t="s">
        <v>1139</v>
      </c>
      <c r="G754" s="21" t="s">
        <v>2923</v>
      </c>
      <c r="H754" s="20" t="s">
        <v>2924</v>
      </c>
      <c r="I754" s="20"/>
      <c r="J754" s="20"/>
      <c r="K754" s="22" t="n">
        <v>4.8</v>
      </c>
      <c r="L754" s="23" t="n">
        <v>5</v>
      </c>
      <c r="M754" s="20" t="s">
        <v>100</v>
      </c>
      <c r="N754" s="24" t="n">
        <v>6.56726</v>
      </c>
      <c r="O754" s="24" t="n">
        <v>3.36735</v>
      </c>
      <c r="P754" s="20" t="s">
        <v>85</v>
      </c>
      <c r="Q754" s="20" t="s">
        <v>86</v>
      </c>
      <c r="R754" s="20" t="s">
        <v>86</v>
      </c>
      <c r="S754" s="20" t="s">
        <v>87</v>
      </c>
      <c r="T754" s="26" t="s">
        <v>103</v>
      </c>
      <c r="U754" s="20" t="s">
        <v>104</v>
      </c>
      <c r="V754" s="20" t="s">
        <v>90</v>
      </c>
      <c r="W754" s="21"/>
    </row>
    <row r="755" customFormat="false" ht="15" hidden="false" customHeight="false" outlineLevel="0" collapsed="false">
      <c r="A755" s="20" t="n">
        <v>754</v>
      </c>
      <c r="B755" s="20" t="s">
        <v>2925</v>
      </c>
      <c r="C755" s="20" t="s">
        <v>5</v>
      </c>
      <c r="D755" s="20" t="s">
        <v>2926</v>
      </c>
      <c r="E755" s="20" t="s">
        <v>28</v>
      </c>
      <c r="F755" s="20" t="s">
        <v>934</v>
      </c>
      <c r="G755" s="21" t="s">
        <v>2927</v>
      </c>
      <c r="H755" s="20"/>
      <c r="I755" s="20"/>
      <c r="J755" s="20"/>
      <c r="K755" s="22"/>
      <c r="L755" s="23"/>
      <c r="M755" s="20" t="s">
        <v>84</v>
      </c>
      <c r="N755" s="24" t="n">
        <v>6.57548</v>
      </c>
      <c r="O755" s="24" t="n">
        <v>3.3702</v>
      </c>
      <c r="P755" s="20" t="s">
        <v>85</v>
      </c>
      <c r="Q755" s="20" t="s">
        <v>86</v>
      </c>
      <c r="R755" s="20" t="s">
        <v>86</v>
      </c>
      <c r="S755" s="20" t="s">
        <v>87</v>
      </c>
      <c r="T755" s="25" t="s">
        <v>88</v>
      </c>
      <c r="U755" s="20" t="s">
        <v>89</v>
      </c>
      <c r="V755" s="20" t="s">
        <v>90</v>
      </c>
      <c r="W755" s="21"/>
    </row>
    <row r="756" customFormat="false" ht="15" hidden="false" customHeight="false" outlineLevel="0" collapsed="false">
      <c r="A756" s="20" t="n">
        <v>755</v>
      </c>
      <c r="B756" s="20" t="s">
        <v>2928</v>
      </c>
      <c r="C756" s="20" t="s">
        <v>5</v>
      </c>
      <c r="D756" s="20" t="s">
        <v>2929</v>
      </c>
      <c r="E756" s="20" t="s">
        <v>28</v>
      </c>
      <c r="F756" s="20" t="s">
        <v>1076</v>
      </c>
      <c r="G756" s="21" t="s">
        <v>2929</v>
      </c>
      <c r="H756" s="20"/>
      <c r="I756" s="20"/>
      <c r="J756" s="20"/>
      <c r="K756" s="22" t="n">
        <v>4.2</v>
      </c>
      <c r="L756" s="23" t="n">
        <v>102</v>
      </c>
      <c r="M756" s="20" t="s">
        <v>84</v>
      </c>
      <c r="N756" s="24" t="n">
        <v>6.56748</v>
      </c>
      <c r="O756" s="24" t="n">
        <v>3.36719</v>
      </c>
      <c r="P756" s="20" t="s">
        <v>85</v>
      </c>
      <c r="Q756" s="20" t="s">
        <v>86</v>
      </c>
      <c r="R756" s="20" t="s">
        <v>86</v>
      </c>
      <c r="S756" s="20" t="s">
        <v>87</v>
      </c>
      <c r="T756" s="25" t="s">
        <v>88</v>
      </c>
      <c r="U756" s="20" t="s">
        <v>89</v>
      </c>
      <c r="V756" s="20" t="s">
        <v>90</v>
      </c>
      <c r="W756" s="21"/>
    </row>
    <row r="757" customFormat="false" ht="15" hidden="false" customHeight="false" outlineLevel="0" collapsed="false">
      <c r="A757" s="20" t="n">
        <v>756</v>
      </c>
      <c r="B757" s="20" t="s">
        <v>2930</v>
      </c>
      <c r="C757" s="20" t="s">
        <v>5</v>
      </c>
      <c r="D757" s="20" t="s">
        <v>2931</v>
      </c>
      <c r="E757" s="20" t="s">
        <v>28</v>
      </c>
      <c r="F757" s="20" t="s">
        <v>2932</v>
      </c>
      <c r="G757" s="21" t="s">
        <v>2933</v>
      </c>
      <c r="H757" s="20"/>
      <c r="I757" s="20"/>
      <c r="J757" s="20"/>
      <c r="K757" s="22" t="n">
        <v>3.8</v>
      </c>
      <c r="L757" s="23" t="n">
        <v>570</v>
      </c>
      <c r="M757" s="20" t="s">
        <v>84</v>
      </c>
      <c r="N757" s="24"/>
      <c r="O757" s="24"/>
      <c r="P757" s="20" t="s">
        <v>101</v>
      </c>
      <c r="Q757" s="20" t="s">
        <v>86</v>
      </c>
      <c r="R757" s="20" t="s">
        <v>86</v>
      </c>
      <c r="S757" s="20" t="s">
        <v>102</v>
      </c>
      <c r="T757" s="25" t="s">
        <v>88</v>
      </c>
      <c r="U757" s="20" t="s">
        <v>89</v>
      </c>
      <c r="V757" s="20" t="s">
        <v>138</v>
      </c>
      <c r="W757" s="21" t="s">
        <v>299</v>
      </c>
    </row>
    <row r="758" customFormat="false" ht="15" hidden="false" customHeight="false" outlineLevel="0" collapsed="false">
      <c r="A758" s="20" t="n">
        <v>757</v>
      </c>
      <c r="B758" s="20" t="s">
        <v>2934</v>
      </c>
      <c r="C758" s="20" t="s">
        <v>5</v>
      </c>
      <c r="D758" s="20" t="s">
        <v>2935</v>
      </c>
      <c r="E758" s="20" t="s">
        <v>28</v>
      </c>
      <c r="F758" s="20" t="s">
        <v>1025</v>
      </c>
      <c r="G758" s="21" t="s">
        <v>2936</v>
      </c>
      <c r="H758" s="20" t="s">
        <v>2937</v>
      </c>
      <c r="I758" s="20"/>
      <c r="J758" s="20"/>
      <c r="K758" s="22" t="n">
        <v>2</v>
      </c>
      <c r="L758" s="23" t="n">
        <v>1</v>
      </c>
      <c r="M758" s="20" t="s">
        <v>100</v>
      </c>
      <c r="N758" s="24" t="n">
        <v>6.57092</v>
      </c>
      <c r="O758" s="24" t="n">
        <v>3.36352</v>
      </c>
      <c r="P758" s="20" t="s">
        <v>85</v>
      </c>
      <c r="Q758" s="20" t="s">
        <v>86</v>
      </c>
      <c r="R758" s="20" t="s">
        <v>86</v>
      </c>
      <c r="S758" s="20" t="s">
        <v>87</v>
      </c>
      <c r="T758" s="26" t="s">
        <v>103</v>
      </c>
      <c r="U758" s="20" t="s">
        <v>104</v>
      </c>
      <c r="V758" s="20" t="s">
        <v>90</v>
      </c>
      <c r="W758" s="21"/>
    </row>
    <row r="759" customFormat="false" ht="23.85" hidden="false" customHeight="false" outlineLevel="0" collapsed="false">
      <c r="A759" s="20" t="n">
        <v>758</v>
      </c>
      <c r="B759" s="20" t="s">
        <v>2938</v>
      </c>
      <c r="C759" s="20" t="s">
        <v>5</v>
      </c>
      <c r="D759" s="20" t="s">
        <v>1362</v>
      </c>
      <c r="E759" s="20" t="s">
        <v>28</v>
      </c>
      <c r="F759" s="20" t="s">
        <v>1139</v>
      </c>
      <c r="G759" s="21" t="s">
        <v>2939</v>
      </c>
      <c r="H759" s="20" t="s">
        <v>2940</v>
      </c>
      <c r="I759" s="20"/>
      <c r="J759" s="20" t="s">
        <v>2941</v>
      </c>
      <c r="K759" s="22" t="n">
        <v>5</v>
      </c>
      <c r="L759" s="23" t="n">
        <v>2</v>
      </c>
      <c r="M759" s="20" t="s">
        <v>100</v>
      </c>
      <c r="N759" s="24" t="n">
        <v>6.5591522</v>
      </c>
      <c r="O759" s="24" t="n">
        <v>3.3694267</v>
      </c>
      <c r="P759" s="20" t="s">
        <v>125</v>
      </c>
      <c r="Q759" s="20" t="s">
        <v>86</v>
      </c>
      <c r="R759" s="20" t="s">
        <v>86</v>
      </c>
      <c r="S759" s="20" t="s">
        <v>87</v>
      </c>
      <c r="T759" s="26" t="s">
        <v>103</v>
      </c>
      <c r="U759" s="20" t="s">
        <v>104</v>
      </c>
      <c r="V759" s="20" t="s">
        <v>90</v>
      </c>
      <c r="W759" s="21"/>
    </row>
    <row r="760" customFormat="false" ht="15" hidden="false" customHeight="false" outlineLevel="0" collapsed="false">
      <c r="A760" s="20" t="n">
        <v>759</v>
      </c>
      <c r="B760" s="20" t="s">
        <v>2942</v>
      </c>
      <c r="C760" s="20" t="s">
        <v>5</v>
      </c>
      <c r="D760" s="20" t="s">
        <v>2943</v>
      </c>
      <c r="E760" s="20" t="s">
        <v>28</v>
      </c>
      <c r="F760" s="20" t="s">
        <v>901</v>
      </c>
      <c r="G760" s="21" t="s">
        <v>2944</v>
      </c>
      <c r="H760" s="20" t="s">
        <v>2945</v>
      </c>
      <c r="I760" s="20"/>
      <c r="J760" s="20"/>
      <c r="K760" s="22" t="n">
        <v>3</v>
      </c>
      <c r="L760" s="23" t="n">
        <v>1</v>
      </c>
      <c r="M760" s="20" t="s">
        <v>100</v>
      </c>
      <c r="N760" s="24" t="n">
        <v>6.57181</v>
      </c>
      <c r="O760" s="24" t="n">
        <v>3.37099</v>
      </c>
      <c r="P760" s="20" t="s">
        <v>85</v>
      </c>
      <c r="Q760" s="20" t="s">
        <v>86</v>
      </c>
      <c r="R760" s="20" t="s">
        <v>86</v>
      </c>
      <c r="S760" s="20" t="s">
        <v>87</v>
      </c>
      <c r="T760" s="26" t="s">
        <v>103</v>
      </c>
      <c r="U760" s="20" t="s">
        <v>104</v>
      </c>
      <c r="V760" s="20" t="s">
        <v>90</v>
      </c>
      <c r="W760" s="21"/>
    </row>
    <row r="761" customFormat="false" ht="15" hidden="false" customHeight="false" outlineLevel="0" collapsed="false">
      <c r="A761" s="20" t="n">
        <v>760</v>
      </c>
      <c r="B761" s="20" t="s">
        <v>2946</v>
      </c>
      <c r="C761" s="20" t="s">
        <v>5</v>
      </c>
      <c r="D761" s="20" t="s">
        <v>2947</v>
      </c>
      <c r="E761" s="20" t="s">
        <v>28</v>
      </c>
      <c r="F761" s="20" t="s">
        <v>892</v>
      </c>
      <c r="G761" s="21" t="s">
        <v>2947</v>
      </c>
      <c r="H761" s="20"/>
      <c r="I761" s="20"/>
      <c r="J761" s="20"/>
      <c r="K761" s="22" t="n">
        <v>3.7</v>
      </c>
      <c r="L761" s="23" t="n">
        <v>21</v>
      </c>
      <c r="M761" s="20" t="s">
        <v>84</v>
      </c>
      <c r="N761" s="24" t="n">
        <v>6.57039</v>
      </c>
      <c r="O761" s="24" t="n">
        <v>3.36532</v>
      </c>
      <c r="P761" s="20" t="s">
        <v>85</v>
      </c>
      <c r="Q761" s="20" t="s">
        <v>86</v>
      </c>
      <c r="R761" s="20" t="s">
        <v>86</v>
      </c>
      <c r="S761" s="20" t="s">
        <v>87</v>
      </c>
      <c r="T761" s="25" t="s">
        <v>88</v>
      </c>
      <c r="U761" s="20" t="s">
        <v>89</v>
      </c>
      <c r="V761" s="20" t="s">
        <v>90</v>
      </c>
      <c r="W761" s="21"/>
    </row>
    <row r="762" customFormat="false" ht="15" hidden="false" customHeight="false" outlineLevel="0" collapsed="false">
      <c r="A762" s="20" t="n">
        <v>761</v>
      </c>
      <c r="B762" s="20" t="s">
        <v>2948</v>
      </c>
      <c r="C762" s="20" t="s">
        <v>5</v>
      </c>
      <c r="D762" s="20" t="s">
        <v>2949</v>
      </c>
      <c r="E762" s="20" t="s">
        <v>28</v>
      </c>
      <c r="F762" s="20" t="s">
        <v>892</v>
      </c>
      <c r="G762" s="21" t="s">
        <v>2949</v>
      </c>
      <c r="H762" s="20" t="s">
        <v>2950</v>
      </c>
      <c r="I762" s="20"/>
      <c r="J762" s="20"/>
      <c r="K762" s="22" t="n">
        <v>3.8</v>
      </c>
      <c r="L762" s="23" t="n">
        <v>17</v>
      </c>
      <c r="M762" s="20" t="s">
        <v>100</v>
      </c>
      <c r="N762" s="24" t="n">
        <v>6.57387</v>
      </c>
      <c r="O762" s="24" t="n">
        <v>3.37039</v>
      </c>
      <c r="P762" s="20" t="s">
        <v>85</v>
      </c>
      <c r="Q762" s="20" t="s">
        <v>86</v>
      </c>
      <c r="R762" s="20" t="s">
        <v>86</v>
      </c>
      <c r="S762" s="20" t="s">
        <v>87</v>
      </c>
      <c r="T762" s="27" t="s">
        <v>117</v>
      </c>
      <c r="U762" s="20" t="s">
        <v>118</v>
      </c>
      <c r="V762" s="20" t="s">
        <v>90</v>
      </c>
      <c r="W762" s="21"/>
    </row>
    <row r="763" customFormat="false" ht="15" hidden="false" customHeight="false" outlineLevel="0" collapsed="false">
      <c r="A763" s="20" t="n">
        <v>762</v>
      </c>
      <c r="B763" s="20" t="s">
        <v>2951</v>
      </c>
      <c r="C763" s="20" t="s">
        <v>5</v>
      </c>
      <c r="D763" s="20" t="s">
        <v>92</v>
      </c>
      <c r="E763" s="20" t="s">
        <v>28</v>
      </c>
      <c r="F763" s="20" t="s">
        <v>2952</v>
      </c>
      <c r="G763" s="21" t="s">
        <v>2953</v>
      </c>
      <c r="H763" s="20" t="s">
        <v>2954</v>
      </c>
      <c r="I763" s="20"/>
      <c r="J763" s="20"/>
      <c r="K763" s="22" t="n">
        <v>4.3</v>
      </c>
      <c r="L763" s="23" t="n">
        <v>303</v>
      </c>
      <c r="M763" s="20" t="s">
        <v>100</v>
      </c>
      <c r="N763" s="24" t="n">
        <v>6.56737</v>
      </c>
      <c r="O763" s="24" t="n">
        <v>3.36723</v>
      </c>
      <c r="P763" s="20" t="s">
        <v>110</v>
      </c>
      <c r="Q763" s="20" t="s">
        <v>86</v>
      </c>
      <c r="R763" s="20" t="s">
        <v>86</v>
      </c>
      <c r="S763" s="20" t="s">
        <v>87</v>
      </c>
      <c r="T763" s="27" t="s">
        <v>117</v>
      </c>
      <c r="U763" s="20" t="s">
        <v>118</v>
      </c>
      <c r="V763" s="20" t="s">
        <v>138</v>
      </c>
      <c r="W763" s="21" t="s">
        <v>538</v>
      </c>
    </row>
    <row r="764" customFormat="false" ht="15" hidden="false" customHeight="false" outlineLevel="0" collapsed="false">
      <c r="A764" s="20" t="n">
        <v>763</v>
      </c>
      <c r="B764" s="20" t="s">
        <v>2955</v>
      </c>
      <c r="C764" s="20" t="s">
        <v>5</v>
      </c>
      <c r="D764" s="20" t="s">
        <v>2774</v>
      </c>
      <c r="E764" s="20" t="s">
        <v>28</v>
      </c>
      <c r="F764" s="20" t="s">
        <v>892</v>
      </c>
      <c r="G764" s="21" t="s">
        <v>2774</v>
      </c>
      <c r="H764" s="20" t="s">
        <v>2956</v>
      </c>
      <c r="I764" s="20"/>
      <c r="J764" s="20"/>
      <c r="K764" s="22"/>
      <c r="L764" s="23"/>
      <c r="M764" s="20" t="s">
        <v>100</v>
      </c>
      <c r="N764" s="24" t="n">
        <v>6.57234</v>
      </c>
      <c r="O764" s="24" t="n">
        <v>3.36245</v>
      </c>
      <c r="P764" s="20" t="s">
        <v>85</v>
      </c>
      <c r="Q764" s="20" t="s">
        <v>86</v>
      </c>
      <c r="R764" s="20" t="s">
        <v>86</v>
      </c>
      <c r="S764" s="20" t="s">
        <v>87</v>
      </c>
      <c r="T764" s="26" t="s">
        <v>103</v>
      </c>
      <c r="U764" s="20" t="s">
        <v>104</v>
      </c>
      <c r="V764" s="20" t="s">
        <v>90</v>
      </c>
      <c r="W764" s="21"/>
    </row>
    <row r="765" customFormat="false" ht="15" hidden="false" customHeight="false" outlineLevel="0" collapsed="false">
      <c r="A765" s="20" t="n">
        <v>764</v>
      </c>
      <c r="B765" s="20" t="s">
        <v>2957</v>
      </c>
      <c r="C765" s="20" t="s">
        <v>5</v>
      </c>
      <c r="D765" s="20" t="s">
        <v>2958</v>
      </c>
      <c r="E765" s="20" t="s">
        <v>28</v>
      </c>
      <c r="F765" s="20" t="s">
        <v>913</v>
      </c>
      <c r="G765" s="21" t="s">
        <v>2958</v>
      </c>
      <c r="H765" s="20" t="s">
        <v>2959</v>
      </c>
      <c r="I765" s="20"/>
      <c r="J765" s="20"/>
      <c r="K765" s="22" t="n">
        <v>5</v>
      </c>
      <c r="L765" s="23" t="n">
        <v>1</v>
      </c>
      <c r="M765" s="20" t="s">
        <v>100</v>
      </c>
      <c r="N765" s="24" t="n">
        <v>6.57222</v>
      </c>
      <c r="O765" s="24" t="n">
        <v>3.37194</v>
      </c>
      <c r="P765" s="20" t="s">
        <v>85</v>
      </c>
      <c r="Q765" s="20" t="s">
        <v>86</v>
      </c>
      <c r="R765" s="20" t="s">
        <v>86</v>
      </c>
      <c r="S765" s="20" t="s">
        <v>87</v>
      </c>
      <c r="T765" s="26" t="s">
        <v>103</v>
      </c>
      <c r="U765" s="20" t="s">
        <v>104</v>
      </c>
      <c r="V765" s="20" t="s">
        <v>90</v>
      </c>
      <c r="W765" s="21"/>
    </row>
    <row r="766" customFormat="false" ht="15" hidden="false" customHeight="false" outlineLevel="0" collapsed="false">
      <c r="A766" s="20" t="n">
        <v>765</v>
      </c>
      <c r="B766" s="20" t="s">
        <v>2960</v>
      </c>
      <c r="C766" s="20" t="s">
        <v>5</v>
      </c>
      <c r="D766" s="20" t="s">
        <v>2344</v>
      </c>
      <c r="E766" s="20" t="s">
        <v>28</v>
      </c>
      <c r="F766" s="20" t="s">
        <v>907</v>
      </c>
      <c r="G766" s="21" t="s">
        <v>2961</v>
      </c>
      <c r="H766" s="20" t="s">
        <v>2962</v>
      </c>
      <c r="I766" s="20"/>
      <c r="J766" s="20"/>
      <c r="K766" s="22" t="n">
        <v>4.6</v>
      </c>
      <c r="L766" s="23" t="n">
        <v>1638</v>
      </c>
      <c r="M766" s="20" t="s">
        <v>100</v>
      </c>
      <c r="N766" s="24" t="n">
        <v>6.56764</v>
      </c>
      <c r="O766" s="24" t="n">
        <v>3.36737</v>
      </c>
      <c r="P766" s="20" t="s">
        <v>85</v>
      </c>
      <c r="Q766" s="20" t="s">
        <v>86</v>
      </c>
      <c r="R766" s="20" t="s">
        <v>86</v>
      </c>
      <c r="S766" s="20" t="s">
        <v>87</v>
      </c>
      <c r="T766" s="27" t="s">
        <v>117</v>
      </c>
      <c r="U766" s="20" t="s">
        <v>118</v>
      </c>
      <c r="V766" s="20" t="s">
        <v>90</v>
      </c>
      <c r="W766" s="21"/>
    </row>
    <row r="767" customFormat="false" ht="15" hidden="false" customHeight="false" outlineLevel="0" collapsed="false">
      <c r="A767" s="20" t="n">
        <v>766</v>
      </c>
      <c r="B767" s="20" t="s">
        <v>2963</v>
      </c>
      <c r="C767" s="20" t="s">
        <v>5</v>
      </c>
      <c r="D767" s="20" t="s">
        <v>2964</v>
      </c>
      <c r="E767" s="20" t="s">
        <v>28</v>
      </c>
      <c r="F767" s="20" t="s">
        <v>2965</v>
      </c>
      <c r="G767" s="21" t="s">
        <v>2964</v>
      </c>
      <c r="H767" s="20" t="s">
        <v>2966</v>
      </c>
      <c r="I767" s="20"/>
      <c r="J767" s="20"/>
      <c r="K767" s="22" t="n">
        <v>4.5</v>
      </c>
      <c r="L767" s="23" t="n">
        <v>11</v>
      </c>
      <c r="M767" s="20" t="s">
        <v>100</v>
      </c>
      <c r="N767" s="24" t="n">
        <v>6.57072</v>
      </c>
      <c r="O767" s="24" t="n">
        <v>3.37234</v>
      </c>
      <c r="P767" s="20" t="s">
        <v>85</v>
      </c>
      <c r="Q767" s="20" t="s">
        <v>86</v>
      </c>
      <c r="R767" s="20" t="s">
        <v>86</v>
      </c>
      <c r="S767" s="20" t="s">
        <v>87</v>
      </c>
      <c r="T767" s="27" t="s">
        <v>117</v>
      </c>
      <c r="U767" s="20" t="s">
        <v>118</v>
      </c>
      <c r="V767" s="20" t="s">
        <v>90</v>
      </c>
      <c r="W767" s="21"/>
    </row>
    <row r="768" customFormat="false" ht="15" hidden="false" customHeight="false" outlineLevel="0" collapsed="false">
      <c r="A768" s="20" t="n">
        <v>767</v>
      </c>
      <c r="B768" s="20" t="s">
        <v>2967</v>
      </c>
      <c r="C768" s="20" t="s">
        <v>5</v>
      </c>
      <c r="D768" s="20" t="s">
        <v>2480</v>
      </c>
      <c r="E768" s="20" t="s">
        <v>29</v>
      </c>
      <c r="F768" s="20" t="s">
        <v>1188</v>
      </c>
      <c r="G768" s="21" t="s">
        <v>2480</v>
      </c>
      <c r="H768" s="20" t="s">
        <v>2968</v>
      </c>
      <c r="I768" s="20"/>
      <c r="J768" s="20"/>
      <c r="K768" s="22"/>
      <c r="L768" s="23"/>
      <c r="M768" s="20" t="s">
        <v>100</v>
      </c>
      <c r="N768" s="24" t="n">
        <v>6.57216</v>
      </c>
      <c r="O768" s="24" t="n">
        <v>3.37036</v>
      </c>
      <c r="P768" s="20" t="s">
        <v>85</v>
      </c>
      <c r="Q768" s="20" t="s">
        <v>86</v>
      </c>
      <c r="R768" s="20" t="s">
        <v>86</v>
      </c>
      <c r="S768" s="20" t="s">
        <v>87</v>
      </c>
      <c r="T768" s="26" t="s">
        <v>103</v>
      </c>
      <c r="U768" s="20" t="s">
        <v>104</v>
      </c>
      <c r="V768" s="20" t="s">
        <v>90</v>
      </c>
      <c r="W768" s="21"/>
    </row>
    <row r="769" customFormat="false" ht="15" hidden="false" customHeight="false" outlineLevel="0" collapsed="false">
      <c r="A769" s="20" t="n">
        <v>768</v>
      </c>
      <c r="B769" s="20" t="s">
        <v>2969</v>
      </c>
      <c r="C769" s="20" t="s">
        <v>5</v>
      </c>
      <c r="D769" s="20" t="s">
        <v>2970</v>
      </c>
      <c r="E769" s="20" t="s">
        <v>29</v>
      </c>
      <c r="F769" s="20" t="s">
        <v>2971</v>
      </c>
      <c r="G769" s="21" t="s">
        <v>2972</v>
      </c>
      <c r="H769" s="20"/>
      <c r="I769" s="20"/>
      <c r="J769" s="20"/>
      <c r="K769" s="22" t="n">
        <v>4.8</v>
      </c>
      <c r="L769" s="23" t="n">
        <v>72</v>
      </c>
      <c r="M769" s="20" t="s">
        <v>84</v>
      </c>
      <c r="N769" s="24" t="n">
        <v>6.57469</v>
      </c>
      <c r="O769" s="24" t="n">
        <v>3.36879</v>
      </c>
      <c r="P769" s="20" t="s">
        <v>85</v>
      </c>
      <c r="Q769" s="20" t="s">
        <v>86</v>
      </c>
      <c r="R769" s="20" t="s">
        <v>86</v>
      </c>
      <c r="S769" s="20" t="s">
        <v>87</v>
      </c>
      <c r="T769" s="25" t="s">
        <v>88</v>
      </c>
      <c r="U769" s="20" t="s">
        <v>89</v>
      </c>
      <c r="V769" s="20" t="s">
        <v>90</v>
      </c>
      <c r="W769" s="21"/>
    </row>
    <row r="770" customFormat="false" ht="15" hidden="false" customHeight="false" outlineLevel="0" collapsed="false">
      <c r="A770" s="20" t="n">
        <v>769</v>
      </c>
      <c r="B770" s="20" t="s">
        <v>2973</v>
      </c>
      <c r="C770" s="20" t="s">
        <v>5</v>
      </c>
      <c r="D770" s="20" t="s">
        <v>2974</v>
      </c>
      <c r="E770" s="20" t="s">
        <v>29</v>
      </c>
      <c r="F770" s="20" t="s">
        <v>2975</v>
      </c>
      <c r="G770" s="21" t="s">
        <v>2976</v>
      </c>
      <c r="H770" s="20" t="s">
        <v>2977</v>
      </c>
      <c r="I770" s="20"/>
      <c r="J770" s="20"/>
      <c r="K770" s="22"/>
      <c r="L770" s="23"/>
      <c r="M770" s="20" t="s">
        <v>100</v>
      </c>
      <c r="N770" s="24"/>
      <c r="O770" s="24"/>
      <c r="P770" s="20" t="s">
        <v>101</v>
      </c>
      <c r="Q770" s="20" t="s">
        <v>86</v>
      </c>
      <c r="R770" s="20" t="s">
        <v>86</v>
      </c>
      <c r="S770" s="20" t="s">
        <v>102</v>
      </c>
      <c r="T770" s="26" t="s">
        <v>103</v>
      </c>
      <c r="U770" s="20" t="s">
        <v>104</v>
      </c>
      <c r="V770" s="20" t="s">
        <v>138</v>
      </c>
      <c r="W770" s="21" t="s">
        <v>181</v>
      </c>
    </row>
    <row r="771" customFormat="false" ht="15" hidden="false" customHeight="false" outlineLevel="0" collapsed="false">
      <c r="A771" s="20" t="n">
        <v>770</v>
      </c>
      <c r="B771" s="20" t="s">
        <v>2978</v>
      </c>
      <c r="C771" s="20" t="s">
        <v>5</v>
      </c>
      <c r="D771" s="20" t="s">
        <v>2979</v>
      </c>
      <c r="E771" s="20" t="s">
        <v>29</v>
      </c>
      <c r="F771" s="20" t="s">
        <v>1199</v>
      </c>
      <c r="G771" s="21" t="s">
        <v>2980</v>
      </c>
      <c r="H771" s="20" t="s">
        <v>2981</v>
      </c>
      <c r="I771" s="20"/>
      <c r="J771" s="20"/>
      <c r="K771" s="22"/>
      <c r="L771" s="23"/>
      <c r="M771" s="20" t="s">
        <v>100</v>
      </c>
      <c r="N771" s="24"/>
      <c r="O771" s="24"/>
      <c r="P771" s="20" t="s">
        <v>101</v>
      </c>
      <c r="Q771" s="20" t="s">
        <v>86</v>
      </c>
      <c r="R771" s="20" t="s">
        <v>86</v>
      </c>
      <c r="S771" s="20" t="s">
        <v>102</v>
      </c>
      <c r="T771" s="26" t="s">
        <v>103</v>
      </c>
      <c r="U771" s="20" t="s">
        <v>104</v>
      </c>
      <c r="V771" s="20" t="s">
        <v>138</v>
      </c>
      <c r="W771" s="21" t="s">
        <v>181</v>
      </c>
    </row>
    <row r="772" customFormat="false" ht="15" hidden="false" customHeight="false" outlineLevel="0" collapsed="false">
      <c r="A772" s="20" t="n">
        <v>771</v>
      </c>
      <c r="B772" s="20" t="s">
        <v>2982</v>
      </c>
      <c r="C772" s="20" t="s">
        <v>5</v>
      </c>
      <c r="D772" s="20" t="s">
        <v>2624</v>
      </c>
      <c r="E772" s="20" t="s">
        <v>29</v>
      </c>
      <c r="F772" s="20" t="s">
        <v>1229</v>
      </c>
      <c r="G772" s="21" t="s">
        <v>2983</v>
      </c>
      <c r="H772" s="20"/>
      <c r="I772" s="20"/>
      <c r="J772" s="20"/>
      <c r="K772" s="22"/>
      <c r="L772" s="23"/>
      <c r="M772" s="20" t="s">
        <v>84</v>
      </c>
      <c r="N772" s="24" t="n">
        <v>6.57066</v>
      </c>
      <c r="O772" s="24" t="n">
        <v>3.36402</v>
      </c>
      <c r="P772" s="20" t="s">
        <v>85</v>
      </c>
      <c r="Q772" s="20" t="s">
        <v>86</v>
      </c>
      <c r="R772" s="20" t="s">
        <v>86</v>
      </c>
      <c r="S772" s="20" t="s">
        <v>87</v>
      </c>
      <c r="T772" s="25" t="s">
        <v>88</v>
      </c>
      <c r="U772" s="20" t="s">
        <v>89</v>
      </c>
      <c r="V772" s="20" t="s">
        <v>90</v>
      </c>
      <c r="W772" s="21"/>
    </row>
    <row r="773" customFormat="false" ht="15" hidden="false" customHeight="false" outlineLevel="0" collapsed="false">
      <c r="A773" s="20" t="n">
        <v>772</v>
      </c>
      <c r="B773" s="20" t="s">
        <v>2984</v>
      </c>
      <c r="C773" s="20" t="s">
        <v>5</v>
      </c>
      <c r="D773" s="20" t="s">
        <v>2495</v>
      </c>
      <c r="E773" s="20" t="s">
        <v>29</v>
      </c>
      <c r="F773" s="20" t="s">
        <v>2985</v>
      </c>
      <c r="G773" s="21" t="s">
        <v>2986</v>
      </c>
      <c r="H773" s="20" t="s">
        <v>2987</v>
      </c>
      <c r="I773" s="20"/>
      <c r="J773" s="20"/>
      <c r="K773" s="22"/>
      <c r="L773" s="23"/>
      <c r="M773" s="20" t="s">
        <v>100</v>
      </c>
      <c r="N773" s="24"/>
      <c r="O773" s="24"/>
      <c r="P773" s="20" t="s">
        <v>101</v>
      </c>
      <c r="Q773" s="20" t="s">
        <v>86</v>
      </c>
      <c r="R773" s="20" t="s">
        <v>86</v>
      </c>
      <c r="S773" s="20" t="s">
        <v>102</v>
      </c>
      <c r="T773" s="26" t="s">
        <v>103</v>
      </c>
      <c r="U773" s="20" t="s">
        <v>104</v>
      </c>
      <c r="V773" s="20" t="s">
        <v>138</v>
      </c>
      <c r="W773" s="21" t="s">
        <v>181</v>
      </c>
    </row>
    <row r="774" customFormat="false" ht="15" hidden="false" customHeight="false" outlineLevel="0" collapsed="false">
      <c r="A774" s="20" t="n">
        <v>773</v>
      </c>
      <c r="B774" s="20" t="s">
        <v>2988</v>
      </c>
      <c r="C774" s="20" t="s">
        <v>5</v>
      </c>
      <c r="D774" s="20" t="s">
        <v>2989</v>
      </c>
      <c r="E774" s="20" t="s">
        <v>29</v>
      </c>
      <c r="F774" s="20" t="s">
        <v>2990</v>
      </c>
      <c r="G774" s="21" t="s">
        <v>2991</v>
      </c>
      <c r="H774" s="20" t="s">
        <v>2992</v>
      </c>
      <c r="I774" s="20"/>
      <c r="J774" s="20"/>
      <c r="K774" s="22"/>
      <c r="L774" s="23"/>
      <c r="M774" s="20" t="s">
        <v>100</v>
      </c>
      <c r="N774" s="24"/>
      <c r="O774" s="24"/>
      <c r="P774" s="20" t="s">
        <v>101</v>
      </c>
      <c r="Q774" s="20" t="s">
        <v>86</v>
      </c>
      <c r="R774" s="20" t="s">
        <v>86</v>
      </c>
      <c r="S774" s="20" t="s">
        <v>102</v>
      </c>
      <c r="T774" s="26" t="s">
        <v>103</v>
      </c>
      <c r="U774" s="20" t="s">
        <v>104</v>
      </c>
      <c r="V774" s="20" t="s">
        <v>138</v>
      </c>
      <c r="W774" s="21" t="s">
        <v>181</v>
      </c>
    </row>
    <row r="775" customFormat="false" ht="15" hidden="false" customHeight="false" outlineLevel="0" collapsed="false">
      <c r="A775" s="20" t="n">
        <v>774</v>
      </c>
      <c r="B775" s="20" t="s">
        <v>2993</v>
      </c>
      <c r="C775" s="20" t="s">
        <v>5</v>
      </c>
      <c r="D775" s="20" t="s">
        <v>2344</v>
      </c>
      <c r="E775" s="20" t="s">
        <v>29</v>
      </c>
      <c r="F775" s="20" t="s">
        <v>2994</v>
      </c>
      <c r="G775" s="21" t="s">
        <v>2995</v>
      </c>
      <c r="H775" s="20" t="s">
        <v>2996</v>
      </c>
      <c r="I775" s="20"/>
      <c r="J775" s="20"/>
      <c r="K775" s="22"/>
      <c r="L775" s="23"/>
      <c r="M775" s="20" t="s">
        <v>100</v>
      </c>
      <c r="N775" s="24"/>
      <c r="O775" s="24"/>
      <c r="P775" s="20" t="s">
        <v>101</v>
      </c>
      <c r="Q775" s="20" t="s">
        <v>86</v>
      </c>
      <c r="R775" s="20" t="s">
        <v>86</v>
      </c>
      <c r="S775" s="20" t="s">
        <v>102</v>
      </c>
      <c r="T775" s="26" t="s">
        <v>103</v>
      </c>
      <c r="U775" s="20" t="s">
        <v>104</v>
      </c>
      <c r="V775" s="20" t="s">
        <v>138</v>
      </c>
      <c r="W775" s="21" t="s">
        <v>181</v>
      </c>
    </row>
    <row r="776" customFormat="false" ht="15" hidden="false" customHeight="false" outlineLevel="0" collapsed="false">
      <c r="A776" s="20" t="n">
        <v>775</v>
      </c>
      <c r="B776" s="20" t="s">
        <v>2997</v>
      </c>
      <c r="C776" s="20" t="s">
        <v>5</v>
      </c>
      <c r="D776" s="20" t="s">
        <v>2998</v>
      </c>
      <c r="E776" s="20" t="s">
        <v>29</v>
      </c>
      <c r="F776" s="20" t="s">
        <v>2999</v>
      </c>
      <c r="G776" s="21" t="s">
        <v>2998</v>
      </c>
      <c r="H776" s="20" t="s">
        <v>3000</v>
      </c>
      <c r="I776" s="20"/>
      <c r="J776" s="20"/>
      <c r="K776" s="22" t="n">
        <v>4.9</v>
      </c>
      <c r="L776" s="23" t="n">
        <v>26</v>
      </c>
      <c r="M776" s="20" t="s">
        <v>100</v>
      </c>
      <c r="N776" s="24" t="n">
        <v>6.57637</v>
      </c>
      <c r="O776" s="24" t="n">
        <v>3.37441</v>
      </c>
      <c r="P776" s="20" t="s">
        <v>85</v>
      </c>
      <c r="Q776" s="20" t="s">
        <v>86</v>
      </c>
      <c r="R776" s="20" t="s">
        <v>86</v>
      </c>
      <c r="S776" s="20" t="s">
        <v>87</v>
      </c>
      <c r="T776" s="27" t="s">
        <v>117</v>
      </c>
      <c r="U776" s="20" t="s">
        <v>118</v>
      </c>
      <c r="V776" s="20" t="s">
        <v>90</v>
      </c>
      <c r="W776" s="21"/>
    </row>
    <row r="777" customFormat="false" ht="15" hidden="false" customHeight="false" outlineLevel="0" collapsed="false">
      <c r="A777" s="20" t="n">
        <v>776</v>
      </c>
      <c r="B777" s="20" t="s">
        <v>3001</v>
      </c>
      <c r="C777" s="20" t="s">
        <v>5</v>
      </c>
      <c r="D777" s="20" t="s">
        <v>3002</v>
      </c>
      <c r="E777" s="20" t="s">
        <v>29</v>
      </c>
      <c r="F777" s="20" t="s">
        <v>1229</v>
      </c>
      <c r="G777" s="21" t="s">
        <v>3003</v>
      </c>
      <c r="H777" s="20"/>
      <c r="I777" s="20"/>
      <c r="J777" s="20"/>
      <c r="K777" s="22"/>
      <c r="L777" s="23"/>
      <c r="M777" s="20" t="s">
        <v>84</v>
      </c>
      <c r="N777" s="24" t="n">
        <v>6.57104</v>
      </c>
      <c r="O777" s="24" t="n">
        <v>3.37112</v>
      </c>
      <c r="P777" s="20" t="s">
        <v>85</v>
      </c>
      <c r="Q777" s="20" t="s">
        <v>86</v>
      </c>
      <c r="R777" s="20" t="s">
        <v>86</v>
      </c>
      <c r="S777" s="20" t="s">
        <v>87</v>
      </c>
      <c r="T777" s="25" t="s">
        <v>88</v>
      </c>
      <c r="U777" s="20" t="s">
        <v>89</v>
      </c>
      <c r="V777" s="20" t="s">
        <v>90</v>
      </c>
      <c r="W777" s="21"/>
    </row>
    <row r="778" customFormat="false" ht="15" hidden="false" customHeight="false" outlineLevel="0" collapsed="false">
      <c r="A778" s="20" t="n">
        <v>777</v>
      </c>
      <c r="B778" s="20" t="s">
        <v>3004</v>
      </c>
      <c r="C778" s="20" t="s">
        <v>5</v>
      </c>
      <c r="D778" s="20" t="s">
        <v>3005</v>
      </c>
      <c r="E778" s="20" t="s">
        <v>29</v>
      </c>
      <c r="F778" s="20" t="s">
        <v>1229</v>
      </c>
      <c r="G778" s="21" t="s">
        <v>3006</v>
      </c>
      <c r="H778" s="20"/>
      <c r="I778" s="20"/>
      <c r="J778" s="20"/>
      <c r="K778" s="22" t="n">
        <v>5</v>
      </c>
      <c r="L778" s="23" t="n">
        <v>3</v>
      </c>
      <c r="M778" s="20" t="s">
        <v>84</v>
      </c>
      <c r="N778" s="24" t="n">
        <v>6.57168</v>
      </c>
      <c r="O778" s="24" t="n">
        <v>3.3715</v>
      </c>
      <c r="P778" s="20" t="s">
        <v>85</v>
      </c>
      <c r="Q778" s="20" t="s">
        <v>86</v>
      </c>
      <c r="R778" s="20" t="s">
        <v>86</v>
      </c>
      <c r="S778" s="20" t="s">
        <v>87</v>
      </c>
      <c r="T778" s="25" t="s">
        <v>88</v>
      </c>
      <c r="U778" s="20" t="s">
        <v>89</v>
      </c>
      <c r="V778" s="20" t="s">
        <v>90</v>
      </c>
      <c r="W778" s="21"/>
    </row>
    <row r="779" customFormat="false" ht="15" hidden="false" customHeight="false" outlineLevel="0" collapsed="false">
      <c r="A779" s="20" t="n">
        <v>778</v>
      </c>
      <c r="B779" s="20" t="s">
        <v>3007</v>
      </c>
      <c r="C779" s="20" t="s">
        <v>5</v>
      </c>
      <c r="D779" s="20" t="s">
        <v>2318</v>
      </c>
      <c r="E779" s="20" t="s">
        <v>29</v>
      </c>
      <c r="F779" s="20" t="s">
        <v>1188</v>
      </c>
      <c r="G779" s="21" t="s">
        <v>2318</v>
      </c>
      <c r="H779" s="20" t="s">
        <v>3008</v>
      </c>
      <c r="I779" s="20"/>
      <c r="J779" s="20"/>
      <c r="K779" s="22"/>
      <c r="L779" s="23"/>
      <c r="M779" s="20" t="s">
        <v>100</v>
      </c>
      <c r="N779" s="24" t="n">
        <v>6.57426</v>
      </c>
      <c r="O779" s="24" t="n">
        <v>3.3712</v>
      </c>
      <c r="P779" s="20" t="s">
        <v>85</v>
      </c>
      <c r="Q779" s="20" t="s">
        <v>86</v>
      </c>
      <c r="R779" s="20" t="s">
        <v>86</v>
      </c>
      <c r="S779" s="20" t="s">
        <v>87</v>
      </c>
      <c r="T779" s="26" t="s">
        <v>103</v>
      </c>
      <c r="U779" s="20" t="s">
        <v>104</v>
      </c>
      <c r="V779" s="20" t="s">
        <v>90</v>
      </c>
      <c r="W779" s="21"/>
    </row>
    <row r="780" customFormat="false" ht="15" hidden="false" customHeight="false" outlineLevel="0" collapsed="false">
      <c r="A780" s="20" t="n">
        <v>779</v>
      </c>
      <c r="B780" s="20" t="s">
        <v>3009</v>
      </c>
      <c r="C780" s="20" t="s">
        <v>5</v>
      </c>
      <c r="D780" s="20" t="s">
        <v>3010</v>
      </c>
      <c r="E780" s="20" t="s">
        <v>30</v>
      </c>
      <c r="F780" s="20" t="s">
        <v>1322</v>
      </c>
      <c r="G780" s="21" t="s">
        <v>3010</v>
      </c>
      <c r="H780" s="20" t="s">
        <v>3011</v>
      </c>
      <c r="I780" s="20"/>
      <c r="J780" s="20"/>
      <c r="K780" s="22"/>
      <c r="L780" s="23"/>
      <c r="M780" s="20" t="s">
        <v>100</v>
      </c>
      <c r="N780" s="24" t="n">
        <v>6.57181</v>
      </c>
      <c r="O780" s="24" t="n">
        <v>3.37575</v>
      </c>
      <c r="P780" s="20" t="s">
        <v>85</v>
      </c>
      <c r="Q780" s="20" t="s">
        <v>86</v>
      </c>
      <c r="R780" s="20" t="s">
        <v>86</v>
      </c>
      <c r="S780" s="20" t="s">
        <v>87</v>
      </c>
      <c r="T780" s="26" t="s">
        <v>103</v>
      </c>
      <c r="U780" s="20" t="s">
        <v>104</v>
      </c>
      <c r="V780" s="20" t="s">
        <v>90</v>
      </c>
      <c r="W780" s="21"/>
    </row>
    <row r="781" customFormat="false" ht="15" hidden="false" customHeight="false" outlineLevel="0" collapsed="false">
      <c r="A781" s="20" t="n">
        <v>780</v>
      </c>
      <c r="B781" s="20" t="s">
        <v>3012</v>
      </c>
      <c r="C781" s="20" t="s">
        <v>5</v>
      </c>
      <c r="D781" s="20" t="s">
        <v>3013</v>
      </c>
      <c r="E781" s="20" t="s">
        <v>30</v>
      </c>
      <c r="F781" s="20" t="s">
        <v>3014</v>
      </c>
      <c r="G781" s="21" t="s">
        <v>3013</v>
      </c>
      <c r="H781" s="20"/>
      <c r="I781" s="20"/>
      <c r="J781" s="20"/>
      <c r="K781" s="22"/>
      <c r="L781" s="23"/>
      <c r="M781" s="20" t="s">
        <v>84</v>
      </c>
      <c r="N781" s="24" t="n">
        <v>6.57427</v>
      </c>
      <c r="O781" s="24" t="n">
        <v>3.36322</v>
      </c>
      <c r="P781" s="20" t="s">
        <v>85</v>
      </c>
      <c r="Q781" s="20" t="s">
        <v>86</v>
      </c>
      <c r="R781" s="20" t="s">
        <v>86</v>
      </c>
      <c r="S781" s="20" t="s">
        <v>87</v>
      </c>
      <c r="T781" s="25" t="s">
        <v>88</v>
      </c>
      <c r="U781" s="20" t="s">
        <v>89</v>
      </c>
      <c r="V781" s="20" t="s">
        <v>90</v>
      </c>
      <c r="W781" s="21"/>
    </row>
    <row r="782" customFormat="false" ht="15" hidden="false" customHeight="false" outlineLevel="0" collapsed="false">
      <c r="A782" s="20" t="n">
        <v>781</v>
      </c>
      <c r="B782" s="20" t="s">
        <v>3015</v>
      </c>
      <c r="C782" s="20" t="s">
        <v>5</v>
      </c>
      <c r="D782" s="20" t="s">
        <v>3016</v>
      </c>
      <c r="E782" s="20" t="s">
        <v>30</v>
      </c>
      <c r="F782" s="20" t="s">
        <v>1377</v>
      </c>
      <c r="G782" s="21" t="s">
        <v>3017</v>
      </c>
      <c r="H782" s="20" t="s">
        <v>3018</v>
      </c>
      <c r="I782" s="20"/>
      <c r="J782" s="20"/>
      <c r="K782" s="22" t="n">
        <v>5</v>
      </c>
      <c r="L782" s="23" t="n">
        <v>7</v>
      </c>
      <c r="M782" s="20" t="s">
        <v>100</v>
      </c>
      <c r="N782" s="24" t="n">
        <v>6.57354</v>
      </c>
      <c r="O782" s="24" t="n">
        <v>3.36625</v>
      </c>
      <c r="P782" s="20" t="s">
        <v>85</v>
      </c>
      <c r="Q782" s="20" t="s">
        <v>86</v>
      </c>
      <c r="R782" s="20" t="s">
        <v>86</v>
      </c>
      <c r="S782" s="20" t="s">
        <v>87</v>
      </c>
      <c r="T782" s="26" t="s">
        <v>103</v>
      </c>
      <c r="U782" s="20" t="s">
        <v>104</v>
      </c>
      <c r="V782" s="20" t="s">
        <v>90</v>
      </c>
      <c r="W782" s="21"/>
    </row>
    <row r="783" customFormat="false" ht="15" hidden="false" customHeight="false" outlineLevel="0" collapsed="false">
      <c r="A783" s="20" t="n">
        <v>782</v>
      </c>
      <c r="B783" s="20" t="s">
        <v>3019</v>
      </c>
      <c r="C783" s="20" t="s">
        <v>5</v>
      </c>
      <c r="D783" s="20" t="s">
        <v>3020</v>
      </c>
      <c r="E783" s="20" t="s">
        <v>30</v>
      </c>
      <c r="F783" s="20" t="s">
        <v>3021</v>
      </c>
      <c r="G783" s="21" t="s">
        <v>3022</v>
      </c>
      <c r="H783" s="20" t="s">
        <v>3023</v>
      </c>
      <c r="I783" s="20"/>
      <c r="J783" s="20"/>
      <c r="K783" s="22"/>
      <c r="L783" s="23"/>
      <c r="M783" s="20" t="s">
        <v>100</v>
      </c>
      <c r="N783" s="24"/>
      <c r="O783" s="24"/>
      <c r="P783" s="20" t="s">
        <v>101</v>
      </c>
      <c r="Q783" s="20" t="s">
        <v>86</v>
      </c>
      <c r="R783" s="20" t="s">
        <v>86</v>
      </c>
      <c r="S783" s="20" t="s">
        <v>102</v>
      </c>
      <c r="T783" s="26" t="s">
        <v>103</v>
      </c>
      <c r="U783" s="20" t="s">
        <v>104</v>
      </c>
      <c r="V783" s="20" t="s">
        <v>138</v>
      </c>
      <c r="W783" s="21" t="s">
        <v>181</v>
      </c>
    </row>
    <row r="784" customFormat="false" ht="15" hidden="false" customHeight="false" outlineLevel="0" collapsed="false">
      <c r="A784" s="20" t="n">
        <v>783</v>
      </c>
      <c r="B784" s="20" t="s">
        <v>3024</v>
      </c>
      <c r="C784" s="20" t="s">
        <v>5</v>
      </c>
      <c r="D784" s="20" t="s">
        <v>3025</v>
      </c>
      <c r="E784" s="20" t="s">
        <v>30</v>
      </c>
      <c r="F784" s="20" t="s">
        <v>1322</v>
      </c>
      <c r="G784" s="21" t="s">
        <v>3026</v>
      </c>
      <c r="H784" s="20" t="s">
        <v>3027</v>
      </c>
      <c r="I784" s="20"/>
      <c r="J784" s="20"/>
      <c r="K784" s="22"/>
      <c r="L784" s="23"/>
      <c r="M784" s="20" t="s">
        <v>100</v>
      </c>
      <c r="N784" s="24" t="n">
        <v>6.57388</v>
      </c>
      <c r="O784" s="24" t="n">
        <v>3.37127</v>
      </c>
      <c r="P784" s="20" t="s">
        <v>85</v>
      </c>
      <c r="Q784" s="20" t="s">
        <v>86</v>
      </c>
      <c r="R784" s="20" t="s">
        <v>86</v>
      </c>
      <c r="S784" s="20" t="s">
        <v>87</v>
      </c>
      <c r="T784" s="26" t="s">
        <v>103</v>
      </c>
      <c r="U784" s="20" t="s">
        <v>104</v>
      </c>
      <c r="V784" s="20" t="s">
        <v>90</v>
      </c>
      <c r="W784" s="21"/>
    </row>
    <row r="785" customFormat="false" ht="15" hidden="false" customHeight="false" outlineLevel="0" collapsed="false">
      <c r="A785" s="20" t="n">
        <v>784</v>
      </c>
      <c r="B785" s="20" t="s">
        <v>3028</v>
      </c>
      <c r="C785" s="20" t="s">
        <v>5</v>
      </c>
      <c r="D785" s="20"/>
      <c r="E785" s="20" t="s">
        <v>30</v>
      </c>
      <c r="F785" s="20"/>
      <c r="G785" s="21"/>
      <c r="H785" s="20" t="s">
        <v>3029</v>
      </c>
      <c r="I785" s="20"/>
      <c r="J785" s="20"/>
      <c r="K785" s="22"/>
      <c r="L785" s="23"/>
      <c r="M785" s="20" t="s">
        <v>100</v>
      </c>
      <c r="N785" s="24" t="n">
        <v>6.57642</v>
      </c>
      <c r="O785" s="24" t="n">
        <v>3.36534</v>
      </c>
      <c r="P785" s="20" t="s">
        <v>85</v>
      </c>
      <c r="Q785" s="20" t="s">
        <v>86</v>
      </c>
      <c r="R785" s="20" t="s">
        <v>86</v>
      </c>
      <c r="S785" s="20" t="s">
        <v>87</v>
      </c>
      <c r="T785" s="26" t="s">
        <v>103</v>
      </c>
      <c r="U785" s="20" t="s">
        <v>104</v>
      </c>
      <c r="V785" s="20" t="s">
        <v>90</v>
      </c>
      <c r="W785" s="21"/>
    </row>
    <row r="786" customFormat="false" ht="15" hidden="false" customHeight="false" outlineLevel="0" collapsed="false">
      <c r="A786" s="20" t="n">
        <v>785</v>
      </c>
      <c r="B786" s="20" t="s">
        <v>3030</v>
      </c>
      <c r="C786" s="20" t="s">
        <v>5</v>
      </c>
      <c r="D786" s="20" t="s">
        <v>3031</v>
      </c>
      <c r="E786" s="20" t="s">
        <v>30</v>
      </c>
      <c r="F786" s="20" t="s">
        <v>1479</v>
      </c>
      <c r="G786" s="21" t="s">
        <v>3031</v>
      </c>
      <c r="H786" s="20" t="s">
        <v>3032</v>
      </c>
      <c r="I786" s="20"/>
      <c r="J786" s="20"/>
      <c r="K786" s="22" t="n">
        <v>3.3</v>
      </c>
      <c r="L786" s="23" t="n">
        <v>12</v>
      </c>
      <c r="M786" s="20" t="s">
        <v>100</v>
      </c>
      <c r="N786" s="24" t="n">
        <v>6.56954</v>
      </c>
      <c r="O786" s="24" t="n">
        <v>3.37276</v>
      </c>
      <c r="P786" s="20" t="s">
        <v>85</v>
      </c>
      <c r="Q786" s="20" t="s">
        <v>86</v>
      </c>
      <c r="R786" s="20" t="s">
        <v>86</v>
      </c>
      <c r="S786" s="20" t="s">
        <v>87</v>
      </c>
      <c r="T786" s="27" t="s">
        <v>117</v>
      </c>
      <c r="U786" s="20" t="s">
        <v>118</v>
      </c>
      <c r="V786" s="20" t="s">
        <v>90</v>
      </c>
      <c r="W786" s="21"/>
    </row>
    <row r="787" customFormat="false" ht="15" hidden="false" customHeight="false" outlineLevel="0" collapsed="false">
      <c r="A787" s="20" t="n">
        <v>786</v>
      </c>
      <c r="B787" s="20" t="s">
        <v>3033</v>
      </c>
      <c r="C787" s="20" t="s">
        <v>5</v>
      </c>
      <c r="D787" s="20" t="s">
        <v>3034</v>
      </c>
      <c r="E787" s="20" t="s">
        <v>30</v>
      </c>
      <c r="F787" s="20" t="s">
        <v>1322</v>
      </c>
      <c r="G787" s="21" t="s">
        <v>3034</v>
      </c>
      <c r="H787" s="20" t="s">
        <v>3035</v>
      </c>
      <c r="I787" s="20"/>
      <c r="J787" s="20"/>
      <c r="K787" s="22" t="n">
        <v>4.3</v>
      </c>
      <c r="L787" s="23" t="n">
        <v>221</v>
      </c>
      <c r="M787" s="20" t="s">
        <v>100</v>
      </c>
      <c r="N787" s="24" t="n">
        <v>6.57405</v>
      </c>
      <c r="O787" s="24" t="n">
        <v>3.36862</v>
      </c>
      <c r="P787" s="20" t="s">
        <v>85</v>
      </c>
      <c r="Q787" s="20" t="s">
        <v>86</v>
      </c>
      <c r="R787" s="20" t="s">
        <v>86</v>
      </c>
      <c r="S787" s="20" t="s">
        <v>87</v>
      </c>
      <c r="T787" s="27" t="s">
        <v>117</v>
      </c>
      <c r="U787" s="20" t="s">
        <v>118</v>
      </c>
      <c r="V787" s="20" t="s">
        <v>90</v>
      </c>
      <c r="W787" s="21"/>
    </row>
    <row r="788" customFormat="false" ht="15" hidden="false" customHeight="false" outlineLevel="0" collapsed="false">
      <c r="A788" s="20" t="n">
        <v>787</v>
      </c>
      <c r="B788" s="20" t="s">
        <v>3036</v>
      </c>
      <c r="C788" s="20" t="s">
        <v>5</v>
      </c>
      <c r="D788" s="20" t="s">
        <v>3037</v>
      </c>
      <c r="E788" s="20" t="s">
        <v>30</v>
      </c>
      <c r="F788" s="20" t="s">
        <v>1377</v>
      </c>
      <c r="G788" s="21" t="s">
        <v>3038</v>
      </c>
      <c r="H788" s="20" t="s">
        <v>3039</v>
      </c>
      <c r="I788" s="20"/>
      <c r="J788" s="20"/>
      <c r="K788" s="22" t="n">
        <v>5</v>
      </c>
      <c r="L788" s="23" t="n">
        <v>1</v>
      </c>
      <c r="M788" s="20" t="s">
        <v>100</v>
      </c>
      <c r="N788" s="24" t="n">
        <v>6.57085</v>
      </c>
      <c r="O788" s="24" t="n">
        <v>3.37483</v>
      </c>
      <c r="P788" s="20" t="s">
        <v>85</v>
      </c>
      <c r="Q788" s="20" t="s">
        <v>86</v>
      </c>
      <c r="R788" s="20" t="s">
        <v>86</v>
      </c>
      <c r="S788" s="20" t="s">
        <v>87</v>
      </c>
      <c r="T788" s="26" t="s">
        <v>103</v>
      </c>
      <c r="U788" s="20" t="s">
        <v>104</v>
      </c>
      <c r="V788" s="20" t="s">
        <v>90</v>
      </c>
      <c r="W788" s="21"/>
    </row>
    <row r="789" customFormat="false" ht="15" hidden="false" customHeight="false" outlineLevel="0" collapsed="false">
      <c r="A789" s="20" t="n">
        <v>788</v>
      </c>
      <c r="B789" s="20" t="s">
        <v>3040</v>
      </c>
      <c r="C789" s="20" t="s">
        <v>5</v>
      </c>
      <c r="D789" s="20" t="s">
        <v>3041</v>
      </c>
      <c r="E789" s="20" t="s">
        <v>30</v>
      </c>
      <c r="F789" s="20" t="s">
        <v>1479</v>
      </c>
      <c r="G789" s="21" t="s">
        <v>3041</v>
      </c>
      <c r="H789" s="20" t="s">
        <v>3042</v>
      </c>
      <c r="I789" s="20"/>
      <c r="J789" s="20"/>
      <c r="K789" s="22"/>
      <c r="L789" s="23"/>
      <c r="M789" s="20" t="s">
        <v>100</v>
      </c>
      <c r="N789" s="24" t="n">
        <v>6.57211</v>
      </c>
      <c r="O789" s="24" t="n">
        <v>3.37034</v>
      </c>
      <c r="P789" s="20" t="s">
        <v>85</v>
      </c>
      <c r="Q789" s="20" t="s">
        <v>86</v>
      </c>
      <c r="R789" s="20" t="s">
        <v>86</v>
      </c>
      <c r="S789" s="20" t="s">
        <v>87</v>
      </c>
      <c r="T789" s="26" t="s">
        <v>103</v>
      </c>
      <c r="U789" s="20" t="s">
        <v>104</v>
      </c>
      <c r="V789" s="20" t="s">
        <v>90</v>
      </c>
      <c r="W789" s="21"/>
    </row>
    <row r="790" customFormat="false" ht="15" hidden="false" customHeight="false" outlineLevel="0" collapsed="false">
      <c r="A790" s="20" t="n">
        <v>789</v>
      </c>
      <c r="B790" s="20" t="s">
        <v>3043</v>
      </c>
      <c r="C790" s="20" t="s">
        <v>5</v>
      </c>
      <c r="D790" s="20" t="s">
        <v>3044</v>
      </c>
      <c r="E790" s="20" t="s">
        <v>30</v>
      </c>
      <c r="F790" s="20" t="s">
        <v>3014</v>
      </c>
      <c r="G790" s="21" t="s">
        <v>3045</v>
      </c>
      <c r="H790" s="20"/>
      <c r="I790" s="20"/>
      <c r="J790" s="20"/>
      <c r="K790" s="22" t="n">
        <v>5</v>
      </c>
      <c r="L790" s="23" t="n">
        <v>1</v>
      </c>
      <c r="M790" s="20" t="s">
        <v>84</v>
      </c>
      <c r="N790" s="24" t="n">
        <v>6.57147</v>
      </c>
      <c r="O790" s="24" t="n">
        <v>3.37098</v>
      </c>
      <c r="P790" s="20" t="s">
        <v>85</v>
      </c>
      <c r="Q790" s="20" t="s">
        <v>86</v>
      </c>
      <c r="R790" s="20" t="s">
        <v>86</v>
      </c>
      <c r="S790" s="20" t="s">
        <v>87</v>
      </c>
      <c r="T790" s="25" t="s">
        <v>88</v>
      </c>
      <c r="U790" s="20" t="s">
        <v>89</v>
      </c>
      <c r="V790" s="20" t="s">
        <v>90</v>
      </c>
      <c r="W790" s="21"/>
    </row>
    <row r="791" customFormat="false" ht="15" hidden="false" customHeight="false" outlineLevel="0" collapsed="false">
      <c r="A791" s="20" t="n">
        <v>790</v>
      </c>
      <c r="B791" s="20" t="s">
        <v>3046</v>
      </c>
      <c r="C791" s="20" t="s">
        <v>5</v>
      </c>
      <c r="D791" s="20" t="s">
        <v>3047</v>
      </c>
      <c r="E791" s="20" t="s">
        <v>30</v>
      </c>
      <c r="F791" s="20" t="s">
        <v>1503</v>
      </c>
      <c r="G791" s="21" t="s">
        <v>3048</v>
      </c>
      <c r="H791" s="20" t="s">
        <v>3049</v>
      </c>
      <c r="I791" s="20"/>
      <c r="J791" s="20"/>
      <c r="K791" s="22"/>
      <c r="L791" s="23"/>
      <c r="M791" s="20" t="s">
        <v>100</v>
      </c>
      <c r="N791" s="24"/>
      <c r="O791" s="24"/>
      <c r="P791" s="20" t="s">
        <v>101</v>
      </c>
      <c r="Q791" s="20" t="s">
        <v>86</v>
      </c>
      <c r="R791" s="20" t="s">
        <v>86</v>
      </c>
      <c r="S791" s="20" t="s">
        <v>102</v>
      </c>
      <c r="T791" s="26" t="s">
        <v>103</v>
      </c>
      <c r="U791" s="20" t="s">
        <v>104</v>
      </c>
      <c r="V791" s="20" t="s">
        <v>138</v>
      </c>
      <c r="W791" s="21" t="s">
        <v>299</v>
      </c>
    </row>
    <row r="792" customFormat="false" ht="15" hidden="false" customHeight="false" outlineLevel="0" collapsed="false">
      <c r="A792" s="20" t="n">
        <v>791</v>
      </c>
      <c r="B792" s="20" t="s">
        <v>3050</v>
      </c>
      <c r="C792" s="20" t="s">
        <v>5</v>
      </c>
      <c r="D792" s="20" t="s">
        <v>3051</v>
      </c>
      <c r="E792" s="20" t="s">
        <v>30</v>
      </c>
      <c r="F792" s="20" t="s">
        <v>1479</v>
      </c>
      <c r="G792" s="21" t="s">
        <v>3051</v>
      </c>
      <c r="H792" s="20" t="s">
        <v>3052</v>
      </c>
      <c r="I792" s="20"/>
      <c r="J792" s="20"/>
      <c r="K792" s="22"/>
      <c r="L792" s="23"/>
      <c r="M792" s="20" t="s">
        <v>100</v>
      </c>
      <c r="N792" s="24" t="n">
        <v>6.57273</v>
      </c>
      <c r="O792" s="24" t="n">
        <v>3.36411</v>
      </c>
      <c r="P792" s="20" t="s">
        <v>85</v>
      </c>
      <c r="Q792" s="20" t="s">
        <v>86</v>
      </c>
      <c r="R792" s="20" t="s">
        <v>86</v>
      </c>
      <c r="S792" s="20" t="s">
        <v>87</v>
      </c>
      <c r="T792" s="26" t="s">
        <v>103</v>
      </c>
      <c r="U792" s="20" t="s">
        <v>104</v>
      </c>
      <c r="V792" s="20" t="s">
        <v>90</v>
      </c>
      <c r="W792" s="21"/>
    </row>
    <row r="793" customFormat="false" ht="15" hidden="false" customHeight="false" outlineLevel="0" collapsed="false">
      <c r="A793" s="20" t="n">
        <v>792</v>
      </c>
      <c r="B793" s="20" t="s">
        <v>3053</v>
      </c>
      <c r="C793" s="20" t="s">
        <v>5</v>
      </c>
      <c r="D793" s="20" t="s">
        <v>3054</v>
      </c>
      <c r="E793" s="20" t="s">
        <v>30</v>
      </c>
      <c r="F793" s="20" t="s">
        <v>1322</v>
      </c>
      <c r="G793" s="21" t="s">
        <v>3054</v>
      </c>
      <c r="H793" s="20" t="s">
        <v>3055</v>
      </c>
      <c r="I793" s="20"/>
      <c r="J793" s="20"/>
      <c r="K793" s="22" t="n">
        <v>4.9</v>
      </c>
      <c r="L793" s="23" t="n">
        <v>8</v>
      </c>
      <c r="M793" s="20" t="s">
        <v>100</v>
      </c>
      <c r="N793" s="24" t="n">
        <v>6.57004</v>
      </c>
      <c r="O793" s="24" t="n">
        <v>3.36364</v>
      </c>
      <c r="P793" s="20" t="s">
        <v>85</v>
      </c>
      <c r="Q793" s="20" t="s">
        <v>86</v>
      </c>
      <c r="R793" s="20" t="s">
        <v>86</v>
      </c>
      <c r="S793" s="20" t="s">
        <v>87</v>
      </c>
      <c r="T793" s="26" t="s">
        <v>103</v>
      </c>
      <c r="U793" s="20" t="s">
        <v>104</v>
      </c>
      <c r="V793" s="20" t="s">
        <v>90</v>
      </c>
      <c r="W793" s="21"/>
    </row>
    <row r="794" customFormat="false" ht="15" hidden="false" customHeight="false" outlineLevel="0" collapsed="false">
      <c r="A794" s="20" t="n">
        <v>793</v>
      </c>
      <c r="B794" s="20" t="s">
        <v>3056</v>
      </c>
      <c r="C794" s="20" t="s">
        <v>5</v>
      </c>
      <c r="D794" s="20" t="s">
        <v>3057</v>
      </c>
      <c r="E794" s="20" t="s">
        <v>30</v>
      </c>
      <c r="F794" s="20" t="s">
        <v>3058</v>
      </c>
      <c r="G794" s="21" t="s">
        <v>3057</v>
      </c>
      <c r="H794" s="20"/>
      <c r="I794" s="20"/>
      <c r="J794" s="20"/>
      <c r="K794" s="22" t="n">
        <v>4.5</v>
      </c>
      <c r="L794" s="23" t="n">
        <v>8</v>
      </c>
      <c r="M794" s="20" t="s">
        <v>84</v>
      </c>
      <c r="N794" s="24" t="n">
        <v>6.57387</v>
      </c>
      <c r="O794" s="24" t="n">
        <v>3.37254</v>
      </c>
      <c r="P794" s="20" t="s">
        <v>85</v>
      </c>
      <c r="Q794" s="20" t="s">
        <v>86</v>
      </c>
      <c r="R794" s="20" t="s">
        <v>86</v>
      </c>
      <c r="S794" s="20" t="s">
        <v>87</v>
      </c>
      <c r="T794" s="25" t="s">
        <v>88</v>
      </c>
      <c r="U794" s="20" t="s">
        <v>89</v>
      </c>
      <c r="V794" s="20" t="s">
        <v>90</v>
      </c>
      <c r="W794" s="21"/>
    </row>
    <row r="795" customFormat="false" ht="15" hidden="false" customHeight="false" outlineLevel="0" collapsed="false">
      <c r="A795" s="20" t="n">
        <v>794</v>
      </c>
      <c r="B795" s="20" t="s">
        <v>3059</v>
      </c>
      <c r="C795" s="20" t="s">
        <v>5</v>
      </c>
      <c r="D795" s="20" t="s">
        <v>3060</v>
      </c>
      <c r="E795" s="20" t="s">
        <v>30</v>
      </c>
      <c r="F795" s="20" t="s">
        <v>3061</v>
      </c>
      <c r="G795" s="21" t="s">
        <v>3062</v>
      </c>
      <c r="H795" s="20" t="s">
        <v>3063</v>
      </c>
      <c r="I795" s="20"/>
      <c r="J795" s="20"/>
      <c r="K795" s="22"/>
      <c r="L795" s="23"/>
      <c r="M795" s="20" t="s">
        <v>100</v>
      </c>
      <c r="N795" s="24"/>
      <c r="O795" s="24"/>
      <c r="P795" s="20" t="s">
        <v>101</v>
      </c>
      <c r="Q795" s="20" t="s">
        <v>86</v>
      </c>
      <c r="R795" s="20" t="s">
        <v>86</v>
      </c>
      <c r="S795" s="20" t="s">
        <v>102</v>
      </c>
      <c r="T795" s="26" t="s">
        <v>103</v>
      </c>
      <c r="U795" s="20" t="s">
        <v>104</v>
      </c>
      <c r="V795" s="20" t="s">
        <v>138</v>
      </c>
      <c r="W795" s="21" t="s">
        <v>181</v>
      </c>
    </row>
    <row r="796" customFormat="false" ht="15" hidden="false" customHeight="false" outlineLevel="0" collapsed="false">
      <c r="A796" s="20" t="n">
        <v>795</v>
      </c>
      <c r="B796" s="20" t="s">
        <v>3064</v>
      </c>
      <c r="C796" s="20" t="s">
        <v>5</v>
      </c>
      <c r="D796" s="20" t="s">
        <v>3065</v>
      </c>
      <c r="E796" s="20" t="s">
        <v>30</v>
      </c>
      <c r="F796" s="20" t="s">
        <v>3014</v>
      </c>
      <c r="G796" s="21" t="s">
        <v>3066</v>
      </c>
      <c r="H796" s="20"/>
      <c r="I796" s="20"/>
      <c r="J796" s="20"/>
      <c r="K796" s="22"/>
      <c r="L796" s="23"/>
      <c r="M796" s="20" t="s">
        <v>84</v>
      </c>
      <c r="N796" s="24" t="n">
        <v>6.57416</v>
      </c>
      <c r="O796" s="24" t="n">
        <v>3.36314</v>
      </c>
      <c r="P796" s="20" t="s">
        <v>85</v>
      </c>
      <c r="Q796" s="20" t="s">
        <v>86</v>
      </c>
      <c r="R796" s="20" t="s">
        <v>86</v>
      </c>
      <c r="S796" s="20" t="s">
        <v>87</v>
      </c>
      <c r="T796" s="25" t="s">
        <v>88</v>
      </c>
      <c r="U796" s="20" t="s">
        <v>89</v>
      </c>
      <c r="V796" s="20" t="s">
        <v>90</v>
      </c>
      <c r="W796" s="21"/>
    </row>
    <row r="797" customFormat="false" ht="15" hidden="false" customHeight="false" outlineLevel="0" collapsed="false">
      <c r="A797" s="20" t="n">
        <v>796</v>
      </c>
      <c r="B797" s="20" t="s">
        <v>3067</v>
      </c>
      <c r="C797" s="20" t="s">
        <v>5</v>
      </c>
      <c r="D797" s="20"/>
      <c r="E797" s="20" t="s">
        <v>30</v>
      </c>
      <c r="F797" s="20"/>
      <c r="G797" s="21"/>
      <c r="H797" s="20" t="s">
        <v>3068</v>
      </c>
      <c r="I797" s="20"/>
      <c r="J797" s="20"/>
      <c r="K797" s="22"/>
      <c r="L797" s="23"/>
      <c r="M797" s="20" t="s">
        <v>100</v>
      </c>
      <c r="N797" s="24" t="n">
        <v>6.56925</v>
      </c>
      <c r="O797" s="24" t="n">
        <v>3.37932</v>
      </c>
      <c r="P797" s="20" t="s">
        <v>85</v>
      </c>
      <c r="Q797" s="20" t="s">
        <v>86</v>
      </c>
      <c r="R797" s="20" t="s">
        <v>86</v>
      </c>
      <c r="S797" s="20" t="s">
        <v>87</v>
      </c>
      <c r="T797" s="26" t="s">
        <v>103</v>
      </c>
      <c r="U797" s="20" t="s">
        <v>104</v>
      </c>
      <c r="V797" s="20" t="s">
        <v>90</v>
      </c>
      <c r="W797" s="21"/>
    </row>
    <row r="798" customFormat="false" ht="15" hidden="false" customHeight="false" outlineLevel="0" collapsed="false">
      <c r="A798" s="20" t="n">
        <v>797</v>
      </c>
      <c r="B798" s="20" t="s">
        <v>3069</v>
      </c>
      <c r="C798" s="20" t="s">
        <v>5</v>
      </c>
      <c r="D798" s="20" t="s">
        <v>3070</v>
      </c>
      <c r="E798" s="20" t="s">
        <v>30</v>
      </c>
      <c r="F798" s="20" t="s">
        <v>1377</v>
      </c>
      <c r="G798" s="21" t="s">
        <v>3070</v>
      </c>
      <c r="H798" s="20" t="s">
        <v>3071</v>
      </c>
      <c r="I798" s="20"/>
      <c r="J798" s="20"/>
      <c r="K798" s="22"/>
      <c r="L798" s="23"/>
      <c r="M798" s="20" t="s">
        <v>100</v>
      </c>
      <c r="N798" s="24" t="n">
        <v>6.57207</v>
      </c>
      <c r="O798" s="24" t="n">
        <v>3.37265</v>
      </c>
      <c r="P798" s="20" t="s">
        <v>85</v>
      </c>
      <c r="Q798" s="20" t="s">
        <v>86</v>
      </c>
      <c r="R798" s="20" t="s">
        <v>86</v>
      </c>
      <c r="S798" s="20" t="s">
        <v>87</v>
      </c>
      <c r="T798" s="26" t="s">
        <v>103</v>
      </c>
      <c r="U798" s="20" t="s">
        <v>104</v>
      </c>
      <c r="V798" s="20" t="s">
        <v>90</v>
      </c>
      <c r="W798" s="21"/>
    </row>
    <row r="799" customFormat="false" ht="15" hidden="false" customHeight="false" outlineLevel="0" collapsed="false">
      <c r="A799" s="20" t="n">
        <v>798</v>
      </c>
      <c r="B799" s="20" t="s">
        <v>3072</v>
      </c>
      <c r="C799" s="20" t="s">
        <v>5</v>
      </c>
      <c r="D799" s="20" t="s">
        <v>3073</v>
      </c>
      <c r="E799" s="20" t="s">
        <v>30</v>
      </c>
      <c r="F799" s="20" t="s">
        <v>1479</v>
      </c>
      <c r="G799" s="21" t="s">
        <v>3074</v>
      </c>
      <c r="H799" s="20" t="s">
        <v>3075</v>
      </c>
      <c r="I799" s="20"/>
      <c r="J799" s="20"/>
      <c r="K799" s="22" t="n">
        <v>4.8</v>
      </c>
      <c r="L799" s="23" t="n">
        <v>13</v>
      </c>
      <c r="M799" s="20" t="s">
        <v>100</v>
      </c>
      <c r="N799" s="24" t="n">
        <v>6.56928</v>
      </c>
      <c r="O799" s="24" t="n">
        <v>3.37384</v>
      </c>
      <c r="P799" s="20" t="s">
        <v>85</v>
      </c>
      <c r="Q799" s="20" t="s">
        <v>86</v>
      </c>
      <c r="R799" s="20" t="s">
        <v>86</v>
      </c>
      <c r="S799" s="20" t="s">
        <v>87</v>
      </c>
      <c r="T799" s="27" t="s">
        <v>117</v>
      </c>
      <c r="U799" s="20" t="s">
        <v>118</v>
      </c>
      <c r="V799" s="20" t="s">
        <v>90</v>
      </c>
      <c r="W799" s="21"/>
    </row>
    <row r="800" customFormat="false" ht="23.85" hidden="false" customHeight="false" outlineLevel="0" collapsed="false">
      <c r="A800" s="20" t="n">
        <v>799</v>
      </c>
      <c r="B800" s="20" t="s">
        <v>3076</v>
      </c>
      <c r="C800" s="20" t="s">
        <v>5</v>
      </c>
      <c r="D800" s="20" t="s">
        <v>3077</v>
      </c>
      <c r="E800" s="20" t="s">
        <v>30</v>
      </c>
      <c r="F800" s="20" t="s">
        <v>3021</v>
      </c>
      <c r="G800" s="21" t="s">
        <v>3078</v>
      </c>
      <c r="H800" s="20" t="s">
        <v>3079</v>
      </c>
      <c r="I800" s="20"/>
      <c r="J800" s="20"/>
      <c r="K800" s="22"/>
      <c r="L800" s="23"/>
      <c r="M800" s="20" t="s">
        <v>100</v>
      </c>
      <c r="N800" s="24"/>
      <c r="O800" s="24"/>
      <c r="P800" s="20" t="s">
        <v>101</v>
      </c>
      <c r="Q800" s="20" t="s">
        <v>86</v>
      </c>
      <c r="R800" s="20" t="s">
        <v>86</v>
      </c>
      <c r="S800" s="20" t="s">
        <v>102</v>
      </c>
      <c r="T800" s="26" t="s">
        <v>103</v>
      </c>
      <c r="U800" s="20" t="s">
        <v>104</v>
      </c>
      <c r="V800" s="20" t="s">
        <v>138</v>
      </c>
      <c r="W800" s="21" t="s">
        <v>181</v>
      </c>
    </row>
    <row r="801" customFormat="false" ht="15" hidden="false" customHeight="false" outlineLevel="0" collapsed="false">
      <c r="A801" s="20" t="n">
        <v>800</v>
      </c>
      <c r="B801" s="20" t="s">
        <v>3080</v>
      </c>
      <c r="C801" s="20" t="s">
        <v>5</v>
      </c>
      <c r="D801" s="20" t="s">
        <v>3081</v>
      </c>
      <c r="E801" s="20" t="s">
        <v>30</v>
      </c>
      <c r="F801" s="20" t="s">
        <v>1377</v>
      </c>
      <c r="G801" s="21" t="s">
        <v>3081</v>
      </c>
      <c r="H801" s="20" t="s">
        <v>3082</v>
      </c>
      <c r="I801" s="20"/>
      <c r="J801" s="20"/>
      <c r="K801" s="22"/>
      <c r="L801" s="23"/>
      <c r="M801" s="20" t="s">
        <v>100</v>
      </c>
      <c r="N801" s="24" t="n">
        <v>6.57199</v>
      </c>
      <c r="O801" s="24" t="n">
        <v>3.36278</v>
      </c>
      <c r="P801" s="20" t="s">
        <v>85</v>
      </c>
      <c r="Q801" s="20" t="s">
        <v>86</v>
      </c>
      <c r="R801" s="20" t="s">
        <v>86</v>
      </c>
      <c r="S801" s="20" t="s">
        <v>87</v>
      </c>
      <c r="T801" s="26" t="s">
        <v>103</v>
      </c>
      <c r="U801" s="20" t="s">
        <v>104</v>
      </c>
      <c r="V801" s="20" t="s">
        <v>90</v>
      </c>
      <c r="W801" s="21"/>
    </row>
    <row r="802" customFormat="false" ht="15" hidden="false" customHeight="false" outlineLevel="0" collapsed="false">
      <c r="A802" s="20" t="n">
        <v>801</v>
      </c>
      <c r="B802" s="20" t="s">
        <v>3083</v>
      </c>
      <c r="C802" s="20" t="s">
        <v>5</v>
      </c>
      <c r="D802" s="20" t="s">
        <v>3084</v>
      </c>
      <c r="E802" s="20" t="s">
        <v>30</v>
      </c>
      <c r="F802" s="20" t="s">
        <v>3085</v>
      </c>
      <c r="G802" s="21" t="s">
        <v>3086</v>
      </c>
      <c r="H802" s="20" t="s">
        <v>3087</v>
      </c>
      <c r="I802" s="20"/>
      <c r="J802" s="20"/>
      <c r="K802" s="22"/>
      <c r="L802" s="23"/>
      <c r="M802" s="20" t="s">
        <v>100</v>
      </c>
      <c r="N802" s="24"/>
      <c r="O802" s="24"/>
      <c r="P802" s="20" t="s">
        <v>101</v>
      </c>
      <c r="Q802" s="20" t="s">
        <v>86</v>
      </c>
      <c r="R802" s="20" t="s">
        <v>86</v>
      </c>
      <c r="S802" s="20" t="s">
        <v>102</v>
      </c>
      <c r="T802" s="26" t="s">
        <v>103</v>
      </c>
      <c r="U802" s="20" t="s">
        <v>104</v>
      </c>
      <c r="V802" s="20" t="s">
        <v>138</v>
      </c>
      <c r="W802" s="21" t="s">
        <v>181</v>
      </c>
    </row>
    <row r="803" customFormat="false" ht="15" hidden="false" customHeight="false" outlineLevel="0" collapsed="false">
      <c r="A803" s="20" t="n">
        <v>802</v>
      </c>
      <c r="B803" s="20" t="s">
        <v>3088</v>
      </c>
      <c r="C803" s="20" t="s">
        <v>5</v>
      </c>
      <c r="D803" s="20" t="s">
        <v>3089</v>
      </c>
      <c r="E803" s="20" t="s">
        <v>30</v>
      </c>
      <c r="F803" s="20" t="s">
        <v>1503</v>
      </c>
      <c r="G803" s="21" t="s">
        <v>3089</v>
      </c>
      <c r="H803" s="20" t="s">
        <v>3090</v>
      </c>
      <c r="I803" s="20"/>
      <c r="J803" s="20"/>
      <c r="K803" s="22"/>
      <c r="L803" s="23"/>
      <c r="M803" s="20" t="s">
        <v>100</v>
      </c>
      <c r="N803" s="24" t="n">
        <v>6.57795</v>
      </c>
      <c r="O803" s="24" t="n">
        <v>3.36824</v>
      </c>
      <c r="P803" s="20" t="s">
        <v>85</v>
      </c>
      <c r="Q803" s="20" t="s">
        <v>86</v>
      </c>
      <c r="R803" s="20" t="s">
        <v>86</v>
      </c>
      <c r="S803" s="20" t="s">
        <v>87</v>
      </c>
      <c r="T803" s="26" t="s">
        <v>103</v>
      </c>
      <c r="U803" s="20" t="s">
        <v>104</v>
      </c>
      <c r="V803" s="20" t="s">
        <v>90</v>
      </c>
      <c r="W803" s="21"/>
    </row>
    <row r="804" customFormat="false" ht="15" hidden="false" customHeight="false" outlineLevel="0" collapsed="false">
      <c r="A804" s="20" t="n">
        <v>803</v>
      </c>
      <c r="B804" s="20" t="s">
        <v>3091</v>
      </c>
      <c r="C804" s="20" t="s">
        <v>5</v>
      </c>
      <c r="D804" s="20" t="s">
        <v>3092</v>
      </c>
      <c r="E804" s="20" t="s">
        <v>30</v>
      </c>
      <c r="F804" s="20" t="s">
        <v>1322</v>
      </c>
      <c r="G804" s="21" t="s">
        <v>3093</v>
      </c>
      <c r="H804" s="20" t="s">
        <v>3094</v>
      </c>
      <c r="I804" s="20"/>
      <c r="J804" s="20"/>
      <c r="K804" s="22" t="n">
        <v>5</v>
      </c>
      <c r="L804" s="23" t="n">
        <v>1</v>
      </c>
      <c r="M804" s="20" t="s">
        <v>100</v>
      </c>
      <c r="N804" s="24" t="n">
        <v>6.57169</v>
      </c>
      <c r="O804" s="24" t="n">
        <v>3.37543</v>
      </c>
      <c r="P804" s="20" t="s">
        <v>85</v>
      </c>
      <c r="Q804" s="20" t="s">
        <v>86</v>
      </c>
      <c r="R804" s="20" t="s">
        <v>86</v>
      </c>
      <c r="S804" s="20" t="s">
        <v>87</v>
      </c>
      <c r="T804" s="26" t="s">
        <v>103</v>
      </c>
      <c r="U804" s="20" t="s">
        <v>104</v>
      </c>
      <c r="V804" s="20" t="s">
        <v>90</v>
      </c>
      <c r="W804" s="21"/>
    </row>
    <row r="805" customFormat="false" ht="15" hidden="false" customHeight="false" outlineLevel="0" collapsed="false">
      <c r="A805" s="20" t="n">
        <v>804</v>
      </c>
      <c r="B805" s="20" t="s">
        <v>3095</v>
      </c>
      <c r="C805" s="20" t="s">
        <v>5</v>
      </c>
      <c r="D805" s="20" t="s">
        <v>2451</v>
      </c>
      <c r="E805" s="20" t="s">
        <v>30</v>
      </c>
      <c r="F805" s="20" t="s">
        <v>1322</v>
      </c>
      <c r="G805" s="21" t="s">
        <v>2451</v>
      </c>
      <c r="H805" s="20" t="s">
        <v>3096</v>
      </c>
      <c r="I805" s="20"/>
      <c r="J805" s="20"/>
      <c r="K805" s="22"/>
      <c r="L805" s="23"/>
      <c r="M805" s="20" t="s">
        <v>100</v>
      </c>
      <c r="N805" s="24" t="n">
        <v>6.57548</v>
      </c>
      <c r="O805" s="24" t="n">
        <v>3.37425</v>
      </c>
      <c r="P805" s="20" t="s">
        <v>85</v>
      </c>
      <c r="Q805" s="20" t="s">
        <v>86</v>
      </c>
      <c r="R805" s="20" t="s">
        <v>86</v>
      </c>
      <c r="S805" s="20" t="s">
        <v>87</v>
      </c>
      <c r="T805" s="26" t="s">
        <v>103</v>
      </c>
      <c r="U805" s="20" t="s">
        <v>104</v>
      </c>
      <c r="V805" s="20" t="s">
        <v>90</v>
      </c>
      <c r="W805" s="21"/>
    </row>
    <row r="806" customFormat="false" ht="15" hidden="false" customHeight="false" outlineLevel="0" collapsed="false">
      <c r="A806" s="20" t="n">
        <v>805</v>
      </c>
      <c r="B806" s="20" t="s">
        <v>3097</v>
      </c>
      <c r="C806" s="20" t="s">
        <v>5</v>
      </c>
      <c r="D806" s="20" t="s">
        <v>3098</v>
      </c>
      <c r="E806" s="20" t="s">
        <v>30</v>
      </c>
      <c r="F806" s="20" t="s">
        <v>1322</v>
      </c>
      <c r="G806" s="21" t="s">
        <v>3098</v>
      </c>
      <c r="H806" s="20" t="s">
        <v>3099</v>
      </c>
      <c r="I806" s="20"/>
      <c r="J806" s="20"/>
      <c r="K806" s="22" t="n">
        <v>4</v>
      </c>
      <c r="L806" s="23" t="n">
        <v>1</v>
      </c>
      <c r="M806" s="20" t="s">
        <v>100</v>
      </c>
      <c r="N806" s="24" t="n">
        <v>6.57366</v>
      </c>
      <c r="O806" s="24" t="n">
        <v>3.36822</v>
      </c>
      <c r="P806" s="20" t="s">
        <v>85</v>
      </c>
      <c r="Q806" s="20" t="s">
        <v>86</v>
      </c>
      <c r="R806" s="20" t="s">
        <v>86</v>
      </c>
      <c r="S806" s="20" t="s">
        <v>87</v>
      </c>
      <c r="T806" s="26" t="s">
        <v>103</v>
      </c>
      <c r="U806" s="20" t="s">
        <v>104</v>
      </c>
      <c r="V806" s="20" t="s">
        <v>90</v>
      </c>
      <c r="W806" s="21"/>
    </row>
    <row r="807" customFormat="false" ht="15" hidden="false" customHeight="false" outlineLevel="0" collapsed="false">
      <c r="A807" s="20" t="n">
        <v>806</v>
      </c>
      <c r="B807" s="20" t="s">
        <v>3100</v>
      </c>
      <c r="C807" s="20" t="s">
        <v>5</v>
      </c>
      <c r="D807" s="20" t="s">
        <v>2490</v>
      </c>
      <c r="E807" s="20" t="s">
        <v>30</v>
      </c>
      <c r="F807" s="20" t="s">
        <v>1479</v>
      </c>
      <c r="G807" s="21" t="s">
        <v>3101</v>
      </c>
      <c r="H807" s="20" t="s">
        <v>3102</v>
      </c>
      <c r="I807" s="20"/>
      <c r="J807" s="20"/>
      <c r="K807" s="22" t="n">
        <v>5</v>
      </c>
      <c r="L807" s="23" t="n">
        <v>8</v>
      </c>
      <c r="M807" s="20" t="s">
        <v>100</v>
      </c>
      <c r="N807" s="24" t="n">
        <v>6.56905</v>
      </c>
      <c r="O807" s="24" t="n">
        <v>3.36474</v>
      </c>
      <c r="P807" s="20" t="s">
        <v>85</v>
      </c>
      <c r="Q807" s="20" t="s">
        <v>86</v>
      </c>
      <c r="R807" s="20" t="s">
        <v>86</v>
      </c>
      <c r="S807" s="20" t="s">
        <v>87</v>
      </c>
      <c r="T807" s="26" t="s">
        <v>103</v>
      </c>
      <c r="U807" s="20" t="s">
        <v>104</v>
      </c>
      <c r="V807" s="20" t="s">
        <v>90</v>
      </c>
      <c r="W807" s="21"/>
    </row>
    <row r="808" customFormat="false" ht="15" hidden="false" customHeight="false" outlineLevel="0" collapsed="false">
      <c r="A808" s="20" t="n">
        <v>807</v>
      </c>
      <c r="B808" s="20" t="s">
        <v>3103</v>
      </c>
      <c r="C808" s="20" t="s">
        <v>5</v>
      </c>
      <c r="D808" s="20" t="s">
        <v>3104</v>
      </c>
      <c r="E808" s="20" t="s">
        <v>30</v>
      </c>
      <c r="F808" s="20" t="s">
        <v>1322</v>
      </c>
      <c r="G808" s="21" t="s">
        <v>3104</v>
      </c>
      <c r="H808" s="20" t="s">
        <v>3105</v>
      </c>
      <c r="I808" s="20"/>
      <c r="J808" s="20"/>
      <c r="K808" s="22"/>
      <c r="L808" s="23"/>
      <c r="M808" s="20" t="s">
        <v>100</v>
      </c>
      <c r="N808" s="24" t="n">
        <v>6.57479</v>
      </c>
      <c r="O808" s="24" t="n">
        <v>3.3697</v>
      </c>
      <c r="P808" s="20" t="s">
        <v>85</v>
      </c>
      <c r="Q808" s="20" t="s">
        <v>86</v>
      </c>
      <c r="R808" s="20" t="s">
        <v>86</v>
      </c>
      <c r="S808" s="20" t="s">
        <v>87</v>
      </c>
      <c r="T808" s="26" t="s">
        <v>103</v>
      </c>
      <c r="U808" s="20" t="s">
        <v>104</v>
      </c>
      <c r="V808" s="20" t="s">
        <v>90</v>
      </c>
      <c r="W808" s="21"/>
    </row>
    <row r="809" customFormat="false" ht="15" hidden="false" customHeight="false" outlineLevel="0" collapsed="false">
      <c r="A809" s="20" t="n">
        <v>808</v>
      </c>
      <c r="B809" s="20" t="s">
        <v>3106</v>
      </c>
      <c r="C809" s="20" t="s">
        <v>5</v>
      </c>
      <c r="D809" s="20" t="s">
        <v>3107</v>
      </c>
      <c r="E809" s="20" t="s">
        <v>30</v>
      </c>
      <c r="F809" s="20" t="s">
        <v>1479</v>
      </c>
      <c r="G809" s="21" t="s">
        <v>3108</v>
      </c>
      <c r="H809" s="20" t="s">
        <v>3109</v>
      </c>
      <c r="I809" s="20"/>
      <c r="J809" s="20"/>
      <c r="K809" s="22" t="n">
        <v>5</v>
      </c>
      <c r="L809" s="23" t="n">
        <v>3</v>
      </c>
      <c r="M809" s="20" t="s">
        <v>100</v>
      </c>
      <c r="N809" s="24" t="n">
        <v>6.5719</v>
      </c>
      <c r="O809" s="24" t="n">
        <v>3.36347</v>
      </c>
      <c r="P809" s="20" t="s">
        <v>85</v>
      </c>
      <c r="Q809" s="20" t="s">
        <v>86</v>
      </c>
      <c r="R809" s="20" t="s">
        <v>86</v>
      </c>
      <c r="S809" s="20" t="s">
        <v>87</v>
      </c>
      <c r="T809" s="26" t="s">
        <v>103</v>
      </c>
      <c r="U809" s="20" t="s">
        <v>104</v>
      </c>
      <c r="V809" s="20" t="s">
        <v>90</v>
      </c>
      <c r="W809" s="21"/>
    </row>
    <row r="810" customFormat="false" ht="15" hidden="false" customHeight="false" outlineLevel="0" collapsed="false">
      <c r="A810" s="20" t="n">
        <v>809</v>
      </c>
      <c r="B810" s="20" t="s">
        <v>3110</v>
      </c>
      <c r="C810" s="20" t="s">
        <v>5</v>
      </c>
      <c r="D810" s="20" t="s">
        <v>3111</v>
      </c>
      <c r="E810" s="20" t="s">
        <v>30</v>
      </c>
      <c r="F810" s="20" t="s">
        <v>1479</v>
      </c>
      <c r="G810" s="21" t="s">
        <v>3112</v>
      </c>
      <c r="H810" s="20"/>
      <c r="I810" s="20"/>
      <c r="J810" s="20"/>
      <c r="K810" s="22"/>
      <c r="L810" s="23"/>
      <c r="M810" s="20" t="s">
        <v>84</v>
      </c>
      <c r="N810" s="24" t="n">
        <v>6.56547</v>
      </c>
      <c r="O810" s="24" t="n">
        <v>3.37258</v>
      </c>
      <c r="P810" s="20" t="s">
        <v>85</v>
      </c>
      <c r="Q810" s="20" t="s">
        <v>86</v>
      </c>
      <c r="R810" s="20" t="s">
        <v>86</v>
      </c>
      <c r="S810" s="20" t="s">
        <v>87</v>
      </c>
      <c r="T810" s="25" t="s">
        <v>88</v>
      </c>
      <c r="U810" s="20" t="s">
        <v>89</v>
      </c>
      <c r="V810" s="20" t="s">
        <v>90</v>
      </c>
      <c r="W810" s="21"/>
    </row>
    <row r="811" customFormat="false" ht="15" hidden="false" customHeight="false" outlineLevel="0" collapsed="false">
      <c r="A811" s="20" t="n">
        <v>810</v>
      </c>
      <c r="B811" s="20" t="s">
        <v>3113</v>
      </c>
      <c r="C811" s="20" t="s">
        <v>5</v>
      </c>
      <c r="D811" s="20" t="s">
        <v>3114</v>
      </c>
      <c r="E811" s="20" t="s">
        <v>30</v>
      </c>
      <c r="F811" s="20" t="s">
        <v>1479</v>
      </c>
      <c r="G811" s="21" t="s">
        <v>3114</v>
      </c>
      <c r="H811" s="20" t="s">
        <v>3115</v>
      </c>
      <c r="I811" s="20"/>
      <c r="J811" s="20"/>
      <c r="K811" s="22" t="n">
        <v>3</v>
      </c>
      <c r="L811" s="23" t="n">
        <v>2</v>
      </c>
      <c r="M811" s="20" t="s">
        <v>100</v>
      </c>
      <c r="N811" s="24" t="n">
        <v>6.57536</v>
      </c>
      <c r="O811" s="24" t="n">
        <v>3.36063</v>
      </c>
      <c r="P811" s="20" t="s">
        <v>85</v>
      </c>
      <c r="Q811" s="20" t="s">
        <v>86</v>
      </c>
      <c r="R811" s="20" t="s">
        <v>86</v>
      </c>
      <c r="S811" s="20" t="s">
        <v>87</v>
      </c>
      <c r="T811" s="26" t="s">
        <v>103</v>
      </c>
      <c r="U811" s="20" t="s">
        <v>104</v>
      </c>
      <c r="V811" s="20" t="s">
        <v>90</v>
      </c>
      <c r="W811" s="21"/>
    </row>
    <row r="812" customFormat="false" ht="15" hidden="false" customHeight="false" outlineLevel="0" collapsed="false">
      <c r="A812" s="20" t="n">
        <v>811</v>
      </c>
      <c r="B812" s="20" t="s">
        <v>3116</v>
      </c>
      <c r="C812" s="20" t="s">
        <v>5</v>
      </c>
      <c r="D812" s="20" t="s">
        <v>3117</v>
      </c>
      <c r="E812" s="20" t="s">
        <v>31</v>
      </c>
      <c r="F812" s="20" t="s">
        <v>3118</v>
      </c>
      <c r="G812" s="21" t="s">
        <v>3117</v>
      </c>
      <c r="H812" s="20" t="s">
        <v>3119</v>
      </c>
      <c r="I812" s="20"/>
      <c r="J812" s="20"/>
      <c r="K812" s="22" t="n">
        <v>3.9</v>
      </c>
      <c r="L812" s="23" t="n">
        <v>79</v>
      </c>
      <c r="M812" s="20" t="s">
        <v>100</v>
      </c>
      <c r="N812" s="24" t="n">
        <v>6.569</v>
      </c>
      <c r="O812" s="24" t="n">
        <v>3.37891</v>
      </c>
      <c r="P812" s="20" t="s">
        <v>85</v>
      </c>
      <c r="Q812" s="20" t="s">
        <v>86</v>
      </c>
      <c r="R812" s="20" t="s">
        <v>86</v>
      </c>
      <c r="S812" s="20" t="s">
        <v>87</v>
      </c>
      <c r="T812" s="27" t="s">
        <v>117</v>
      </c>
      <c r="U812" s="20" t="s">
        <v>118</v>
      </c>
      <c r="V812" s="20" t="s">
        <v>90</v>
      </c>
      <c r="W812" s="21"/>
    </row>
    <row r="813" customFormat="false" ht="15" hidden="false" customHeight="false" outlineLevel="0" collapsed="false">
      <c r="A813" s="20" t="n">
        <v>812</v>
      </c>
      <c r="B813" s="20" t="s">
        <v>3120</v>
      </c>
      <c r="C813" s="20" t="s">
        <v>5</v>
      </c>
      <c r="D813" s="20" t="s">
        <v>3121</v>
      </c>
      <c r="E813" s="20" t="s">
        <v>31</v>
      </c>
      <c r="F813" s="20" t="s">
        <v>1531</v>
      </c>
      <c r="G813" s="21" t="s">
        <v>3121</v>
      </c>
      <c r="H813" s="20" t="s">
        <v>3122</v>
      </c>
      <c r="I813" s="20"/>
      <c r="J813" s="20"/>
      <c r="K813" s="22" t="n">
        <v>5</v>
      </c>
      <c r="L813" s="23" t="n">
        <v>10</v>
      </c>
      <c r="M813" s="20" t="s">
        <v>100</v>
      </c>
      <c r="N813" s="24" t="n">
        <v>6.57045</v>
      </c>
      <c r="O813" s="24" t="n">
        <v>3.37639</v>
      </c>
      <c r="P813" s="20" t="s">
        <v>85</v>
      </c>
      <c r="Q813" s="20" t="s">
        <v>86</v>
      </c>
      <c r="R813" s="20" t="s">
        <v>86</v>
      </c>
      <c r="S813" s="20" t="s">
        <v>87</v>
      </c>
      <c r="T813" s="27" t="s">
        <v>117</v>
      </c>
      <c r="U813" s="20" t="s">
        <v>118</v>
      </c>
      <c r="V813" s="20" t="s">
        <v>90</v>
      </c>
      <c r="W813" s="21"/>
    </row>
    <row r="814" customFormat="false" ht="15" hidden="false" customHeight="false" outlineLevel="0" collapsed="false">
      <c r="A814" s="20" t="n">
        <v>813</v>
      </c>
      <c r="B814" s="20" t="s">
        <v>3123</v>
      </c>
      <c r="C814" s="20" t="s">
        <v>5</v>
      </c>
      <c r="D814" s="20" t="s">
        <v>3124</v>
      </c>
      <c r="E814" s="20" t="s">
        <v>31</v>
      </c>
      <c r="F814" s="20" t="s">
        <v>1552</v>
      </c>
      <c r="G814" s="21" t="s">
        <v>3125</v>
      </c>
      <c r="H814" s="20" t="s">
        <v>3126</v>
      </c>
      <c r="I814" s="20"/>
      <c r="J814" s="20"/>
      <c r="K814" s="22" t="n">
        <v>5</v>
      </c>
      <c r="L814" s="23" t="n">
        <v>2</v>
      </c>
      <c r="M814" s="20" t="s">
        <v>100</v>
      </c>
      <c r="N814" s="24" t="n">
        <v>6.57726</v>
      </c>
      <c r="O814" s="24" t="n">
        <v>3.36877</v>
      </c>
      <c r="P814" s="20" t="s">
        <v>85</v>
      </c>
      <c r="Q814" s="20" t="s">
        <v>86</v>
      </c>
      <c r="R814" s="20" t="s">
        <v>86</v>
      </c>
      <c r="S814" s="20" t="s">
        <v>87</v>
      </c>
      <c r="T814" s="26" t="s">
        <v>103</v>
      </c>
      <c r="U814" s="20" t="s">
        <v>104</v>
      </c>
      <c r="V814" s="20" t="s">
        <v>90</v>
      </c>
      <c r="W814" s="21"/>
    </row>
    <row r="815" customFormat="false" ht="15" hidden="false" customHeight="false" outlineLevel="0" collapsed="false">
      <c r="A815" s="20" t="n">
        <v>814</v>
      </c>
      <c r="B815" s="20" t="s">
        <v>3127</v>
      </c>
      <c r="C815" s="20" t="s">
        <v>5</v>
      </c>
      <c r="D815" s="20" t="s">
        <v>3128</v>
      </c>
      <c r="E815" s="20" t="s">
        <v>31</v>
      </c>
      <c r="F815" s="20" t="s">
        <v>1552</v>
      </c>
      <c r="G815" s="21" t="s">
        <v>3128</v>
      </c>
      <c r="H815" s="20" t="s">
        <v>3129</v>
      </c>
      <c r="I815" s="20"/>
      <c r="J815" s="20"/>
      <c r="K815" s="22" t="n">
        <v>5</v>
      </c>
      <c r="L815" s="23" t="n">
        <v>1</v>
      </c>
      <c r="M815" s="20" t="s">
        <v>100</v>
      </c>
      <c r="N815" s="24" t="n">
        <v>6.57642</v>
      </c>
      <c r="O815" s="24" t="n">
        <v>3.36534</v>
      </c>
      <c r="P815" s="20" t="s">
        <v>85</v>
      </c>
      <c r="Q815" s="20" t="s">
        <v>86</v>
      </c>
      <c r="R815" s="20" t="s">
        <v>86</v>
      </c>
      <c r="S815" s="20" t="s">
        <v>87</v>
      </c>
      <c r="T815" s="26" t="s">
        <v>103</v>
      </c>
      <c r="U815" s="20" t="s">
        <v>104</v>
      </c>
      <c r="V815" s="20" t="s">
        <v>90</v>
      </c>
      <c r="W815" s="21"/>
    </row>
    <row r="816" customFormat="false" ht="15" hidden="false" customHeight="false" outlineLevel="0" collapsed="false">
      <c r="A816" s="20" t="n">
        <v>815</v>
      </c>
      <c r="B816" s="20" t="s">
        <v>3130</v>
      </c>
      <c r="C816" s="20" t="s">
        <v>5</v>
      </c>
      <c r="D816" s="20" t="s">
        <v>3131</v>
      </c>
      <c r="E816" s="20" t="s">
        <v>31</v>
      </c>
      <c r="F816" s="20" t="s">
        <v>1531</v>
      </c>
      <c r="G816" s="21" t="s">
        <v>3131</v>
      </c>
      <c r="H816" s="20" t="s">
        <v>3132</v>
      </c>
      <c r="I816" s="20"/>
      <c r="J816" s="20"/>
      <c r="K816" s="22" t="n">
        <v>4</v>
      </c>
      <c r="L816" s="23" t="n">
        <v>1</v>
      </c>
      <c r="M816" s="20" t="s">
        <v>100</v>
      </c>
      <c r="N816" s="24" t="n">
        <v>6.57839</v>
      </c>
      <c r="O816" s="24" t="n">
        <v>3.36611</v>
      </c>
      <c r="P816" s="20" t="s">
        <v>85</v>
      </c>
      <c r="Q816" s="20" t="s">
        <v>86</v>
      </c>
      <c r="R816" s="20" t="s">
        <v>86</v>
      </c>
      <c r="S816" s="20" t="s">
        <v>87</v>
      </c>
      <c r="T816" s="26" t="s">
        <v>103</v>
      </c>
      <c r="U816" s="20" t="s">
        <v>104</v>
      </c>
      <c r="V816" s="20" t="s">
        <v>90</v>
      </c>
      <c r="W816" s="21"/>
    </row>
    <row r="817" customFormat="false" ht="15" hidden="false" customHeight="false" outlineLevel="0" collapsed="false">
      <c r="A817" s="20" t="n">
        <v>816</v>
      </c>
      <c r="B817" s="20" t="s">
        <v>2922</v>
      </c>
      <c r="C817" s="20" t="s">
        <v>5</v>
      </c>
      <c r="D817" s="20" t="s">
        <v>3133</v>
      </c>
      <c r="E817" s="20" t="s">
        <v>31</v>
      </c>
      <c r="F817" s="20" t="s">
        <v>3134</v>
      </c>
      <c r="G817" s="21" t="s">
        <v>3135</v>
      </c>
      <c r="H817" s="20"/>
      <c r="I817" s="20"/>
      <c r="J817" s="20"/>
      <c r="K817" s="22" t="n">
        <v>4.3</v>
      </c>
      <c r="L817" s="23" t="n">
        <v>1055</v>
      </c>
      <c r="M817" s="20" t="s">
        <v>84</v>
      </c>
      <c r="N817" s="24" t="n">
        <v>6.5676</v>
      </c>
      <c r="O817" s="24" t="n">
        <v>3.36721</v>
      </c>
      <c r="P817" s="20" t="s">
        <v>85</v>
      </c>
      <c r="Q817" s="20" t="s">
        <v>86</v>
      </c>
      <c r="R817" s="20" t="s">
        <v>86</v>
      </c>
      <c r="S817" s="20" t="s">
        <v>87</v>
      </c>
      <c r="T817" s="25" t="s">
        <v>88</v>
      </c>
      <c r="U817" s="20" t="s">
        <v>89</v>
      </c>
      <c r="V817" s="20" t="s">
        <v>90</v>
      </c>
      <c r="W817" s="21"/>
    </row>
    <row r="818" customFormat="false" ht="15" hidden="false" customHeight="false" outlineLevel="0" collapsed="false">
      <c r="A818" s="20" t="n">
        <v>817</v>
      </c>
      <c r="B818" s="20" t="s">
        <v>3136</v>
      </c>
      <c r="C818" s="20" t="s">
        <v>5</v>
      </c>
      <c r="D818" s="20" t="s">
        <v>2922</v>
      </c>
      <c r="E818" s="20" t="s">
        <v>31</v>
      </c>
      <c r="F818" s="20" t="s">
        <v>3137</v>
      </c>
      <c r="G818" s="21" t="s">
        <v>2923</v>
      </c>
      <c r="H818" s="20"/>
      <c r="I818" s="20"/>
      <c r="J818" s="20"/>
      <c r="K818" s="22" t="n">
        <v>4.2</v>
      </c>
      <c r="L818" s="23" t="n">
        <v>7357</v>
      </c>
      <c r="M818" s="20" t="s">
        <v>84</v>
      </c>
      <c r="N818" s="24" t="n">
        <v>6.56728</v>
      </c>
      <c r="O818" s="24" t="n">
        <v>3.36735</v>
      </c>
      <c r="P818" s="20" t="s">
        <v>85</v>
      </c>
      <c r="Q818" s="20" t="s">
        <v>86</v>
      </c>
      <c r="R818" s="20" t="s">
        <v>86</v>
      </c>
      <c r="S818" s="20" t="s">
        <v>87</v>
      </c>
      <c r="T818" s="25" t="s">
        <v>88</v>
      </c>
      <c r="U818" s="20" t="s">
        <v>89</v>
      </c>
      <c r="V818" s="20" t="s">
        <v>90</v>
      </c>
      <c r="W818" s="21"/>
    </row>
    <row r="819" customFormat="false" ht="15" hidden="false" customHeight="false" outlineLevel="0" collapsed="false">
      <c r="A819" s="20" t="n">
        <v>818</v>
      </c>
      <c r="B819" s="20" t="s">
        <v>3138</v>
      </c>
      <c r="C819" s="20" t="s">
        <v>5</v>
      </c>
      <c r="D819" s="20" t="s">
        <v>3139</v>
      </c>
      <c r="E819" s="20" t="s">
        <v>31</v>
      </c>
      <c r="F819" s="20" t="s">
        <v>1522</v>
      </c>
      <c r="G819" s="21" t="s">
        <v>3140</v>
      </c>
      <c r="H819" s="20" t="s">
        <v>3141</v>
      </c>
      <c r="I819" s="20"/>
      <c r="J819" s="20"/>
      <c r="K819" s="22"/>
      <c r="L819" s="23"/>
      <c r="M819" s="20" t="s">
        <v>100</v>
      </c>
      <c r="N819" s="24" t="n">
        <v>6.5748</v>
      </c>
      <c r="O819" s="24" t="n">
        <v>3.36543</v>
      </c>
      <c r="P819" s="20" t="s">
        <v>85</v>
      </c>
      <c r="Q819" s="20" t="s">
        <v>86</v>
      </c>
      <c r="R819" s="20" t="s">
        <v>86</v>
      </c>
      <c r="S819" s="20" t="s">
        <v>87</v>
      </c>
      <c r="T819" s="26" t="s">
        <v>103</v>
      </c>
      <c r="U819" s="20" t="s">
        <v>104</v>
      </c>
      <c r="V819" s="20" t="s">
        <v>90</v>
      </c>
      <c r="W819" s="21"/>
    </row>
    <row r="820" customFormat="false" ht="15" hidden="false" customHeight="false" outlineLevel="0" collapsed="false">
      <c r="A820" s="20" t="n">
        <v>819</v>
      </c>
      <c r="B820" s="20" t="s">
        <v>3142</v>
      </c>
      <c r="C820" s="20" t="s">
        <v>5</v>
      </c>
      <c r="D820" s="20" t="s">
        <v>3131</v>
      </c>
      <c r="E820" s="20" t="s">
        <v>31</v>
      </c>
      <c r="F820" s="20" t="s">
        <v>1522</v>
      </c>
      <c r="G820" s="21" t="s">
        <v>3131</v>
      </c>
      <c r="H820" s="20" t="s">
        <v>3143</v>
      </c>
      <c r="I820" s="20"/>
      <c r="J820" s="20"/>
      <c r="K820" s="22"/>
      <c r="L820" s="23"/>
      <c r="M820" s="20" t="s">
        <v>100</v>
      </c>
      <c r="N820" s="24" t="n">
        <v>6.57774</v>
      </c>
      <c r="O820" s="24" t="n">
        <v>3.36814</v>
      </c>
      <c r="P820" s="20" t="s">
        <v>85</v>
      </c>
      <c r="Q820" s="20" t="s">
        <v>86</v>
      </c>
      <c r="R820" s="20" t="s">
        <v>86</v>
      </c>
      <c r="S820" s="20" t="s">
        <v>87</v>
      </c>
      <c r="T820" s="26" t="s">
        <v>103</v>
      </c>
      <c r="U820" s="20" t="s">
        <v>104</v>
      </c>
      <c r="V820" s="20" t="s">
        <v>90</v>
      </c>
      <c r="W820" s="21"/>
    </row>
    <row r="821" customFormat="false" ht="15" hidden="false" customHeight="false" outlineLevel="0" collapsed="false">
      <c r="A821" s="20" t="n">
        <v>820</v>
      </c>
      <c r="B821" s="20" t="s">
        <v>3144</v>
      </c>
      <c r="C821" s="20" t="s">
        <v>5</v>
      </c>
      <c r="D821" s="20" t="s">
        <v>3145</v>
      </c>
      <c r="E821" s="20" t="s">
        <v>31</v>
      </c>
      <c r="F821" s="20" t="s">
        <v>1522</v>
      </c>
      <c r="G821" s="21" t="s">
        <v>3146</v>
      </c>
      <c r="H821" s="20" t="s">
        <v>3147</v>
      </c>
      <c r="I821" s="20"/>
      <c r="J821" s="20"/>
      <c r="K821" s="22" t="n">
        <v>4.7</v>
      </c>
      <c r="L821" s="23" t="n">
        <v>18</v>
      </c>
      <c r="M821" s="20" t="s">
        <v>100</v>
      </c>
      <c r="N821" s="24" t="n">
        <v>6.57553</v>
      </c>
      <c r="O821" s="24" t="n">
        <v>3.37632</v>
      </c>
      <c r="P821" s="20" t="s">
        <v>85</v>
      </c>
      <c r="Q821" s="20" t="s">
        <v>86</v>
      </c>
      <c r="R821" s="20" t="s">
        <v>86</v>
      </c>
      <c r="S821" s="20" t="s">
        <v>87</v>
      </c>
      <c r="T821" s="27" t="s">
        <v>117</v>
      </c>
      <c r="U821" s="20" t="s">
        <v>118</v>
      </c>
      <c r="V821" s="20" t="s">
        <v>90</v>
      </c>
      <c r="W821" s="21"/>
    </row>
    <row r="822" customFormat="false" ht="15" hidden="false" customHeight="false" outlineLevel="0" collapsed="false">
      <c r="A822" s="20" t="n">
        <v>821</v>
      </c>
      <c r="B822" s="20" t="s">
        <v>3148</v>
      </c>
      <c r="C822" s="20" t="s">
        <v>5</v>
      </c>
      <c r="D822" s="20" t="s">
        <v>3149</v>
      </c>
      <c r="E822" s="20" t="s">
        <v>31</v>
      </c>
      <c r="F822" s="20" t="s">
        <v>3150</v>
      </c>
      <c r="G822" s="21" t="s">
        <v>3149</v>
      </c>
      <c r="H822" s="20" t="s">
        <v>3151</v>
      </c>
      <c r="I822" s="20"/>
      <c r="J822" s="20"/>
      <c r="K822" s="22" t="n">
        <v>5</v>
      </c>
      <c r="L822" s="23" t="n">
        <v>1</v>
      </c>
      <c r="M822" s="20" t="s">
        <v>100</v>
      </c>
      <c r="N822" s="24" t="n">
        <v>6.57767</v>
      </c>
      <c r="O822" s="24" t="n">
        <v>3.3667</v>
      </c>
      <c r="P822" s="20" t="s">
        <v>85</v>
      </c>
      <c r="Q822" s="20" t="s">
        <v>86</v>
      </c>
      <c r="R822" s="20" t="s">
        <v>86</v>
      </c>
      <c r="S822" s="20" t="s">
        <v>87</v>
      </c>
      <c r="T822" s="26" t="s">
        <v>103</v>
      </c>
      <c r="U822" s="20" t="s">
        <v>104</v>
      </c>
      <c r="V822" s="20" t="s">
        <v>90</v>
      </c>
      <c r="W822" s="21"/>
    </row>
    <row r="823" customFormat="false" ht="15" hidden="false" customHeight="false" outlineLevel="0" collapsed="false">
      <c r="A823" s="20" t="n">
        <v>822</v>
      </c>
      <c r="B823" s="20" t="s">
        <v>3152</v>
      </c>
      <c r="C823" s="20" t="s">
        <v>5</v>
      </c>
      <c r="D823" s="20"/>
      <c r="E823" s="20" t="s">
        <v>31</v>
      </c>
      <c r="F823" s="20"/>
      <c r="G823" s="21"/>
      <c r="H823" s="20"/>
      <c r="I823" s="20"/>
      <c r="J823" s="20"/>
      <c r="K823" s="22" t="n">
        <v>5</v>
      </c>
      <c r="L823" s="23" t="n">
        <v>6</v>
      </c>
      <c r="M823" s="20" t="s">
        <v>84</v>
      </c>
      <c r="N823" s="24" t="n">
        <v>6.56733</v>
      </c>
      <c r="O823" s="24" t="n">
        <v>3.36788</v>
      </c>
      <c r="P823" s="20" t="s">
        <v>85</v>
      </c>
      <c r="Q823" s="20" t="s">
        <v>86</v>
      </c>
      <c r="R823" s="20" t="s">
        <v>86</v>
      </c>
      <c r="S823" s="20" t="s">
        <v>87</v>
      </c>
      <c r="T823" s="25" t="s">
        <v>88</v>
      </c>
      <c r="U823" s="20" t="s">
        <v>89</v>
      </c>
      <c r="V823" s="20" t="s">
        <v>90</v>
      </c>
      <c r="W823" s="21"/>
    </row>
    <row r="824" customFormat="false" ht="15" hidden="false" customHeight="false" outlineLevel="0" collapsed="false">
      <c r="A824" s="20" t="n">
        <v>823</v>
      </c>
      <c r="B824" s="20" t="s">
        <v>3153</v>
      </c>
      <c r="C824" s="20" t="s">
        <v>5</v>
      </c>
      <c r="D824" s="20" t="s">
        <v>2354</v>
      </c>
      <c r="E824" s="20" t="s">
        <v>31</v>
      </c>
      <c r="F824" s="20"/>
      <c r="G824" s="21" t="s">
        <v>2354</v>
      </c>
      <c r="H824" s="20"/>
      <c r="I824" s="20"/>
      <c r="J824" s="20"/>
      <c r="K824" s="22" t="n">
        <v>4.4</v>
      </c>
      <c r="L824" s="23" t="n">
        <v>12</v>
      </c>
      <c r="M824" s="20" t="s">
        <v>84</v>
      </c>
      <c r="N824" s="24" t="n">
        <v>6.57642</v>
      </c>
      <c r="O824" s="24" t="n">
        <v>3.36534</v>
      </c>
      <c r="P824" s="20" t="s">
        <v>85</v>
      </c>
      <c r="Q824" s="20" t="s">
        <v>86</v>
      </c>
      <c r="R824" s="20" t="s">
        <v>86</v>
      </c>
      <c r="S824" s="20" t="s">
        <v>87</v>
      </c>
      <c r="T824" s="25" t="s">
        <v>88</v>
      </c>
      <c r="U824" s="20" t="s">
        <v>89</v>
      </c>
      <c r="V824" s="20" t="s">
        <v>90</v>
      </c>
      <c r="W824" s="21"/>
    </row>
    <row r="825" customFormat="false" ht="15" hidden="false" customHeight="false" outlineLevel="0" collapsed="false">
      <c r="A825" s="20" t="n">
        <v>824</v>
      </c>
      <c r="B825" s="20" t="s">
        <v>3124</v>
      </c>
      <c r="C825" s="20" t="s">
        <v>5</v>
      </c>
      <c r="D825" s="20" t="s">
        <v>3154</v>
      </c>
      <c r="E825" s="20" t="s">
        <v>31</v>
      </c>
      <c r="F825" s="20" t="s">
        <v>3118</v>
      </c>
      <c r="G825" s="21" t="s">
        <v>3154</v>
      </c>
      <c r="H825" s="20"/>
      <c r="I825" s="20"/>
      <c r="J825" s="20"/>
      <c r="K825" s="22" t="n">
        <v>4.2</v>
      </c>
      <c r="L825" s="23" t="n">
        <v>761</v>
      </c>
      <c r="M825" s="20" t="s">
        <v>84</v>
      </c>
      <c r="N825" s="24" t="n">
        <v>6.57575</v>
      </c>
      <c r="O825" s="24" t="n">
        <v>3.36597</v>
      </c>
      <c r="P825" s="20" t="s">
        <v>85</v>
      </c>
      <c r="Q825" s="20" t="s">
        <v>86</v>
      </c>
      <c r="R825" s="20" t="s">
        <v>86</v>
      </c>
      <c r="S825" s="20" t="s">
        <v>87</v>
      </c>
      <c r="T825" s="25" t="s">
        <v>88</v>
      </c>
      <c r="U825" s="20" t="s">
        <v>89</v>
      </c>
      <c r="V825" s="20" t="s">
        <v>90</v>
      </c>
      <c r="W825" s="21"/>
    </row>
    <row r="826" customFormat="false" ht="15" hidden="false" customHeight="false" outlineLevel="0" collapsed="false">
      <c r="A826" s="20" t="n">
        <v>825</v>
      </c>
      <c r="B826" s="20" t="s">
        <v>3155</v>
      </c>
      <c r="C826" s="20" t="s">
        <v>5</v>
      </c>
      <c r="D826" s="20" t="s">
        <v>3156</v>
      </c>
      <c r="E826" s="20" t="s">
        <v>31</v>
      </c>
      <c r="F826" s="20" t="s">
        <v>3118</v>
      </c>
      <c r="G826" s="21" t="s">
        <v>3157</v>
      </c>
      <c r="H826" s="20"/>
      <c r="I826" s="20"/>
      <c r="J826" s="20"/>
      <c r="K826" s="22" t="n">
        <v>4.2</v>
      </c>
      <c r="L826" s="23" t="n">
        <v>526</v>
      </c>
      <c r="M826" s="20" t="s">
        <v>84</v>
      </c>
      <c r="N826" s="24" t="n">
        <v>6.57551</v>
      </c>
      <c r="O826" s="24" t="n">
        <v>3.377</v>
      </c>
      <c r="P826" s="20" t="s">
        <v>85</v>
      </c>
      <c r="Q826" s="20" t="s">
        <v>86</v>
      </c>
      <c r="R826" s="20" t="s">
        <v>86</v>
      </c>
      <c r="S826" s="20" t="s">
        <v>87</v>
      </c>
      <c r="T826" s="25" t="s">
        <v>88</v>
      </c>
      <c r="U826" s="20" t="s">
        <v>89</v>
      </c>
      <c r="V826" s="20" t="s">
        <v>90</v>
      </c>
      <c r="W826" s="21"/>
    </row>
    <row r="827" customFormat="false" ht="15" hidden="false" customHeight="false" outlineLevel="0" collapsed="false">
      <c r="A827" s="20" t="n">
        <v>826</v>
      </c>
      <c r="B827" s="20" t="s">
        <v>3158</v>
      </c>
      <c r="C827" s="20" t="s">
        <v>5</v>
      </c>
      <c r="D827" s="20" t="s">
        <v>3159</v>
      </c>
      <c r="E827" s="20" t="s">
        <v>31</v>
      </c>
      <c r="F827" s="20" t="s">
        <v>1552</v>
      </c>
      <c r="G827" s="21" t="s">
        <v>3160</v>
      </c>
      <c r="H827" s="20" t="s">
        <v>3161</v>
      </c>
      <c r="I827" s="20"/>
      <c r="J827" s="20"/>
      <c r="K827" s="22" t="n">
        <v>5</v>
      </c>
      <c r="L827" s="23" t="n">
        <v>1</v>
      </c>
      <c r="M827" s="20" t="s">
        <v>100</v>
      </c>
      <c r="N827" s="24" t="n">
        <v>6.56734</v>
      </c>
      <c r="O827" s="24" t="n">
        <v>3.3722</v>
      </c>
      <c r="P827" s="20" t="s">
        <v>85</v>
      </c>
      <c r="Q827" s="20" t="s">
        <v>86</v>
      </c>
      <c r="R827" s="20" t="s">
        <v>86</v>
      </c>
      <c r="S827" s="20" t="s">
        <v>87</v>
      </c>
      <c r="T827" s="26" t="s">
        <v>103</v>
      </c>
      <c r="U827" s="20" t="s">
        <v>104</v>
      </c>
      <c r="V827" s="20" t="s">
        <v>90</v>
      </c>
      <c r="W827" s="21"/>
    </row>
    <row r="828" customFormat="false" ht="15" hidden="false" customHeight="false" outlineLevel="0" collapsed="false">
      <c r="A828" s="20" t="n">
        <v>827</v>
      </c>
      <c r="B828" s="20" t="s">
        <v>3162</v>
      </c>
      <c r="C828" s="20" t="s">
        <v>5</v>
      </c>
      <c r="D828" s="20" t="s">
        <v>3116</v>
      </c>
      <c r="E828" s="20" t="s">
        <v>31</v>
      </c>
      <c r="F828" s="20" t="s">
        <v>3150</v>
      </c>
      <c r="G828" s="21" t="s">
        <v>3163</v>
      </c>
      <c r="H828" s="20" t="s">
        <v>3164</v>
      </c>
      <c r="I828" s="20"/>
      <c r="J828" s="20"/>
      <c r="K828" s="22" t="n">
        <v>5</v>
      </c>
      <c r="L828" s="23" t="n">
        <v>2</v>
      </c>
      <c r="M828" s="20" t="s">
        <v>100</v>
      </c>
      <c r="N828" s="24" t="n">
        <v>6.57004</v>
      </c>
      <c r="O828" s="24" t="n">
        <v>3.37763</v>
      </c>
      <c r="P828" s="20" t="s">
        <v>85</v>
      </c>
      <c r="Q828" s="20" t="s">
        <v>86</v>
      </c>
      <c r="R828" s="20" t="s">
        <v>86</v>
      </c>
      <c r="S828" s="20" t="s">
        <v>87</v>
      </c>
      <c r="T828" s="26" t="s">
        <v>103</v>
      </c>
      <c r="U828" s="20" t="s">
        <v>104</v>
      </c>
      <c r="V828" s="20" t="s">
        <v>90</v>
      </c>
      <c r="W828" s="21"/>
    </row>
    <row r="829" customFormat="false" ht="15" hidden="false" customHeight="false" outlineLevel="0" collapsed="false">
      <c r="A829" s="20" t="n">
        <v>828</v>
      </c>
      <c r="B829" s="20" t="s">
        <v>3165</v>
      </c>
      <c r="C829" s="20" t="s">
        <v>5</v>
      </c>
      <c r="D829" s="20" t="s">
        <v>3166</v>
      </c>
      <c r="E829" s="20" t="s">
        <v>31</v>
      </c>
      <c r="F829" s="20" t="s">
        <v>1522</v>
      </c>
      <c r="G829" s="21" t="s">
        <v>3166</v>
      </c>
      <c r="H829" s="20" t="s">
        <v>3167</v>
      </c>
      <c r="I829" s="20"/>
      <c r="J829" s="20"/>
      <c r="K829" s="22"/>
      <c r="L829" s="23"/>
      <c r="M829" s="20" t="s">
        <v>100</v>
      </c>
      <c r="N829" s="24" t="n">
        <v>6.57846</v>
      </c>
      <c r="O829" s="24" t="n">
        <v>3.36616</v>
      </c>
      <c r="P829" s="20" t="s">
        <v>85</v>
      </c>
      <c r="Q829" s="20" t="s">
        <v>86</v>
      </c>
      <c r="R829" s="20" t="s">
        <v>86</v>
      </c>
      <c r="S829" s="20" t="s">
        <v>87</v>
      </c>
      <c r="T829" s="26" t="s">
        <v>103</v>
      </c>
      <c r="U829" s="20" t="s">
        <v>104</v>
      </c>
      <c r="V829" s="20" t="s">
        <v>90</v>
      </c>
      <c r="W829" s="21"/>
    </row>
    <row r="830" customFormat="false" ht="15" hidden="false" customHeight="false" outlineLevel="0" collapsed="false">
      <c r="A830" s="20" t="n">
        <v>829</v>
      </c>
      <c r="B830" s="20" t="s">
        <v>3168</v>
      </c>
      <c r="C830" s="20" t="s">
        <v>5</v>
      </c>
      <c r="D830" s="20" t="s">
        <v>3169</v>
      </c>
      <c r="E830" s="20" t="s">
        <v>31</v>
      </c>
      <c r="F830" s="20" t="s">
        <v>3170</v>
      </c>
      <c r="G830" s="21" t="s">
        <v>3169</v>
      </c>
      <c r="H830" s="20"/>
      <c r="I830" s="20"/>
      <c r="J830" s="20"/>
      <c r="K830" s="22" t="n">
        <v>3.6</v>
      </c>
      <c r="L830" s="23" t="n">
        <v>41</v>
      </c>
      <c r="M830" s="20" t="s">
        <v>84</v>
      </c>
      <c r="N830" s="24" t="n">
        <v>6.57365</v>
      </c>
      <c r="O830" s="24" t="n">
        <v>3.36744</v>
      </c>
      <c r="P830" s="20" t="s">
        <v>85</v>
      </c>
      <c r="Q830" s="20" t="s">
        <v>86</v>
      </c>
      <c r="R830" s="20" t="s">
        <v>86</v>
      </c>
      <c r="S830" s="20" t="s">
        <v>87</v>
      </c>
      <c r="T830" s="25" t="s">
        <v>88</v>
      </c>
      <c r="U830" s="20" t="s">
        <v>89</v>
      </c>
      <c r="V830" s="20" t="s">
        <v>90</v>
      </c>
      <c r="W830" s="21"/>
    </row>
    <row r="831" customFormat="false" ht="15" hidden="false" customHeight="false" outlineLevel="0" collapsed="false">
      <c r="A831" s="20" t="n">
        <v>830</v>
      </c>
      <c r="B831" s="20" t="s">
        <v>3171</v>
      </c>
      <c r="C831" s="20" t="s">
        <v>5</v>
      </c>
      <c r="D831" s="20" t="s">
        <v>3172</v>
      </c>
      <c r="E831" s="20" t="s">
        <v>31</v>
      </c>
      <c r="F831" s="20" t="s">
        <v>1522</v>
      </c>
      <c r="G831" s="21" t="s">
        <v>3172</v>
      </c>
      <c r="H831" s="20" t="s">
        <v>3173</v>
      </c>
      <c r="I831" s="20"/>
      <c r="J831" s="20"/>
      <c r="K831" s="22" t="n">
        <v>5</v>
      </c>
      <c r="L831" s="23" t="n">
        <v>1</v>
      </c>
      <c r="M831" s="20" t="s">
        <v>100</v>
      </c>
      <c r="N831" s="24" t="n">
        <v>6.57419</v>
      </c>
      <c r="O831" s="24" t="n">
        <v>3.37182</v>
      </c>
      <c r="P831" s="20" t="s">
        <v>85</v>
      </c>
      <c r="Q831" s="20" t="s">
        <v>86</v>
      </c>
      <c r="R831" s="20" t="s">
        <v>86</v>
      </c>
      <c r="S831" s="20" t="s">
        <v>87</v>
      </c>
      <c r="T831" s="26" t="s">
        <v>103</v>
      </c>
      <c r="U831" s="20" t="s">
        <v>104</v>
      </c>
      <c r="V831" s="20" t="s">
        <v>90</v>
      </c>
      <c r="W831" s="21"/>
    </row>
    <row r="832" customFormat="false" ht="15" hidden="false" customHeight="false" outlineLevel="0" collapsed="false">
      <c r="A832" s="20" t="n">
        <v>831</v>
      </c>
      <c r="B832" s="20" t="s">
        <v>3174</v>
      </c>
      <c r="C832" s="20" t="s">
        <v>5</v>
      </c>
      <c r="D832" s="20" t="s">
        <v>3175</v>
      </c>
      <c r="E832" s="20" t="s">
        <v>31</v>
      </c>
      <c r="F832" s="20" t="s">
        <v>1512</v>
      </c>
      <c r="G832" s="21" t="s">
        <v>3175</v>
      </c>
      <c r="H832" s="20" t="s">
        <v>3176</v>
      </c>
      <c r="I832" s="20"/>
      <c r="J832" s="20"/>
      <c r="K832" s="22"/>
      <c r="L832" s="23"/>
      <c r="M832" s="20" t="s">
        <v>100</v>
      </c>
      <c r="N832" s="24" t="n">
        <v>6.57351</v>
      </c>
      <c r="O832" s="24" t="n">
        <v>3.37074</v>
      </c>
      <c r="P832" s="20" t="s">
        <v>85</v>
      </c>
      <c r="Q832" s="20" t="s">
        <v>86</v>
      </c>
      <c r="R832" s="20" t="s">
        <v>86</v>
      </c>
      <c r="S832" s="20" t="s">
        <v>87</v>
      </c>
      <c r="T832" s="26" t="s">
        <v>103</v>
      </c>
      <c r="U832" s="20" t="s">
        <v>104</v>
      </c>
      <c r="V832" s="20" t="s">
        <v>90</v>
      </c>
      <c r="W832" s="21"/>
    </row>
    <row r="833" customFormat="false" ht="15" hidden="false" customHeight="false" outlineLevel="0" collapsed="false">
      <c r="A833" s="20" t="n">
        <v>832</v>
      </c>
      <c r="B833" s="20" t="s">
        <v>3177</v>
      </c>
      <c r="C833" s="20" t="s">
        <v>5</v>
      </c>
      <c r="D833" s="20" t="s">
        <v>3178</v>
      </c>
      <c r="E833" s="20" t="s">
        <v>31</v>
      </c>
      <c r="F833" s="20" t="s">
        <v>1558</v>
      </c>
      <c r="G833" s="21" t="s">
        <v>3178</v>
      </c>
      <c r="H833" s="20" t="s">
        <v>3179</v>
      </c>
      <c r="I833" s="20"/>
      <c r="J833" s="20"/>
      <c r="K833" s="22" t="n">
        <v>5</v>
      </c>
      <c r="L833" s="23" t="n">
        <v>4</v>
      </c>
      <c r="M833" s="20" t="s">
        <v>100</v>
      </c>
      <c r="N833" s="24" t="n">
        <v>6.57756</v>
      </c>
      <c r="O833" s="24" t="n">
        <v>3.36576</v>
      </c>
      <c r="P833" s="20" t="s">
        <v>85</v>
      </c>
      <c r="Q833" s="20" t="s">
        <v>86</v>
      </c>
      <c r="R833" s="20" t="s">
        <v>86</v>
      </c>
      <c r="S833" s="20" t="s">
        <v>87</v>
      </c>
      <c r="T833" s="26" t="s">
        <v>103</v>
      </c>
      <c r="U833" s="20" t="s">
        <v>104</v>
      </c>
      <c r="V833" s="20" t="s">
        <v>90</v>
      </c>
      <c r="W833" s="21"/>
    </row>
    <row r="834" customFormat="false" ht="15" hidden="false" customHeight="false" outlineLevel="0" collapsed="false">
      <c r="A834" s="20" t="n">
        <v>833</v>
      </c>
      <c r="B834" s="20" t="s">
        <v>3180</v>
      </c>
      <c r="C834" s="20" t="s">
        <v>5</v>
      </c>
      <c r="D834" s="20" t="s">
        <v>3181</v>
      </c>
      <c r="E834" s="20" t="s">
        <v>31</v>
      </c>
      <c r="F834" s="20" t="s">
        <v>1542</v>
      </c>
      <c r="G834" s="21" t="s">
        <v>3181</v>
      </c>
      <c r="H834" s="20" t="s">
        <v>3182</v>
      </c>
      <c r="I834" s="20"/>
      <c r="J834" s="20"/>
      <c r="K834" s="22" t="n">
        <v>4.9</v>
      </c>
      <c r="L834" s="23" t="n">
        <v>15</v>
      </c>
      <c r="M834" s="20" t="s">
        <v>100</v>
      </c>
      <c r="N834" s="24" t="n">
        <v>6.57625</v>
      </c>
      <c r="O834" s="24" t="n">
        <v>3.36807</v>
      </c>
      <c r="P834" s="20" t="s">
        <v>85</v>
      </c>
      <c r="Q834" s="20" t="s">
        <v>86</v>
      </c>
      <c r="R834" s="20" t="s">
        <v>86</v>
      </c>
      <c r="S834" s="20" t="s">
        <v>87</v>
      </c>
      <c r="T834" s="27" t="s">
        <v>117</v>
      </c>
      <c r="U834" s="20" t="s">
        <v>118</v>
      </c>
      <c r="V834" s="20" t="s">
        <v>90</v>
      </c>
      <c r="W834" s="21"/>
    </row>
    <row r="835" customFormat="false" ht="15" hidden="false" customHeight="false" outlineLevel="0" collapsed="false">
      <c r="A835" s="20" t="n">
        <v>834</v>
      </c>
      <c r="B835" s="20" t="s">
        <v>3183</v>
      </c>
      <c r="C835" s="20" t="s">
        <v>5</v>
      </c>
      <c r="D835" s="20" t="s">
        <v>3184</v>
      </c>
      <c r="E835" s="20" t="s">
        <v>31</v>
      </c>
      <c r="F835" s="20" t="s">
        <v>3185</v>
      </c>
      <c r="G835" s="21" t="s">
        <v>3184</v>
      </c>
      <c r="H835" s="20" t="s">
        <v>3186</v>
      </c>
      <c r="I835" s="20"/>
      <c r="J835" s="20"/>
      <c r="K835" s="22" t="n">
        <v>4.5</v>
      </c>
      <c r="L835" s="23" t="n">
        <v>41</v>
      </c>
      <c r="M835" s="20" t="s">
        <v>100</v>
      </c>
      <c r="N835" s="24" t="n">
        <v>6.57495</v>
      </c>
      <c r="O835" s="24" t="n">
        <v>3.36332</v>
      </c>
      <c r="P835" s="20" t="s">
        <v>85</v>
      </c>
      <c r="Q835" s="20" t="s">
        <v>86</v>
      </c>
      <c r="R835" s="20" t="s">
        <v>86</v>
      </c>
      <c r="S835" s="20" t="s">
        <v>87</v>
      </c>
      <c r="T835" s="27" t="s">
        <v>117</v>
      </c>
      <c r="U835" s="20" t="s">
        <v>118</v>
      </c>
      <c r="V835" s="20" t="s">
        <v>90</v>
      </c>
      <c r="W835" s="21"/>
    </row>
    <row r="836" customFormat="false" ht="15" hidden="false" customHeight="false" outlineLevel="0" collapsed="false">
      <c r="A836" s="20" t="n">
        <v>835</v>
      </c>
      <c r="B836" s="20" t="s">
        <v>3187</v>
      </c>
      <c r="C836" s="20" t="s">
        <v>5</v>
      </c>
      <c r="D836" s="20" t="s">
        <v>3188</v>
      </c>
      <c r="E836" s="20" t="s">
        <v>31</v>
      </c>
      <c r="F836" s="20" t="s">
        <v>1522</v>
      </c>
      <c r="G836" s="21" t="s">
        <v>3189</v>
      </c>
      <c r="H836" s="20" t="s">
        <v>3190</v>
      </c>
      <c r="I836" s="20"/>
      <c r="J836" s="20"/>
      <c r="K836" s="22"/>
      <c r="L836" s="23"/>
      <c r="M836" s="20" t="s">
        <v>100</v>
      </c>
      <c r="N836" s="24" t="n">
        <v>6.56973</v>
      </c>
      <c r="O836" s="24" t="n">
        <v>3.36579</v>
      </c>
      <c r="P836" s="20" t="s">
        <v>85</v>
      </c>
      <c r="Q836" s="20" t="s">
        <v>86</v>
      </c>
      <c r="R836" s="20" t="s">
        <v>86</v>
      </c>
      <c r="S836" s="20" t="s">
        <v>87</v>
      </c>
      <c r="T836" s="26" t="s">
        <v>103</v>
      </c>
      <c r="U836" s="20" t="s">
        <v>104</v>
      </c>
      <c r="V836" s="20" t="s">
        <v>90</v>
      </c>
      <c r="W836" s="21"/>
    </row>
    <row r="837" customFormat="false" ht="15" hidden="false" customHeight="false" outlineLevel="0" collapsed="false">
      <c r="A837" s="20" t="n">
        <v>836</v>
      </c>
      <c r="B837" s="20" t="s">
        <v>3191</v>
      </c>
      <c r="C837" s="20" t="s">
        <v>5</v>
      </c>
      <c r="D837" s="20" t="s">
        <v>3192</v>
      </c>
      <c r="E837" s="20" t="s">
        <v>31</v>
      </c>
      <c r="F837" s="20" t="s">
        <v>3150</v>
      </c>
      <c r="G837" s="21" t="s">
        <v>3193</v>
      </c>
      <c r="H837" s="20" t="s">
        <v>3194</v>
      </c>
      <c r="I837" s="20"/>
      <c r="J837" s="20"/>
      <c r="K837" s="22" t="n">
        <v>4.2</v>
      </c>
      <c r="L837" s="23" t="n">
        <v>13</v>
      </c>
      <c r="M837" s="20" t="s">
        <v>100</v>
      </c>
      <c r="N837" s="24" t="n">
        <v>6.57724</v>
      </c>
      <c r="O837" s="24" t="n">
        <v>3.36223</v>
      </c>
      <c r="P837" s="20" t="s">
        <v>85</v>
      </c>
      <c r="Q837" s="20" t="s">
        <v>86</v>
      </c>
      <c r="R837" s="20" t="s">
        <v>86</v>
      </c>
      <c r="S837" s="20" t="s">
        <v>87</v>
      </c>
      <c r="T837" s="27" t="s">
        <v>117</v>
      </c>
      <c r="U837" s="20" t="s">
        <v>118</v>
      </c>
      <c r="V837" s="20" t="s">
        <v>90</v>
      </c>
      <c r="W837" s="21"/>
    </row>
    <row r="838" customFormat="false" ht="15" hidden="false" customHeight="false" outlineLevel="0" collapsed="false">
      <c r="A838" s="20" t="n">
        <v>837</v>
      </c>
      <c r="B838" s="20" t="s">
        <v>3195</v>
      </c>
      <c r="C838" s="20" t="s">
        <v>5</v>
      </c>
      <c r="D838" s="20" t="s">
        <v>3196</v>
      </c>
      <c r="E838" s="20" t="s">
        <v>31</v>
      </c>
      <c r="F838" s="20" t="s">
        <v>1552</v>
      </c>
      <c r="G838" s="21" t="s">
        <v>3196</v>
      </c>
      <c r="H838" s="20" t="s">
        <v>3197</v>
      </c>
      <c r="I838" s="20"/>
      <c r="J838" s="20"/>
      <c r="K838" s="22" t="n">
        <v>4.9</v>
      </c>
      <c r="L838" s="23" t="n">
        <v>21</v>
      </c>
      <c r="M838" s="20" t="s">
        <v>100</v>
      </c>
      <c r="N838" s="24" t="n">
        <v>6.57075</v>
      </c>
      <c r="O838" s="24" t="n">
        <v>3.37263</v>
      </c>
      <c r="P838" s="20" t="s">
        <v>85</v>
      </c>
      <c r="Q838" s="20" t="s">
        <v>86</v>
      </c>
      <c r="R838" s="20" t="s">
        <v>86</v>
      </c>
      <c r="S838" s="20" t="s">
        <v>87</v>
      </c>
      <c r="T838" s="27" t="s">
        <v>117</v>
      </c>
      <c r="U838" s="20" t="s">
        <v>118</v>
      </c>
      <c r="V838" s="20" t="s">
        <v>90</v>
      </c>
      <c r="W838" s="21"/>
    </row>
    <row r="839" customFormat="false" ht="15" hidden="false" customHeight="false" outlineLevel="0" collapsed="false">
      <c r="A839" s="20" t="n">
        <v>838</v>
      </c>
      <c r="B839" s="20" t="s">
        <v>3198</v>
      </c>
      <c r="C839" s="20" t="s">
        <v>5</v>
      </c>
      <c r="D839" s="20" t="s">
        <v>3199</v>
      </c>
      <c r="E839" s="20" t="s">
        <v>31</v>
      </c>
      <c r="F839" s="20" t="s">
        <v>3150</v>
      </c>
      <c r="G839" s="21" t="s">
        <v>3200</v>
      </c>
      <c r="H839" s="20" t="s">
        <v>3201</v>
      </c>
      <c r="I839" s="20"/>
      <c r="J839" s="20"/>
      <c r="K839" s="22" t="n">
        <v>5</v>
      </c>
      <c r="L839" s="23" t="n">
        <v>3</v>
      </c>
      <c r="M839" s="20" t="s">
        <v>100</v>
      </c>
      <c r="N839" s="24" t="n">
        <v>6.57642</v>
      </c>
      <c r="O839" s="24" t="n">
        <v>3.36534</v>
      </c>
      <c r="P839" s="20" t="s">
        <v>85</v>
      </c>
      <c r="Q839" s="20" t="s">
        <v>86</v>
      </c>
      <c r="R839" s="20" t="s">
        <v>86</v>
      </c>
      <c r="S839" s="20" t="s">
        <v>87</v>
      </c>
      <c r="T839" s="26" t="s">
        <v>103</v>
      </c>
      <c r="U839" s="20" t="s">
        <v>104</v>
      </c>
      <c r="V839" s="20" t="s">
        <v>90</v>
      </c>
      <c r="W839" s="21"/>
    </row>
    <row r="840" customFormat="false" ht="15" hidden="false" customHeight="false" outlineLevel="0" collapsed="false">
      <c r="A840" s="20" t="n">
        <v>839</v>
      </c>
      <c r="B840" s="20" t="s">
        <v>3202</v>
      </c>
      <c r="C840" s="20" t="s">
        <v>5</v>
      </c>
      <c r="D840" s="20" t="s">
        <v>3203</v>
      </c>
      <c r="E840" s="20" t="s">
        <v>32</v>
      </c>
      <c r="F840" s="20" t="s">
        <v>1690</v>
      </c>
      <c r="G840" s="21" t="s">
        <v>3203</v>
      </c>
      <c r="H840" s="20" t="s">
        <v>3204</v>
      </c>
      <c r="I840" s="20"/>
      <c r="J840" s="20"/>
      <c r="K840" s="22"/>
      <c r="L840" s="23"/>
      <c r="M840" s="20" t="s">
        <v>100</v>
      </c>
      <c r="N840" s="24" t="n">
        <v>6.57446</v>
      </c>
      <c r="O840" s="24" t="n">
        <v>3.36881</v>
      </c>
      <c r="P840" s="20" t="s">
        <v>85</v>
      </c>
      <c r="Q840" s="20" t="s">
        <v>86</v>
      </c>
      <c r="R840" s="20" t="s">
        <v>86</v>
      </c>
      <c r="S840" s="20" t="s">
        <v>87</v>
      </c>
      <c r="T840" s="26" t="s">
        <v>103</v>
      </c>
      <c r="U840" s="20" t="s">
        <v>104</v>
      </c>
      <c r="V840" s="20" t="s">
        <v>90</v>
      </c>
      <c r="W840" s="21"/>
    </row>
    <row r="841" customFormat="false" ht="15" hidden="false" customHeight="false" outlineLevel="0" collapsed="false">
      <c r="A841" s="20" t="n">
        <v>840</v>
      </c>
      <c r="B841" s="20" t="s">
        <v>3205</v>
      </c>
      <c r="C841" s="20" t="s">
        <v>5</v>
      </c>
      <c r="D841" s="20" t="s">
        <v>3206</v>
      </c>
      <c r="E841" s="20" t="s">
        <v>32</v>
      </c>
      <c r="F841" s="20" t="s">
        <v>3207</v>
      </c>
      <c r="G841" s="21" t="s">
        <v>3208</v>
      </c>
      <c r="H841" s="20" t="s">
        <v>3209</v>
      </c>
      <c r="I841" s="20"/>
      <c r="J841" s="20"/>
      <c r="K841" s="22"/>
      <c r="L841" s="23"/>
      <c r="M841" s="20" t="s">
        <v>100</v>
      </c>
      <c r="N841" s="24" t="n">
        <v>6.56939</v>
      </c>
      <c r="O841" s="24" t="n">
        <v>3.37659</v>
      </c>
      <c r="P841" s="20" t="s">
        <v>85</v>
      </c>
      <c r="Q841" s="20" t="s">
        <v>86</v>
      </c>
      <c r="R841" s="20" t="s">
        <v>86</v>
      </c>
      <c r="S841" s="20" t="s">
        <v>87</v>
      </c>
      <c r="T841" s="26" t="s">
        <v>103</v>
      </c>
      <c r="U841" s="20" t="s">
        <v>104</v>
      </c>
      <c r="V841" s="20" t="s">
        <v>90</v>
      </c>
      <c r="W841" s="21"/>
    </row>
    <row r="842" customFormat="false" ht="15" hidden="false" customHeight="false" outlineLevel="0" collapsed="false">
      <c r="A842" s="20" t="n">
        <v>841</v>
      </c>
      <c r="B842" s="20" t="s">
        <v>3210</v>
      </c>
      <c r="C842" s="20" t="s">
        <v>5</v>
      </c>
      <c r="D842" s="20" t="s">
        <v>3211</v>
      </c>
      <c r="E842" s="20" t="s">
        <v>32</v>
      </c>
      <c r="F842" s="20" t="s">
        <v>3212</v>
      </c>
      <c r="G842" s="21" t="s">
        <v>3213</v>
      </c>
      <c r="H842" s="20" t="s">
        <v>3214</v>
      </c>
      <c r="I842" s="20"/>
      <c r="J842" s="20"/>
      <c r="K842" s="22"/>
      <c r="L842" s="23"/>
      <c r="M842" s="20" t="s">
        <v>100</v>
      </c>
      <c r="N842" s="24" t="n">
        <v>6.56551</v>
      </c>
      <c r="O842" s="24" t="n">
        <v>3.36599</v>
      </c>
      <c r="P842" s="20" t="s">
        <v>85</v>
      </c>
      <c r="Q842" s="20" t="s">
        <v>86</v>
      </c>
      <c r="R842" s="20" t="s">
        <v>86</v>
      </c>
      <c r="S842" s="20" t="s">
        <v>87</v>
      </c>
      <c r="T842" s="26" t="s">
        <v>103</v>
      </c>
      <c r="U842" s="20" t="s">
        <v>104</v>
      </c>
      <c r="V842" s="20" t="s">
        <v>90</v>
      </c>
      <c r="W842" s="21"/>
    </row>
    <row r="843" customFormat="false" ht="23.85" hidden="false" customHeight="false" outlineLevel="0" collapsed="false">
      <c r="A843" s="20" t="n">
        <v>842</v>
      </c>
      <c r="B843" s="20" t="s">
        <v>3215</v>
      </c>
      <c r="C843" s="20" t="s">
        <v>5</v>
      </c>
      <c r="D843" s="20" t="s">
        <v>2302</v>
      </c>
      <c r="E843" s="20" t="s">
        <v>32</v>
      </c>
      <c r="F843" s="20" t="s">
        <v>3212</v>
      </c>
      <c r="G843" s="21" t="s">
        <v>3216</v>
      </c>
      <c r="H843" s="20" t="s">
        <v>3217</v>
      </c>
      <c r="I843" s="20"/>
      <c r="J843" s="20"/>
      <c r="K843" s="22"/>
      <c r="L843" s="23"/>
      <c r="M843" s="20" t="s">
        <v>100</v>
      </c>
      <c r="N843" s="24" t="n">
        <v>6.56552</v>
      </c>
      <c r="O843" s="24" t="n">
        <v>3.36604</v>
      </c>
      <c r="P843" s="20" t="s">
        <v>85</v>
      </c>
      <c r="Q843" s="20" t="s">
        <v>86</v>
      </c>
      <c r="R843" s="20" t="s">
        <v>86</v>
      </c>
      <c r="S843" s="20" t="s">
        <v>87</v>
      </c>
      <c r="T843" s="26" t="s">
        <v>103</v>
      </c>
      <c r="U843" s="20" t="s">
        <v>104</v>
      </c>
      <c r="V843" s="20" t="s">
        <v>90</v>
      </c>
      <c r="W843" s="21"/>
    </row>
    <row r="844" customFormat="false" ht="15" hidden="false" customHeight="false" outlineLevel="0" collapsed="false">
      <c r="A844" s="20" t="n">
        <v>843</v>
      </c>
      <c r="B844" s="20" t="s">
        <v>3218</v>
      </c>
      <c r="C844" s="20" t="s">
        <v>5</v>
      </c>
      <c r="D844" s="20" t="s">
        <v>3219</v>
      </c>
      <c r="E844" s="20" t="s">
        <v>32</v>
      </c>
      <c r="F844" s="20" t="s">
        <v>1690</v>
      </c>
      <c r="G844" s="21" t="s">
        <v>3220</v>
      </c>
      <c r="H844" s="20" t="s">
        <v>3221</v>
      </c>
      <c r="I844" s="20"/>
      <c r="J844" s="20"/>
      <c r="K844" s="22" t="n">
        <v>4.9</v>
      </c>
      <c r="L844" s="23" t="n">
        <v>7</v>
      </c>
      <c r="M844" s="20" t="s">
        <v>100</v>
      </c>
      <c r="N844" s="24" t="n">
        <v>6.57503</v>
      </c>
      <c r="O844" s="24" t="n">
        <v>3.36999</v>
      </c>
      <c r="P844" s="20" t="s">
        <v>85</v>
      </c>
      <c r="Q844" s="20" t="s">
        <v>86</v>
      </c>
      <c r="R844" s="20" t="s">
        <v>86</v>
      </c>
      <c r="S844" s="20" t="s">
        <v>87</v>
      </c>
      <c r="T844" s="26" t="s">
        <v>103</v>
      </c>
      <c r="U844" s="20" t="s">
        <v>104</v>
      </c>
      <c r="V844" s="20" t="s">
        <v>90</v>
      </c>
      <c r="W844" s="21"/>
    </row>
    <row r="845" customFormat="false" ht="15" hidden="false" customHeight="false" outlineLevel="0" collapsed="false">
      <c r="A845" s="20" t="n">
        <v>844</v>
      </c>
      <c r="B845" s="20" t="s">
        <v>3222</v>
      </c>
      <c r="C845" s="20" t="s">
        <v>5</v>
      </c>
      <c r="D845" s="20" t="s">
        <v>3223</v>
      </c>
      <c r="E845" s="20" t="s">
        <v>32</v>
      </c>
      <c r="F845" s="20" t="s">
        <v>3212</v>
      </c>
      <c r="G845" s="21" t="s">
        <v>3223</v>
      </c>
      <c r="H845" s="20" t="s">
        <v>3224</v>
      </c>
      <c r="I845" s="20"/>
      <c r="J845" s="20"/>
      <c r="K845" s="22"/>
      <c r="L845" s="23"/>
      <c r="M845" s="20" t="s">
        <v>100</v>
      </c>
      <c r="N845" s="24" t="n">
        <v>6.57117</v>
      </c>
      <c r="O845" s="24" t="n">
        <v>3.36431</v>
      </c>
      <c r="P845" s="20" t="s">
        <v>85</v>
      </c>
      <c r="Q845" s="20" t="s">
        <v>86</v>
      </c>
      <c r="R845" s="20" t="s">
        <v>86</v>
      </c>
      <c r="S845" s="20" t="s">
        <v>87</v>
      </c>
      <c r="T845" s="26" t="s">
        <v>103</v>
      </c>
      <c r="U845" s="20" t="s">
        <v>104</v>
      </c>
      <c r="V845" s="20" t="s">
        <v>90</v>
      </c>
      <c r="W845" s="21"/>
    </row>
    <row r="846" customFormat="false" ht="15" hidden="false" customHeight="false" outlineLevel="0" collapsed="false">
      <c r="A846" s="20" t="n">
        <v>845</v>
      </c>
      <c r="B846" s="20" t="s">
        <v>3225</v>
      </c>
      <c r="C846" s="20" t="s">
        <v>5</v>
      </c>
      <c r="D846" s="20" t="s">
        <v>1288</v>
      </c>
      <c r="E846" s="20" t="s">
        <v>32</v>
      </c>
      <c r="F846" s="20" t="s">
        <v>1869</v>
      </c>
      <c r="G846" s="21" t="s">
        <v>3226</v>
      </c>
      <c r="H846" s="20" t="s">
        <v>3227</v>
      </c>
      <c r="I846" s="20"/>
      <c r="J846" s="20"/>
      <c r="K846" s="22" t="n">
        <v>3</v>
      </c>
      <c r="L846" s="23" t="n">
        <v>1</v>
      </c>
      <c r="M846" s="20" t="s">
        <v>100</v>
      </c>
      <c r="N846" s="24" t="n">
        <v>6.56551</v>
      </c>
      <c r="O846" s="24" t="n">
        <v>3.36599</v>
      </c>
      <c r="P846" s="20" t="s">
        <v>85</v>
      </c>
      <c r="Q846" s="20" t="s">
        <v>86</v>
      </c>
      <c r="R846" s="20" t="s">
        <v>86</v>
      </c>
      <c r="S846" s="20" t="s">
        <v>87</v>
      </c>
      <c r="T846" s="26" t="s">
        <v>103</v>
      </c>
      <c r="U846" s="20" t="s">
        <v>104</v>
      </c>
      <c r="V846" s="20" t="s">
        <v>90</v>
      </c>
      <c r="W846" s="21"/>
    </row>
    <row r="847" customFormat="false" ht="15" hidden="false" customHeight="false" outlineLevel="0" collapsed="false">
      <c r="A847" s="20" t="n">
        <v>846</v>
      </c>
      <c r="B847" s="20" t="s">
        <v>3228</v>
      </c>
      <c r="C847" s="20" t="s">
        <v>5</v>
      </c>
      <c r="D847" s="20" t="s">
        <v>3229</v>
      </c>
      <c r="E847" s="20" t="s">
        <v>32</v>
      </c>
      <c r="F847" s="20" t="s">
        <v>1717</v>
      </c>
      <c r="G847" s="21" t="s">
        <v>3230</v>
      </c>
      <c r="H847" s="20" t="s">
        <v>3231</v>
      </c>
      <c r="I847" s="20"/>
      <c r="J847" s="20"/>
      <c r="K847" s="22"/>
      <c r="L847" s="23"/>
      <c r="M847" s="20" t="s">
        <v>100</v>
      </c>
      <c r="N847" s="24"/>
      <c r="O847" s="24"/>
      <c r="P847" s="20" t="s">
        <v>101</v>
      </c>
      <c r="Q847" s="20" t="s">
        <v>86</v>
      </c>
      <c r="R847" s="20" t="s">
        <v>86</v>
      </c>
      <c r="S847" s="20" t="s">
        <v>102</v>
      </c>
      <c r="T847" s="26" t="s">
        <v>103</v>
      </c>
      <c r="U847" s="20" t="s">
        <v>104</v>
      </c>
      <c r="V847" s="20" t="s">
        <v>138</v>
      </c>
      <c r="W847" s="21" t="s">
        <v>181</v>
      </c>
    </row>
    <row r="848" customFormat="false" ht="23.85" hidden="false" customHeight="false" outlineLevel="0" collapsed="false">
      <c r="A848" s="20" t="n">
        <v>847</v>
      </c>
      <c r="B848" s="20" t="s">
        <v>3232</v>
      </c>
      <c r="C848" s="20" t="s">
        <v>5</v>
      </c>
      <c r="D848" s="20" t="s">
        <v>3233</v>
      </c>
      <c r="E848" s="20" t="s">
        <v>32</v>
      </c>
      <c r="F848" s="20" t="s">
        <v>1898</v>
      </c>
      <c r="G848" s="21" t="s">
        <v>3234</v>
      </c>
      <c r="H848" s="20" t="s">
        <v>3235</v>
      </c>
      <c r="I848" s="20"/>
      <c r="J848" s="20"/>
      <c r="K848" s="22"/>
      <c r="L848" s="23"/>
      <c r="M848" s="20" t="s">
        <v>100</v>
      </c>
      <c r="N848" s="24"/>
      <c r="O848" s="24"/>
      <c r="P848" s="20" t="s">
        <v>101</v>
      </c>
      <c r="Q848" s="20" t="s">
        <v>86</v>
      </c>
      <c r="R848" s="20" t="s">
        <v>86</v>
      </c>
      <c r="S848" s="20" t="s">
        <v>102</v>
      </c>
      <c r="T848" s="26" t="s">
        <v>103</v>
      </c>
      <c r="U848" s="20" t="s">
        <v>104</v>
      </c>
      <c r="V848" s="20" t="s">
        <v>138</v>
      </c>
      <c r="W848" s="21" t="s">
        <v>181</v>
      </c>
    </row>
    <row r="849" customFormat="false" ht="23.85" hidden="false" customHeight="false" outlineLevel="0" collapsed="false">
      <c r="A849" s="20" t="n">
        <v>848</v>
      </c>
      <c r="B849" s="20" t="s">
        <v>3236</v>
      </c>
      <c r="C849" s="20" t="s">
        <v>5</v>
      </c>
      <c r="D849" s="20" t="s">
        <v>3237</v>
      </c>
      <c r="E849" s="20" t="s">
        <v>32</v>
      </c>
      <c r="F849" s="20" t="s">
        <v>3238</v>
      </c>
      <c r="G849" s="21" t="s">
        <v>3239</v>
      </c>
      <c r="H849" s="20" t="s">
        <v>3240</v>
      </c>
      <c r="I849" s="20"/>
      <c r="J849" s="20"/>
      <c r="K849" s="22"/>
      <c r="L849" s="23"/>
      <c r="M849" s="20" t="s">
        <v>100</v>
      </c>
      <c r="N849" s="24"/>
      <c r="O849" s="24"/>
      <c r="P849" s="20" t="s">
        <v>101</v>
      </c>
      <c r="Q849" s="20" t="s">
        <v>86</v>
      </c>
      <c r="R849" s="20" t="s">
        <v>86</v>
      </c>
      <c r="S849" s="20" t="s">
        <v>102</v>
      </c>
      <c r="T849" s="26" t="s">
        <v>103</v>
      </c>
      <c r="U849" s="20" t="s">
        <v>104</v>
      </c>
      <c r="V849" s="20" t="s">
        <v>138</v>
      </c>
      <c r="W849" s="21" t="s">
        <v>181</v>
      </c>
    </row>
    <row r="850" customFormat="false" ht="15" hidden="false" customHeight="false" outlineLevel="0" collapsed="false">
      <c r="A850" s="20" t="n">
        <v>849</v>
      </c>
      <c r="B850" s="20" t="s">
        <v>3241</v>
      </c>
      <c r="C850" s="20" t="s">
        <v>5</v>
      </c>
      <c r="D850" s="20" t="s">
        <v>3242</v>
      </c>
      <c r="E850" s="20" t="s">
        <v>32</v>
      </c>
      <c r="F850" s="20" t="s">
        <v>32</v>
      </c>
      <c r="G850" s="21" t="s">
        <v>3243</v>
      </c>
      <c r="H850" s="20" t="s">
        <v>3244</v>
      </c>
      <c r="I850" s="20"/>
      <c r="J850" s="20"/>
      <c r="K850" s="22"/>
      <c r="L850" s="23"/>
      <c r="M850" s="20" t="s">
        <v>100</v>
      </c>
      <c r="N850" s="24"/>
      <c r="O850" s="24"/>
      <c r="P850" s="20" t="s">
        <v>101</v>
      </c>
      <c r="Q850" s="20" t="s">
        <v>86</v>
      </c>
      <c r="R850" s="20" t="s">
        <v>86</v>
      </c>
      <c r="S850" s="20" t="s">
        <v>102</v>
      </c>
      <c r="T850" s="26" t="s">
        <v>103</v>
      </c>
      <c r="U850" s="20" t="s">
        <v>104</v>
      </c>
      <c r="V850" s="20" t="s">
        <v>138</v>
      </c>
      <c r="W850" s="21" t="s">
        <v>538</v>
      </c>
    </row>
    <row r="851" customFormat="false" ht="15" hidden="false" customHeight="false" outlineLevel="0" collapsed="false">
      <c r="A851" s="20" t="n">
        <v>850</v>
      </c>
      <c r="B851" s="20" t="s">
        <v>3245</v>
      </c>
      <c r="C851" s="20" t="s">
        <v>5</v>
      </c>
      <c r="D851" s="20" t="s">
        <v>3246</v>
      </c>
      <c r="E851" s="20" t="s">
        <v>32</v>
      </c>
      <c r="F851" s="20" t="s">
        <v>1717</v>
      </c>
      <c r="G851" s="21" t="s">
        <v>3247</v>
      </c>
      <c r="H851" s="20" t="s">
        <v>3248</v>
      </c>
      <c r="I851" s="20"/>
      <c r="J851" s="20"/>
      <c r="K851" s="22"/>
      <c r="L851" s="23"/>
      <c r="M851" s="20" t="s">
        <v>100</v>
      </c>
      <c r="N851" s="24"/>
      <c r="O851" s="24"/>
      <c r="P851" s="20" t="s">
        <v>101</v>
      </c>
      <c r="Q851" s="20" t="s">
        <v>86</v>
      </c>
      <c r="R851" s="20" t="s">
        <v>86</v>
      </c>
      <c r="S851" s="20" t="s">
        <v>102</v>
      </c>
      <c r="T851" s="26" t="s">
        <v>103</v>
      </c>
      <c r="U851" s="20" t="s">
        <v>104</v>
      </c>
      <c r="V851" s="20" t="s">
        <v>138</v>
      </c>
      <c r="W851" s="21" t="s">
        <v>181</v>
      </c>
    </row>
    <row r="852" customFormat="false" ht="15" hidden="false" customHeight="false" outlineLevel="0" collapsed="false">
      <c r="A852" s="20" t="n">
        <v>851</v>
      </c>
      <c r="B852" s="20" t="s">
        <v>3249</v>
      </c>
      <c r="C852" s="20" t="s">
        <v>5</v>
      </c>
      <c r="D852" s="20" t="s">
        <v>3250</v>
      </c>
      <c r="E852" s="20" t="s">
        <v>32</v>
      </c>
      <c r="F852" s="20" t="s">
        <v>32</v>
      </c>
      <c r="G852" s="21" t="s">
        <v>3251</v>
      </c>
      <c r="H852" s="20" t="s">
        <v>3252</v>
      </c>
      <c r="I852" s="20"/>
      <c r="J852" s="20"/>
      <c r="K852" s="22"/>
      <c r="L852" s="23"/>
      <c r="M852" s="20" t="s">
        <v>100</v>
      </c>
      <c r="N852" s="24"/>
      <c r="O852" s="24"/>
      <c r="P852" s="20" t="s">
        <v>101</v>
      </c>
      <c r="Q852" s="20" t="s">
        <v>86</v>
      </c>
      <c r="R852" s="20" t="s">
        <v>86</v>
      </c>
      <c r="S852" s="20" t="s">
        <v>102</v>
      </c>
      <c r="T852" s="26" t="s">
        <v>103</v>
      </c>
      <c r="U852" s="20" t="s">
        <v>104</v>
      </c>
      <c r="V852" s="20" t="s">
        <v>138</v>
      </c>
      <c r="W852" s="21" t="s">
        <v>538</v>
      </c>
    </row>
    <row r="853" customFormat="false" ht="15" hidden="false" customHeight="false" outlineLevel="0" collapsed="false">
      <c r="A853" s="20" t="n">
        <v>852</v>
      </c>
      <c r="B853" s="20" t="s">
        <v>3253</v>
      </c>
      <c r="C853" s="20" t="s">
        <v>5</v>
      </c>
      <c r="D853" s="20" t="s">
        <v>3254</v>
      </c>
      <c r="E853" s="20" t="s">
        <v>32</v>
      </c>
      <c r="F853" s="20" t="s">
        <v>3255</v>
      </c>
      <c r="G853" s="21" t="s">
        <v>3256</v>
      </c>
      <c r="H853" s="20" t="s">
        <v>3257</v>
      </c>
      <c r="I853" s="20"/>
      <c r="J853" s="20"/>
      <c r="K853" s="22" t="n">
        <v>3.7</v>
      </c>
      <c r="L853" s="23" t="n">
        <v>3</v>
      </c>
      <c r="M853" s="20" t="s">
        <v>100</v>
      </c>
      <c r="N853" s="24" t="n">
        <v>6.57072</v>
      </c>
      <c r="O853" s="24" t="n">
        <v>3.37234</v>
      </c>
      <c r="P853" s="20" t="s">
        <v>110</v>
      </c>
      <c r="Q853" s="20" t="s">
        <v>86</v>
      </c>
      <c r="R853" s="20" t="s">
        <v>86</v>
      </c>
      <c r="S853" s="20" t="s">
        <v>87</v>
      </c>
      <c r="T853" s="26" t="s">
        <v>103</v>
      </c>
      <c r="U853" s="20" t="s">
        <v>104</v>
      </c>
      <c r="V853" s="20" t="s">
        <v>138</v>
      </c>
      <c r="W853" s="21" t="s">
        <v>181</v>
      </c>
    </row>
    <row r="854" customFormat="false" ht="15" hidden="false" customHeight="false" outlineLevel="0" collapsed="false">
      <c r="A854" s="20" t="n">
        <v>853</v>
      </c>
      <c r="B854" s="20" t="s">
        <v>3258</v>
      </c>
      <c r="C854" s="20" t="s">
        <v>5</v>
      </c>
      <c r="D854" s="20" t="s">
        <v>3259</v>
      </c>
      <c r="E854" s="20" t="s">
        <v>32</v>
      </c>
      <c r="F854" s="20" t="s">
        <v>3260</v>
      </c>
      <c r="G854" s="21" t="s">
        <v>3259</v>
      </c>
      <c r="H854" s="20"/>
      <c r="I854" s="20"/>
      <c r="J854" s="20"/>
      <c r="K854" s="22" t="n">
        <v>4.6</v>
      </c>
      <c r="L854" s="23" t="n">
        <v>608</v>
      </c>
      <c r="M854" s="20" t="s">
        <v>84</v>
      </c>
      <c r="N854" s="24" t="n">
        <v>6.57572</v>
      </c>
      <c r="O854" s="24" t="n">
        <v>3.37337</v>
      </c>
      <c r="P854" s="20" t="s">
        <v>85</v>
      </c>
      <c r="Q854" s="20" t="s">
        <v>86</v>
      </c>
      <c r="R854" s="20" t="s">
        <v>86</v>
      </c>
      <c r="S854" s="20" t="s">
        <v>87</v>
      </c>
      <c r="T854" s="25" t="s">
        <v>88</v>
      </c>
      <c r="U854" s="20" t="s">
        <v>89</v>
      </c>
      <c r="V854" s="20" t="s">
        <v>90</v>
      </c>
      <c r="W854" s="21"/>
    </row>
    <row r="855" customFormat="false" ht="15" hidden="false" customHeight="false" outlineLevel="0" collapsed="false">
      <c r="A855" s="20" t="n">
        <v>854</v>
      </c>
      <c r="B855" s="20" t="s">
        <v>3261</v>
      </c>
      <c r="C855" s="20" t="s">
        <v>5</v>
      </c>
      <c r="D855" s="20" t="s">
        <v>3262</v>
      </c>
      <c r="E855" s="20" t="s">
        <v>32</v>
      </c>
      <c r="F855" s="20" t="s">
        <v>1706</v>
      </c>
      <c r="G855" s="21" t="s">
        <v>3263</v>
      </c>
      <c r="H855" s="20" t="s">
        <v>3264</v>
      </c>
      <c r="I855" s="20"/>
      <c r="J855" s="20"/>
      <c r="K855" s="22" t="n">
        <v>5</v>
      </c>
      <c r="L855" s="23" t="n">
        <v>2</v>
      </c>
      <c r="M855" s="20" t="s">
        <v>100</v>
      </c>
      <c r="N855" s="24" t="n">
        <v>6.56922</v>
      </c>
      <c r="O855" s="24" t="n">
        <v>3.37362</v>
      </c>
      <c r="P855" s="20" t="s">
        <v>85</v>
      </c>
      <c r="Q855" s="20" t="s">
        <v>86</v>
      </c>
      <c r="R855" s="20" t="s">
        <v>86</v>
      </c>
      <c r="S855" s="20" t="s">
        <v>87</v>
      </c>
      <c r="T855" s="26" t="s">
        <v>103</v>
      </c>
      <c r="U855" s="20" t="s">
        <v>104</v>
      </c>
      <c r="V855" s="20" t="s">
        <v>90</v>
      </c>
      <c r="W855" s="21"/>
    </row>
    <row r="856" customFormat="false" ht="23.85" hidden="false" customHeight="false" outlineLevel="0" collapsed="false">
      <c r="A856" s="20" t="n">
        <v>855</v>
      </c>
      <c r="B856" s="20" t="s">
        <v>3265</v>
      </c>
      <c r="C856" s="20" t="s">
        <v>5</v>
      </c>
      <c r="D856" s="20" t="s">
        <v>3266</v>
      </c>
      <c r="E856" s="20" t="s">
        <v>32</v>
      </c>
      <c r="F856" s="20" t="s">
        <v>32</v>
      </c>
      <c r="G856" s="21" t="s">
        <v>3267</v>
      </c>
      <c r="H856" s="20" t="s">
        <v>3268</v>
      </c>
      <c r="I856" s="20"/>
      <c r="J856" s="20"/>
      <c r="K856" s="22"/>
      <c r="L856" s="23"/>
      <c r="M856" s="20" t="s">
        <v>100</v>
      </c>
      <c r="N856" s="24"/>
      <c r="O856" s="24"/>
      <c r="P856" s="20" t="s">
        <v>101</v>
      </c>
      <c r="Q856" s="20" t="s">
        <v>86</v>
      </c>
      <c r="R856" s="20" t="s">
        <v>86</v>
      </c>
      <c r="S856" s="20" t="s">
        <v>102</v>
      </c>
      <c r="T856" s="26" t="s">
        <v>103</v>
      </c>
      <c r="U856" s="20" t="s">
        <v>104</v>
      </c>
      <c r="V856" s="20" t="s">
        <v>138</v>
      </c>
      <c r="W856" s="21" t="s">
        <v>538</v>
      </c>
    </row>
    <row r="857" customFormat="false" ht="15" hidden="false" customHeight="false" outlineLevel="0" collapsed="false">
      <c r="A857" s="20" t="n">
        <v>856</v>
      </c>
      <c r="B857" s="20" t="s">
        <v>3269</v>
      </c>
      <c r="C857" s="20" t="s">
        <v>5</v>
      </c>
      <c r="D857" s="20" t="s">
        <v>3270</v>
      </c>
      <c r="E857" s="20" t="s">
        <v>32</v>
      </c>
      <c r="F857" s="20" t="s">
        <v>32</v>
      </c>
      <c r="G857" s="21" t="s">
        <v>3271</v>
      </c>
      <c r="H857" s="20" t="s">
        <v>3272</v>
      </c>
      <c r="I857" s="20"/>
      <c r="J857" s="20"/>
      <c r="K857" s="22"/>
      <c r="L857" s="23"/>
      <c r="M857" s="20" t="s">
        <v>100</v>
      </c>
      <c r="N857" s="24"/>
      <c r="O857" s="24"/>
      <c r="P857" s="20" t="s">
        <v>101</v>
      </c>
      <c r="Q857" s="20" t="s">
        <v>86</v>
      </c>
      <c r="R857" s="20" t="s">
        <v>86</v>
      </c>
      <c r="S857" s="20" t="s">
        <v>102</v>
      </c>
      <c r="T857" s="26" t="s">
        <v>103</v>
      </c>
      <c r="U857" s="20" t="s">
        <v>104</v>
      </c>
      <c r="V857" s="20" t="s">
        <v>138</v>
      </c>
      <c r="W857" s="21" t="s">
        <v>538</v>
      </c>
    </row>
    <row r="858" customFormat="false" ht="15" hidden="false" customHeight="false" outlineLevel="0" collapsed="false">
      <c r="A858" s="20" t="n">
        <v>857</v>
      </c>
      <c r="B858" s="20" t="s">
        <v>3273</v>
      </c>
      <c r="C858" s="20" t="s">
        <v>5</v>
      </c>
      <c r="D858" s="20"/>
      <c r="E858" s="20" t="s">
        <v>32</v>
      </c>
      <c r="F858" s="20"/>
      <c r="G858" s="21"/>
      <c r="H858" s="20" t="s">
        <v>3274</v>
      </c>
      <c r="I858" s="20"/>
      <c r="J858" s="20"/>
      <c r="K858" s="22" t="n">
        <v>5</v>
      </c>
      <c r="L858" s="23" t="n">
        <v>1</v>
      </c>
      <c r="M858" s="20" t="s">
        <v>100</v>
      </c>
      <c r="N858" s="24" t="n">
        <v>6.57642</v>
      </c>
      <c r="O858" s="24" t="n">
        <v>3.36534</v>
      </c>
      <c r="P858" s="20" t="s">
        <v>85</v>
      </c>
      <c r="Q858" s="20" t="s">
        <v>86</v>
      </c>
      <c r="R858" s="20" t="s">
        <v>86</v>
      </c>
      <c r="S858" s="20" t="s">
        <v>87</v>
      </c>
      <c r="T858" s="26" t="s">
        <v>103</v>
      </c>
      <c r="U858" s="20" t="s">
        <v>104</v>
      </c>
      <c r="V858" s="20" t="s">
        <v>90</v>
      </c>
      <c r="W858" s="21"/>
    </row>
    <row r="859" customFormat="false" ht="15" hidden="false" customHeight="false" outlineLevel="0" collapsed="false">
      <c r="A859" s="20" t="n">
        <v>858</v>
      </c>
      <c r="B859" s="20" t="s">
        <v>3275</v>
      </c>
      <c r="C859" s="20" t="s">
        <v>5</v>
      </c>
      <c r="D859" s="20"/>
      <c r="E859" s="20" t="s">
        <v>32</v>
      </c>
      <c r="F859" s="20"/>
      <c r="G859" s="21"/>
      <c r="H859" s="20"/>
      <c r="I859" s="20"/>
      <c r="J859" s="20"/>
      <c r="K859" s="22" t="n">
        <v>4.3</v>
      </c>
      <c r="L859" s="23" t="n">
        <v>445</v>
      </c>
      <c r="M859" s="20" t="s">
        <v>84</v>
      </c>
      <c r="N859" s="24" t="n">
        <v>6.57393</v>
      </c>
      <c r="O859" s="24" t="n">
        <v>3.35861</v>
      </c>
      <c r="P859" s="20" t="s">
        <v>85</v>
      </c>
      <c r="Q859" s="20" t="s">
        <v>86</v>
      </c>
      <c r="R859" s="20" t="s">
        <v>86</v>
      </c>
      <c r="S859" s="20" t="s">
        <v>87</v>
      </c>
      <c r="T859" s="25" t="s">
        <v>88</v>
      </c>
      <c r="U859" s="20" t="s">
        <v>89</v>
      </c>
      <c r="V859" s="20" t="s">
        <v>90</v>
      </c>
      <c r="W859" s="21"/>
    </row>
    <row r="860" customFormat="false" ht="15" hidden="false" customHeight="false" outlineLevel="0" collapsed="false">
      <c r="A860" s="20" t="n">
        <v>859</v>
      </c>
      <c r="B860" s="20" t="s">
        <v>3276</v>
      </c>
      <c r="C860" s="20" t="s">
        <v>5</v>
      </c>
      <c r="D860" s="20" t="s">
        <v>3277</v>
      </c>
      <c r="E860" s="20" t="s">
        <v>32</v>
      </c>
      <c r="F860" s="20" t="s">
        <v>1869</v>
      </c>
      <c r="G860" s="21" t="s">
        <v>3277</v>
      </c>
      <c r="H860" s="20"/>
      <c r="I860" s="20"/>
      <c r="J860" s="20"/>
      <c r="K860" s="22"/>
      <c r="L860" s="23"/>
      <c r="M860" s="20" t="s">
        <v>84</v>
      </c>
      <c r="N860" s="24" t="n">
        <v>6.5762</v>
      </c>
      <c r="O860" s="24" t="n">
        <v>3.36085</v>
      </c>
      <c r="P860" s="20" t="s">
        <v>85</v>
      </c>
      <c r="Q860" s="20" t="s">
        <v>86</v>
      </c>
      <c r="R860" s="20" t="s">
        <v>86</v>
      </c>
      <c r="S860" s="20" t="s">
        <v>87</v>
      </c>
      <c r="T860" s="25" t="s">
        <v>88</v>
      </c>
      <c r="U860" s="20" t="s">
        <v>89</v>
      </c>
      <c r="V860" s="20" t="s">
        <v>90</v>
      </c>
      <c r="W860" s="21"/>
    </row>
    <row r="861" customFormat="false" ht="23.85" hidden="false" customHeight="false" outlineLevel="0" collapsed="false">
      <c r="A861" s="20" t="n">
        <v>860</v>
      </c>
      <c r="B861" s="20" t="s">
        <v>3278</v>
      </c>
      <c r="C861" s="20" t="s">
        <v>5</v>
      </c>
      <c r="D861" s="20" t="s">
        <v>3279</v>
      </c>
      <c r="E861" s="20" t="s">
        <v>32</v>
      </c>
      <c r="F861" s="20" t="s">
        <v>1898</v>
      </c>
      <c r="G861" s="21" t="s">
        <v>3280</v>
      </c>
      <c r="H861" s="20"/>
      <c r="I861" s="20"/>
      <c r="J861" s="20"/>
      <c r="K861" s="22"/>
      <c r="L861" s="23"/>
      <c r="M861" s="20" t="s">
        <v>84</v>
      </c>
      <c r="N861" s="24"/>
      <c r="O861" s="24"/>
      <c r="P861" s="20" t="s">
        <v>101</v>
      </c>
      <c r="Q861" s="20" t="s">
        <v>86</v>
      </c>
      <c r="R861" s="20" t="s">
        <v>86</v>
      </c>
      <c r="S861" s="20" t="s">
        <v>102</v>
      </c>
      <c r="T861" s="25" t="s">
        <v>88</v>
      </c>
      <c r="U861" s="20" t="s">
        <v>89</v>
      </c>
      <c r="V861" s="20" t="s">
        <v>138</v>
      </c>
      <c r="W861" s="21" t="s">
        <v>181</v>
      </c>
    </row>
    <row r="862" customFormat="false" ht="23.85" hidden="false" customHeight="false" outlineLevel="0" collapsed="false">
      <c r="A862" s="20" t="n">
        <v>861</v>
      </c>
      <c r="B862" s="20" t="s">
        <v>3281</v>
      </c>
      <c r="C862" s="20" t="s">
        <v>5</v>
      </c>
      <c r="D862" s="20" t="s">
        <v>3282</v>
      </c>
      <c r="E862" s="20" t="s">
        <v>32</v>
      </c>
      <c r="F862" s="20" t="s">
        <v>3283</v>
      </c>
      <c r="G862" s="21" t="s">
        <v>3284</v>
      </c>
      <c r="H862" s="20" t="s">
        <v>3285</v>
      </c>
      <c r="I862" s="20"/>
      <c r="J862" s="20"/>
      <c r="K862" s="22"/>
      <c r="L862" s="23"/>
      <c r="M862" s="20" t="s">
        <v>100</v>
      </c>
      <c r="N862" s="24"/>
      <c r="O862" s="24"/>
      <c r="P862" s="20" t="s">
        <v>101</v>
      </c>
      <c r="Q862" s="20" t="s">
        <v>86</v>
      </c>
      <c r="R862" s="20" t="s">
        <v>86</v>
      </c>
      <c r="S862" s="20" t="s">
        <v>102</v>
      </c>
      <c r="T862" s="26" t="s">
        <v>103</v>
      </c>
      <c r="U862" s="20" t="s">
        <v>104</v>
      </c>
      <c r="V862" s="20" t="s">
        <v>138</v>
      </c>
      <c r="W862" s="21" t="s">
        <v>181</v>
      </c>
    </row>
    <row r="863" customFormat="false" ht="15" hidden="false" customHeight="false" outlineLevel="0" collapsed="false">
      <c r="A863" s="20" t="n">
        <v>862</v>
      </c>
      <c r="B863" s="20" t="s">
        <v>3286</v>
      </c>
      <c r="C863" s="20" t="s">
        <v>5</v>
      </c>
      <c r="D863" s="20" t="s">
        <v>3287</v>
      </c>
      <c r="E863" s="20" t="s">
        <v>32</v>
      </c>
      <c r="F863" s="20" t="s">
        <v>1717</v>
      </c>
      <c r="G863" s="21" t="s">
        <v>3288</v>
      </c>
      <c r="H863" s="20" t="s">
        <v>3289</v>
      </c>
      <c r="I863" s="20"/>
      <c r="J863" s="20"/>
      <c r="K863" s="22"/>
      <c r="L863" s="23"/>
      <c r="M863" s="20" t="s">
        <v>100</v>
      </c>
      <c r="N863" s="24"/>
      <c r="O863" s="24"/>
      <c r="P863" s="20" t="s">
        <v>101</v>
      </c>
      <c r="Q863" s="20" t="s">
        <v>86</v>
      </c>
      <c r="R863" s="20" t="s">
        <v>86</v>
      </c>
      <c r="S863" s="20" t="s">
        <v>102</v>
      </c>
      <c r="T863" s="26" t="s">
        <v>103</v>
      </c>
      <c r="U863" s="20" t="s">
        <v>104</v>
      </c>
      <c r="V863" s="20" t="s">
        <v>138</v>
      </c>
      <c r="W863" s="21" t="s">
        <v>181</v>
      </c>
    </row>
    <row r="864" customFormat="false" ht="15" hidden="false" customHeight="false" outlineLevel="0" collapsed="false">
      <c r="A864" s="20" t="n">
        <v>863</v>
      </c>
      <c r="B864" s="20" t="s">
        <v>3290</v>
      </c>
      <c r="C864" s="20" t="s">
        <v>5</v>
      </c>
      <c r="D864" s="20"/>
      <c r="E864" s="20" t="s">
        <v>32</v>
      </c>
      <c r="F864" s="20"/>
      <c r="G864" s="21"/>
      <c r="H864" s="20"/>
      <c r="I864" s="20"/>
      <c r="J864" s="20"/>
      <c r="K864" s="22" t="n">
        <v>4.2</v>
      </c>
      <c r="L864" s="23" t="n">
        <v>66</v>
      </c>
      <c r="M864" s="20" t="s">
        <v>84</v>
      </c>
      <c r="N864" s="24" t="n">
        <v>6.57012</v>
      </c>
      <c r="O864" s="24" t="n">
        <v>3.3743</v>
      </c>
      <c r="P864" s="20" t="s">
        <v>85</v>
      </c>
      <c r="Q864" s="20" t="s">
        <v>86</v>
      </c>
      <c r="R864" s="20" t="s">
        <v>86</v>
      </c>
      <c r="S864" s="20" t="s">
        <v>87</v>
      </c>
      <c r="T864" s="25" t="s">
        <v>88</v>
      </c>
      <c r="U864" s="20" t="s">
        <v>89</v>
      </c>
      <c r="V864" s="20" t="s">
        <v>90</v>
      </c>
      <c r="W864" s="21"/>
    </row>
    <row r="865" customFormat="false" ht="23.85" hidden="false" customHeight="false" outlineLevel="0" collapsed="false">
      <c r="A865" s="20" t="n">
        <v>864</v>
      </c>
      <c r="B865" s="20" t="s">
        <v>3291</v>
      </c>
      <c r="C865" s="20" t="s">
        <v>5</v>
      </c>
      <c r="D865" s="20" t="s">
        <v>3292</v>
      </c>
      <c r="E865" s="20" t="s">
        <v>32</v>
      </c>
      <c r="F865" s="20" t="s">
        <v>3255</v>
      </c>
      <c r="G865" s="21" t="s">
        <v>3293</v>
      </c>
      <c r="H865" s="20" t="s">
        <v>3294</v>
      </c>
      <c r="I865" s="20"/>
      <c r="J865" s="20"/>
      <c r="K865" s="22"/>
      <c r="L865" s="23"/>
      <c r="M865" s="20" t="s">
        <v>100</v>
      </c>
      <c r="N865" s="24"/>
      <c r="O865" s="24"/>
      <c r="P865" s="20" t="s">
        <v>101</v>
      </c>
      <c r="Q865" s="20" t="s">
        <v>86</v>
      </c>
      <c r="R865" s="20" t="s">
        <v>86</v>
      </c>
      <c r="S865" s="20" t="s">
        <v>102</v>
      </c>
      <c r="T865" s="26" t="s">
        <v>103</v>
      </c>
      <c r="U865" s="20" t="s">
        <v>104</v>
      </c>
      <c r="V865" s="20" t="s">
        <v>138</v>
      </c>
      <c r="W865" s="21" t="s">
        <v>181</v>
      </c>
    </row>
    <row r="866" customFormat="false" ht="15" hidden="false" customHeight="false" outlineLevel="0" collapsed="false">
      <c r="A866" s="20" t="n">
        <v>865</v>
      </c>
      <c r="B866" s="20" t="s">
        <v>3295</v>
      </c>
      <c r="C866" s="20" t="s">
        <v>5</v>
      </c>
      <c r="D866" s="20" t="s">
        <v>3124</v>
      </c>
      <c r="E866" s="20" t="s">
        <v>32</v>
      </c>
      <c r="F866" s="20" t="s">
        <v>1894</v>
      </c>
      <c r="G866" s="21" t="s">
        <v>3296</v>
      </c>
      <c r="H866" s="20" t="s">
        <v>3297</v>
      </c>
      <c r="I866" s="20"/>
      <c r="J866" s="20"/>
      <c r="K866" s="22" t="n">
        <v>5</v>
      </c>
      <c r="L866" s="23" t="n">
        <v>1</v>
      </c>
      <c r="M866" s="20" t="s">
        <v>100</v>
      </c>
      <c r="N866" s="24" t="n">
        <v>6.57599</v>
      </c>
      <c r="O866" s="24" t="n">
        <v>3.36824</v>
      </c>
      <c r="P866" s="20" t="s">
        <v>85</v>
      </c>
      <c r="Q866" s="20" t="s">
        <v>86</v>
      </c>
      <c r="R866" s="20" t="s">
        <v>86</v>
      </c>
      <c r="S866" s="20" t="s">
        <v>87</v>
      </c>
      <c r="T866" s="26" t="s">
        <v>103</v>
      </c>
      <c r="U866" s="20" t="s">
        <v>104</v>
      </c>
      <c r="V866" s="20" t="s">
        <v>90</v>
      </c>
      <c r="W866" s="21"/>
    </row>
    <row r="867" customFormat="false" ht="15" hidden="false" customHeight="false" outlineLevel="0" collapsed="false">
      <c r="A867" s="20" t="n">
        <v>866</v>
      </c>
      <c r="B867" s="20" t="s">
        <v>3298</v>
      </c>
      <c r="C867" s="20" t="s">
        <v>5</v>
      </c>
      <c r="D867" s="20" t="s">
        <v>3299</v>
      </c>
      <c r="E867" s="20" t="s">
        <v>32</v>
      </c>
      <c r="F867" s="20" t="s">
        <v>32</v>
      </c>
      <c r="G867" s="21" t="s">
        <v>3300</v>
      </c>
      <c r="H867" s="20" t="s">
        <v>3301</v>
      </c>
      <c r="I867" s="20"/>
      <c r="J867" s="20"/>
      <c r="K867" s="22"/>
      <c r="L867" s="23"/>
      <c r="M867" s="20" t="s">
        <v>100</v>
      </c>
      <c r="N867" s="24"/>
      <c r="O867" s="24"/>
      <c r="P867" s="20" t="s">
        <v>101</v>
      </c>
      <c r="Q867" s="20" t="s">
        <v>86</v>
      </c>
      <c r="R867" s="20" t="s">
        <v>86</v>
      </c>
      <c r="S867" s="20" t="s">
        <v>102</v>
      </c>
      <c r="T867" s="26" t="s">
        <v>103</v>
      </c>
      <c r="U867" s="20" t="s">
        <v>104</v>
      </c>
      <c r="V867" s="20" t="s">
        <v>138</v>
      </c>
      <c r="W867" s="21" t="s">
        <v>538</v>
      </c>
    </row>
    <row r="868" customFormat="false" ht="15" hidden="false" customHeight="false" outlineLevel="0" collapsed="false">
      <c r="A868" s="20" t="n">
        <v>867</v>
      </c>
      <c r="B868" s="20" t="s">
        <v>3302</v>
      </c>
      <c r="C868" s="20" t="s">
        <v>5</v>
      </c>
      <c r="D868" s="20" t="s">
        <v>3303</v>
      </c>
      <c r="E868" s="20" t="s">
        <v>32</v>
      </c>
      <c r="F868" s="20" t="s">
        <v>32</v>
      </c>
      <c r="G868" s="21" t="s">
        <v>3304</v>
      </c>
      <c r="H868" s="20" t="s">
        <v>3305</v>
      </c>
      <c r="I868" s="20"/>
      <c r="J868" s="20"/>
      <c r="K868" s="22"/>
      <c r="L868" s="23"/>
      <c r="M868" s="20" t="s">
        <v>100</v>
      </c>
      <c r="N868" s="24"/>
      <c r="O868" s="24"/>
      <c r="P868" s="20" t="s">
        <v>101</v>
      </c>
      <c r="Q868" s="20" t="s">
        <v>86</v>
      </c>
      <c r="R868" s="20" t="s">
        <v>86</v>
      </c>
      <c r="S868" s="20" t="s">
        <v>102</v>
      </c>
      <c r="T868" s="26" t="s">
        <v>103</v>
      </c>
      <c r="U868" s="20" t="s">
        <v>104</v>
      </c>
      <c r="V868" s="20" t="s">
        <v>138</v>
      </c>
      <c r="W868" s="21" t="s">
        <v>538</v>
      </c>
    </row>
    <row r="869" customFormat="false" ht="15" hidden="false" customHeight="false" outlineLevel="0" collapsed="false">
      <c r="A869" s="20" t="n">
        <v>868</v>
      </c>
      <c r="B869" s="20" t="s">
        <v>3306</v>
      </c>
      <c r="C869" s="20" t="s">
        <v>5</v>
      </c>
      <c r="D869" s="20"/>
      <c r="E869" s="20" t="s">
        <v>32</v>
      </c>
      <c r="F869" s="20"/>
      <c r="G869" s="21"/>
      <c r="H869" s="20"/>
      <c r="I869" s="20"/>
      <c r="J869" s="20"/>
      <c r="K869" s="22" t="n">
        <v>3.9</v>
      </c>
      <c r="L869" s="23" t="n">
        <v>197</v>
      </c>
      <c r="M869" s="20" t="s">
        <v>84</v>
      </c>
      <c r="N869" s="24" t="n">
        <v>6.5713</v>
      </c>
      <c r="O869" s="24" t="n">
        <v>3.37097</v>
      </c>
      <c r="P869" s="20" t="s">
        <v>85</v>
      </c>
      <c r="Q869" s="20" t="s">
        <v>86</v>
      </c>
      <c r="R869" s="20" t="s">
        <v>86</v>
      </c>
      <c r="S869" s="20" t="s">
        <v>87</v>
      </c>
      <c r="T869" s="25" t="s">
        <v>88</v>
      </c>
      <c r="U869" s="20" t="s">
        <v>89</v>
      </c>
      <c r="V869" s="20" t="s">
        <v>90</v>
      </c>
      <c r="W869" s="21"/>
    </row>
    <row r="870" customFormat="false" ht="15" hidden="false" customHeight="false" outlineLevel="0" collapsed="false">
      <c r="A870" s="20" t="n">
        <v>869</v>
      </c>
      <c r="B870" s="20" t="s">
        <v>3307</v>
      </c>
      <c r="C870" s="20" t="s">
        <v>5</v>
      </c>
      <c r="D870" s="20" t="s">
        <v>3308</v>
      </c>
      <c r="E870" s="20" t="s">
        <v>32</v>
      </c>
      <c r="F870" s="20" t="s">
        <v>32</v>
      </c>
      <c r="G870" s="21" t="s">
        <v>3309</v>
      </c>
      <c r="H870" s="20" t="s">
        <v>3310</v>
      </c>
      <c r="I870" s="20"/>
      <c r="J870" s="20"/>
      <c r="K870" s="22" t="n">
        <v>4.8</v>
      </c>
      <c r="L870" s="23" t="n">
        <v>90</v>
      </c>
      <c r="M870" s="20" t="s">
        <v>100</v>
      </c>
      <c r="N870" s="24"/>
      <c r="O870" s="24"/>
      <c r="P870" s="20" t="s">
        <v>101</v>
      </c>
      <c r="Q870" s="20" t="s">
        <v>86</v>
      </c>
      <c r="R870" s="20" t="s">
        <v>86</v>
      </c>
      <c r="S870" s="20" t="s">
        <v>102</v>
      </c>
      <c r="T870" s="27" t="s">
        <v>117</v>
      </c>
      <c r="U870" s="20" t="s">
        <v>118</v>
      </c>
      <c r="V870" s="20" t="s">
        <v>138</v>
      </c>
      <c r="W870" s="21" t="s">
        <v>299</v>
      </c>
    </row>
    <row r="871" customFormat="false" ht="23.85" hidden="false" customHeight="false" outlineLevel="0" collapsed="false">
      <c r="A871" s="20" t="n">
        <v>870</v>
      </c>
      <c r="B871" s="20" t="s">
        <v>3311</v>
      </c>
      <c r="C871" s="20" t="s">
        <v>5</v>
      </c>
      <c r="D871" s="20" t="s">
        <v>3312</v>
      </c>
      <c r="E871" s="20" t="s">
        <v>32</v>
      </c>
      <c r="F871" s="20" t="s">
        <v>1729</v>
      </c>
      <c r="G871" s="21" t="s">
        <v>3313</v>
      </c>
      <c r="H871" s="20" t="s">
        <v>3314</v>
      </c>
      <c r="I871" s="20"/>
      <c r="J871" s="20" t="s">
        <v>3315</v>
      </c>
      <c r="K871" s="22" t="n">
        <v>1</v>
      </c>
      <c r="L871" s="23" t="n">
        <v>1</v>
      </c>
      <c r="M871" s="20" t="s">
        <v>100</v>
      </c>
      <c r="N871" s="24" t="n">
        <v>6.5568</v>
      </c>
      <c r="O871" s="24" t="n">
        <v>3.3671708</v>
      </c>
      <c r="P871" s="20" t="s">
        <v>125</v>
      </c>
      <c r="Q871" s="20" t="s">
        <v>86</v>
      </c>
      <c r="R871" s="20" t="s">
        <v>86</v>
      </c>
      <c r="S871" s="20" t="s">
        <v>87</v>
      </c>
      <c r="T871" s="26" t="s">
        <v>103</v>
      </c>
      <c r="U871" s="20" t="s">
        <v>104</v>
      </c>
      <c r="V871" s="20" t="s">
        <v>90</v>
      </c>
      <c r="W871" s="21"/>
    </row>
    <row r="872" customFormat="false" ht="15" hidden="false" customHeight="false" outlineLevel="0" collapsed="false">
      <c r="A872" s="20" t="n">
        <v>871</v>
      </c>
      <c r="B872" s="20" t="s">
        <v>3316</v>
      </c>
      <c r="C872" s="20" t="s">
        <v>5</v>
      </c>
      <c r="D872" s="20" t="s">
        <v>3317</v>
      </c>
      <c r="E872" s="20" t="s">
        <v>32</v>
      </c>
      <c r="F872" s="20" t="s">
        <v>1847</v>
      </c>
      <c r="G872" s="21" t="s">
        <v>3317</v>
      </c>
      <c r="H872" s="20" t="s">
        <v>3318</v>
      </c>
      <c r="I872" s="20"/>
      <c r="J872" s="20"/>
      <c r="K872" s="22" t="n">
        <v>4</v>
      </c>
      <c r="L872" s="23" t="n">
        <v>6</v>
      </c>
      <c r="M872" s="20" t="s">
        <v>100</v>
      </c>
      <c r="N872" s="24" t="n">
        <v>6.57416</v>
      </c>
      <c r="O872" s="24" t="n">
        <v>3.36129</v>
      </c>
      <c r="P872" s="20" t="s">
        <v>85</v>
      </c>
      <c r="Q872" s="20" t="s">
        <v>86</v>
      </c>
      <c r="R872" s="20" t="s">
        <v>86</v>
      </c>
      <c r="S872" s="20" t="s">
        <v>87</v>
      </c>
      <c r="T872" s="26" t="s">
        <v>103</v>
      </c>
      <c r="U872" s="20" t="s">
        <v>104</v>
      </c>
      <c r="V872" s="20" t="s">
        <v>90</v>
      </c>
      <c r="W872" s="21"/>
    </row>
    <row r="873" customFormat="false" ht="15" hidden="false" customHeight="false" outlineLevel="0" collapsed="false">
      <c r="A873" s="20" t="n">
        <v>872</v>
      </c>
      <c r="B873" s="20" t="s">
        <v>3319</v>
      </c>
      <c r="C873" s="20" t="s">
        <v>5</v>
      </c>
      <c r="D873" s="20"/>
      <c r="E873" s="20" t="s">
        <v>32</v>
      </c>
      <c r="F873" s="20"/>
      <c r="G873" s="21"/>
      <c r="H873" s="20"/>
      <c r="I873" s="20"/>
      <c r="J873" s="20"/>
      <c r="K873" s="22" t="n">
        <v>5</v>
      </c>
      <c r="L873" s="23" t="n">
        <v>1</v>
      </c>
      <c r="M873" s="20" t="s">
        <v>84</v>
      </c>
      <c r="N873" s="24" t="n">
        <v>6.57642</v>
      </c>
      <c r="O873" s="24" t="n">
        <v>3.36534</v>
      </c>
      <c r="P873" s="20" t="s">
        <v>85</v>
      </c>
      <c r="Q873" s="20" t="s">
        <v>86</v>
      </c>
      <c r="R873" s="20" t="s">
        <v>86</v>
      </c>
      <c r="S873" s="20" t="s">
        <v>87</v>
      </c>
      <c r="T873" s="25" t="s">
        <v>88</v>
      </c>
      <c r="U873" s="20" t="s">
        <v>89</v>
      </c>
      <c r="V873" s="20" t="s">
        <v>90</v>
      </c>
      <c r="W873" s="21"/>
    </row>
    <row r="874" customFormat="false" ht="15" hidden="false" customHeight="false" outlineLevel="0" collapsed="false">
      <c r="A874" s="20" t="n">
        <v>873</v>
      </c>
      <c r="B874" s="20" t="s">
        <v>3320</v>
      </c>
      <c r="C874" s="20" t="s">
        <v>5</v>
      </c>
      <c r="D874" s="20" t="s">
        <v>3321</v>
      </c>
      <c r="E874" s="20" t="s">
        <v>33</v>
      </c>
      <c r="F874" s="20" t="s">
        <v>719</v>
      </c>
      <c r="G874" s="21" t="s">
        <v>3322</v>
      </c>
      <c r="H874" s="20" t="s">
        <v>3323</v>
      </c>
      <c r="I874" s="20"/>
      <c r="J874" s="20"/>
      <c r="K874" s="22" t="n">
        <v>5</v>
      </c>
      <c r="L874" s="23" t="n">
        <v>1</v>
      </c>
      <c r="M874" s="20" t="s">
        <v>100</v>
      </c>
      <c r="N874" s="24" t="n">
        <v>6.57142</v>
      </c>
      <c r="O874" s="24" t="n">
        <v>3.36357</v>
      </c>
      <c r="P874" s="20" t="s">
        <v>85</v>
      </c>
      <c r="Q874" s="20" t="s">
        <v>86</v>
      </c>
      <c r="R874" s="20" t="s">
        <v>86</v>
      </c>
      <c r="S874" s="20" t="s">
        <v>87</v>
      </c>
      <c r="T874" s="26" t="s">
        <v>103</v>
      </c>
      <c r="U874" s="20" t="s">
        <v>104</v>
      </c>
      <c r="V874" s="20" t="s">
        <v>90</v>
      </c>
      <c r="W874" s="21"/>
    </row>
    <row r="875" customFormat="false" ht="15" hidden="false" customHeight="false" outlineLevel="0" collapsed="false">
      <c r="A875" s="20" t="n">
        <v>874</v>
      </c>
      <c r="B875" s="20" t="s">
        <v>3324</v>
      </c>
      <c r="C875" s="20" t="s">
        <v>5</v>
      </c>
      <c r="D875" s="20" t="s">
        <v>3325</v>
      </c>
      <c r="E875" s="20" t="s">
        <v>33</v>
      </c>
      <c r="F875" s="20" t="s">
        <v>719</v>
      </c>
      <c r="G875" s="21" t="s">
        <v>3325</v>
      </c>
      <c r="H875" s="20" t="s">
        <v>3326</v>
      </c>
      <c r="I875" s="20"/>
      <c r="J875" s="20"/>
      <c r="K875" s="22" t="n">
        <v>3</v>
      </c>
      <c r="L875" s="23" t="n">
        <v>2</v>
      </c>
      <c r="M875" s="20" t="s">
        <v>100</v>
      </c>
      <c r="N875" s="24" t="n">
        <v>6.57603</v>
      </c>
      <c r="O875" s="24" t="n">
        <v>3.37468</v>
      </c>
      <c r="P875" s="20" t="s">
        <v>85</v>
      </c>
      <c r="Q875" s="20" t="s">
        <v>86</v>
      </c>
      <c r="R875" s="20" t="s">
        <v>86</v>
      </c>
      <c r="S875" s="20" t="s">
        <v>87</v>
      </c>
      <c r="T875" s="26" t="s">
        <v>103</v>
      </c>
      <c r="U875" s="20" t="s">
        <v>104</v>
      </c>
      <c r="V875" s="20" t="s">
        <v>90</v>
      </c>
      <c r="W875" s="21"/>
    </row>
    <row r="876" customFormat="false" ht="15" hidden="false" customHeight="false" outlineLevel="0" collapsed="false">
      <c r="A876" s="20" t="n">
        <v>875</v>
      </c>
      <c r="B876" s="20" t="s">
        <v>3327</v>
      </c>
      <c r="C876" s="20" t="s">
        <v>5</v>
      </c>
      <c r="D876" s="20" t="s">
        <v>3328</v>
      </c>
      <c r="E876" s="20" t="s">
        <v>33</v>
      </c>
      <c r="F876" s="20" t="s">
        <v>3329</v>
      </c>
      <c r="G876" s="21" t="s">
        <v>3328</v>
      </c>
      <c r="H876" s="20" t="s">
        <v>3330</v>
      </c>
      <c r="I876" s="20"/>
      <c r="J876" s="20"/>
      <c r="K876" s="22"/>
      <c r="L876" s="23"/>
      <c r="M876" s="20" t="s">
        <v>100</v>
      </c>
      <c r="N876" s="24" t="n">
        <v>6.57157</v>
      </c>
      <c r="O876" s="24" t="n">
        <v>3.37436</v>
      </c>
      <c r="P876" s="20" t="s">
        <v>85</v>
      </c>
      <c r="Q876" s="20" t="s">
        <v>86</v>
      </c>
      <c r="R876" s="20" t="s">
        <v>86</v>
      </c>
      <c r="S876" s="20" t="s">
        <v>87</v>
      </c>
      <c r="T876" s="26" t="s">
        <v>103</v>
      </c>
      <c r="U876" s="20" t="s">
        <v>104</v>
      </c>
      <c r="V876" s="20" t="s">
        <v>90</v>
      </c>
      <c r="W876" s="21"/>
    </row>
    <row r="877" customFormat="false" ht="15" hidden="false" customHeight="false" outlineLevel="0" collapsed="false">
      <c r="A877" s="20" t="n">
        <v>876</v>
      </c>
      <c r="B877" s="20" t="s">
        <v>3331</v>
      </c>
      <c r="C877" s="20" t="s">
        <v>5</v>
      </c>
      <c r="D877" s="20" t="s">
        <v>296</v>
      </c>
      <c r="E877" s="20" t="s">
        <v>33</v>
      </c>
      <c r="F877" s="20" t="s">
        <v>3332</v>
      </c>
      <c r="G877" s="21" t="s">
        <v>296</v>
      </c>
      <c r="H877" s="20" t="s">
        <v>3333</v>
      </c>
      <c r="I877" s="20"/>
      <c r="J877" s="20"/>
      <c r="K877" s="22" t="n">
        <v>5</v>
      </c>
      <c r="L877" s="23" t="n">
        <v>1</v>
      </c>
      <c r="M877" s="20" t="s">
        <v>100</v>
      </c>
      <c r="N877" s="24" t="n">
        <v>6.56725</v>
      </c>
      <c r="O877" s="24" t="n">
        <v>3.36643</v>
      </c>
      <c r="P877" s="20" t="s">
        <v>85</v>
      </c>
      <c r="Q877" s="20" t="s">
        <v>86</v>
      </c>
      <c r="R877" s="20" t="s">
        <v>86</v>
      </c>
      <c r="S877" s="20" t="s">
        <v>87</v>
      </c>
      <c r="T877" s="26" t="s">
        <v>103</v>
      </c>
      <c r="U877" s="20" t="s">
        <v>104</v>
      </c>
      <c r="V877" s="20" t="s">
        <v>90</v>
      </c>
      <c r="W877" s="21"/>
    </row>
    <row r="878" customFormat="false" ht="15" hidden="false" customHeight="false" outlineLevel="0" collapsed="false">
      <c r="A878" s="20" t="n">
        <v>877</v>
      </c>
      <c r="B878" s="20" t="s">
        <v>3334</v>
      </c>
      <c r="C878" s="20" t="s">
        <v>5</v>
      </c>
      <c r="D878" s="20" t="s">
        <v>3335</v>
      </c>
      <c r="E878" s="20" t="s">
        <v>33</v>
      </c>
      <c r="F878" s="20" t="s">
        <v>719</v>
      </c>
      <c r="G878" s="21" t="s">
        <v>3336</v>
      </c>
      <c r="H878" s="20" t="s">
        <v>3337</v>
      </c>
      <c r="I878" s="20"/>
      <c r="J878" s="20"/>
      <c r="K878" s="22" t="n">
        <v>5</v>
      </c>
      <c r="L878" s="23" t="n">
        <v>3</v>
      </c>
      <c r="M878" s="20" t="s">
        <v>100</v>
      </c>
      <c r="N878" s="24" t="n">
        <v>6.57093</v>
      </c>
      <c r="O878" s="24" t="n">
        <v>3.36241</v>
      </c>
      <c r="P878" s="20" t="s">
        <v>85</v>
      </c>
      <c r="Q878" s="20" t="s">
        <v>86</v>
      </c>
      <c r="R878" s="20" t="s">
        <v>86</v>
      </c>
      <c r="S878" s="20" t="s">
        <v>87</v>
      </c>
      <c r="T878" s="26" t="s">
        <v>103</v>
      </c>
      <c r="U878" s="20" t="s">
        <v>104</v>
      </c>
      <c r="V878" s="20" t="s">
        <v>90</v>
      </c>
      <c r="W878" s="21"/>
    </row>
    <row r="879" customFormat="false" ht="23.85" hidden="false" customHeight="false" outlineLevel="0" collapsed="false">
      <c r="A879" s="20" t="n">
        <v>878</v>
      </c>
      <c r="B879" s="20" t="s">
        <v>3338</v>
      </c>
      <c r="C879" s="20" t="s">
        <v>5</v>
      </c>
      <c r="D879" s="20" t="s">
        <v>3153</v>
      </c>
      <c r="E879" s="20" t="s">
        <v>33</v>
      </c>
      <c r="F879" s="20" t="s">
        <v>3339</v>
      </c>
      <c r="G879" s="21" t="s">
        <v>3340</v>
      </c>
      <c r="H879" s="20" t="s">
        <v>3341</v>
      </c>
      <c r="I879" s="20"/>
      <c r="J879" s="20"/>
      <c r="K879" s="22" t="n">
        <v>5</v>
      </c>
      <c r="L879" s="23" t="n">
        <v>1</v>
      </c>
      <c r="M879" s="20" t="s">
        <v>100</v>
      </c>
      <c r="N879" s="24" t="n">
        <v>6.56555</v>
      </c>
      <c r="O879" s="24" t="n">
        <v>3.36712</v>
      </c>
      <c r="P879" s="20" t="s">
        <v>85</v>
      </c>
      <c r="Q879" s="20" t="s">
        <v>86</v>
      </c>
      <c r="R879" s="20" t="s">
        <v>86</v>
      </c>
      <c r="S879" s="20" t="s">
        <v>87</v>
      </c>
      <c r="T879" s="26" t="s">
        <v>103</v>
      </c>
      <c r="U879" s="20" t="s">
        <v>104</v>
      </c>
      <c r="V879" s="20" t="s">
        <v>90</v>
      </c>
      <c r="W879" s="21"/>
    </row>
    <row r="880" customFormat="false" ht="15" hidden="false" customHeight="false" outlineLevel="0" collapsed="false">
      <c r="A880" s="20" t="n">
        <v>879</v>
      </c>
      <c r="B880" s="20" t="s">
        <v>3342</v>
      </c>
      <c r="C880" s="20" t="s">
        <v>5</v>
      </c>
      <c r="D880" s="20" t="s">
        <v>2290</v>
      </c>
      <c r="E880" s="20" t="s">
        <v>33</v>
      </c>
      <c r="F880" s="20" t="s">
        <v>719</v>
      </c>
      <c r="G880" s="21" t="s">
        <v>2290</v>
      </c>
      <c r="H880" s="20"/>
      <c r="I880" s="20"/>
      <c r="J880" s="20"/>
      <c r="K880" s="22" t="n">
        <v>4.3</v>
      </c>
      <c r="L880" s="23" t="n">
        <v>10</v>
      </c>
      <c r="M880" s="20" t="s">
        <v>84</v>
      </c>
      <c r="N880" s="24" t="n">
        <v>6.57595</v>
      </c>
      <c r="O880" s="24" t="n">
        <v>3.37197</v>
      </c>
      <c r="P880" s="20" t="s">
        <v>85</v>
      </c>
      <c r="Q880" s="20" t="s">
        <v>86</v>
      </c>
      <c r="R880" s="20" t="s">
        <v>86</v>
      </c>
      <c r="S880" s="20" t="s">
        <v>87</v>
      </c>
      <c r="T880" s="25" t="s">
        <v>88</v>
      </c>
      <c r="U880" s="20" t="s">
        <v>89</v>
      </c>
      <c r="V880" s="20" t="s">
        <v>90</v>
      </c>
      <c r="W880" s="21"/>
    </row>
    <row r="881" customFormat="false" ht="15" hidden="false" customHeight="false" outlineLevel="0" collapsed="false">
      <c r="A881" s="20" t="n">
        <v>880</v>
      </c>
      <c r="B881" s="20" t="s">
        <v>3343</v>
      </c>
      <c r="C881" s="20" t="s">
        <v>5</v>
      </c>
      <c r="D881" s="20" t="s">
        <v>3344</v>
      </c>
      <c r="E881" s="20" t="s">
        <v>33</v>
      </c>
      <c r="F881" s="20" t="s">
        <v>1991</v>
      </c>
      <c r="G881" s="21" t="s">
        <v>3345</v>
      </c>
      <c r="H881" s="20"/>
      <c r="I881" s="20"/>
      <c r="J881" s="20"/>
      <c r="K881" s="22" t="n">
        <v>4.1</v>
      </c>
      <c r="L881" s="23" t="n">
        <v>17</v>
      </c>
      <c r="M881" s="20" t="s">
        <v>84</v>
      </c>
      <c r="N881" s="24" t="n">
        <v>6.5695</v>
      </c>
      <c r="O881" s="24" t="n">
        <v>3.3774</v>
      </c>
      <c r="P881" s="20" t="s">
        <v>85</v>
      </c>
      <c r="Q881" s="20" t="s">
        <v>86</v>
      </c>
      <c r="R881" s="20" t="s">
        <v>86</v>
      </c>
      <c r="S881" s="20" t="s">
        <v>87</v>
      </c>
      <c r="T881" s="25" t="s">
        <v>88</v>
      </c>
      <c r="U881" s="20" t="s">
        <v>89</v>
      </c>
      <c r="V881" s="20" t="s">
        <v>90</v>
      </c>
      <c r="W881" s="21"/>
    </row>
    <row r="882" customFormat="false" ht="15" hidden="false" customHeight="false" outlineLevel="0" collapsed="false">
      <c r="A882" s="20" t="n">
        <v>881</v>
      </c>
      <c r="B882" s="20" t="s">
        <v>3346</v>
      </c>
      <c r="C882" s="20" t="s">
        <v>5</v>
      </c>
      <c r="D882" s="20" t="s">
        <v>3347</v>
      </c>
      <c r="E882" s="20" t="s">
        <v>33</v>
      </c>
      <c r="F882" s="20" t="s">
        <v>719</v>
      </c>
      <c r="G882" s="21" t="s">
        <v>3347</v>
      </c>
      <c r="H882" s="20" t="s">
        <v>3348</v>
      </c>
      <c r="I882" s="20"/>
      <c r="J882" s="20"/>
      <c r="K882" s="22"/>
      <c r="L882" s="23"/>
      <c r="M882" s="20" t="s">
        <v>100</v>
      </c>
      <c r="N882" s="24" t="n">
        <v>6.57615</v>
      </c>
      <c r="O882" s="24" t="n">
        <v>3.36917</v>
      </c>
      <c r="P882" s="20" t="s">
        <v>85</v>
      </c>
      <c r="Q882" s="20" t="s">
        <v>86</v>
      </c>
      <c r="R882" s="20" t="s">
        <v>86</v>
      </c>
      <c r="S882" s="20" t="s">
        <v>87</v>
      </c>
      <c r="T882" s="26" t="s">
        <v>103</v>
      </c>
      <c r="U882" s="20" t="s">
        <v>104</v>
      </c>
      <c r="V882" s="20" t="s">
        <v>90</v>
      </c>
      <c r="W882" s="21"/>
    </row>
    <row r="883" customFormat="false" ht="15" hidden="false" customHeight="false" outlineLevel="0" collapsed="false">
      <c r="A883" s="20" t="n">
        <v>882</v>
      </c>
      <c r="B883" s="20" t="s">
        <v>3349</v>
      </c>
      <c r="C883" s="20" t="s">
        <v>5</v>
      </c>
      <c r="D883" s="20" t="s">
        <v>2928</v>
      </c>
      <c r="E883" s="20" t="s">
        <v>33</v>
      </c>
      <c r="F883" s="20" t="s">
        <v>1991</v>
      </c>
      <c r="G883" s="21" t="s">
        <v>3350</v>
      </c>
      <c r="H883" s="20" t="s">
        <v>3351</v>
      </c>
      <c r="I883" s="20"/>
      <c r="J883" s="20"/>
      <c r="K883" s="22" t="n">
        <v>3.8</v>
      </c>
      <c r="L883" s="23" t="n">
        <v>18</v>
      </c>
      <c r="M883" s="20" t="s">
        <v>100</v>
      </c>
      <c r="N883" s="24" t="n">
        <v>6.56733</v>
      </c>
      <c r="O883" s="24" t="n">
        <v>3.36716</v>
      </c>
      <c r="P883" s="20" t="s">
        <v>85</v>
      </c>
      <c r="Q883" s="20" t="s">
        <v>86</v>
      </c>
      <c r="R883" s="20" t="s">
        <v>86</v>
      </c>
      <c r="S883" s="20" t="s">
        <v>87</v>
      </c>
      <c r="T883" s="27" t="s">
        <v>117</v>
      </c>
      <c r="U883" s="20" t="s">
        <v>118</v>
      </c>
      <c r="V883" s="20" t="s">
        <v>90</v>
      </c>
      <c r="W883" s="21"/>
    </row>
    <row r="884" customFormat="false" ht="15" hidden="false" customHeight="false" outlineLevel="0" collapsed="false">
      <c r="A884" s="20" t="n">
        <v>883</v>
      </c>
      <c r="B884" s="20" t="s">
        <v>3352</v>
      </c>
      <c r="C884" s="20" t="s">
        <v>5</v>
      </c>
      <c r="D884" s="20" t="s">
        <v>92</v>
      </c>
      <c r="E884" s="20" t="s">
        <v>33</v>
      </c>
      <c r="F884" s="20" t="s">
        <v>1991</v>
      </c>
      <c r="G884" s="21" t="s">
        <v>92</v>
      </c>
      <c r="H884" s="20" t="s">
        <v>3353</v>
      </c>
      <c r="I884" s="20"/>
      <c r="J884" s="20"/>
      <c r="K884" s="22"/>
      <c r="L884" s="23"/>
      <c r="M884" s="20" t="s">
        <v>100</v>
      </c>
      <c r="N884" s="24" t="n">
        <v>6.56801</v>
      </c>
      <c r="O884" s="24" t="n">
        <v>3.36717</v>
      </c>
      <c r="P884" s="20" t="s">
        <v>85</v>
      </c>
      <c r="Q884" s="20" t="s">
        <v>86</v>
      </c>
      <c r="R884" s="20" t="s">
        <v>86</v>
      </c>
      <c r="S884" s="20" t="s">
        <v>87</v>
      </c>
      <c r="T884" s="26" t="s">
        <v>103</v>
      </c>
      <c r="U884" s="20" t="s">
        <v>104</v>
      </c>
      <c r="V884" s="20" t="s">
        <v>90</v>
      </c>
      <c r="W884" s="21"/>
    </row>
    <row r="885" customFormat="false" ht="15" hidden="false" customHeight="false" outlineLevel="0" collapsed="false">
      <c r="A885" s="20" t="n">
        <v>884</v>
      </c>
      <c r="B885" s="20" t="s">
        <v>3354</v>
      </c>
      <c r="C885" s="20" t="s">
        <v>5</v>
      </c>
      <c r="D885" s="20" t="s">
        <v>3355</v>
      </c>
      <c r="E885" s="20" t="s">
        <v>33</v>
      </c>
      <c r="F885" s="20" t="s">
        <v>719</v>
      </c>
      <c r="G885" s="21" t="s">
        <v>3355</v>
      </c>
      <c r="H885" s="20" t="s">
        <v>3356</v>
      </c>
      <c r="I885" s="20"/>
      <c r="J885" s="20"/>
      <c r="K885" s="22" t="n">
        <v>1</v>
      </c>
      <c r="L885" s="23" t="n">
        <v>1</v>
      </c>
      <c r="M885" s="20" t="s">
        <v>100</v>
      </c>
      <c r="N885" s="24" t="n">
        <v>6.56767</v>
      </c>
      <c r="O885" s="24" t="n">
        <v>3.37368</v>
      </c>
      <c r="P885" s="20" t="s">
        <v>85</v>
      </c>
      <c r="Q885" s="20" t="s">
        <v>86</v>
      </c>
      <c r="R885" s="20" t="s">
        <v>86</v>
      </c>
      <c r="S885" s="20" t="s">
        <v>87</v>
      </c>
      <c r="T885" s="26" t="s">
        <v>103</v>
      </c>
      <c r="U885" s="20" t="s">
        <v>104</v>
      </c>
      <c r="V885" s="20" t="s">
        <v>90</v>
      </c>
      <c r="W885" s="21"/>
    </row>
    <row r="886" customFormat="false" ht="15" hidden="false" customHeight="false" outlineLevel="0" collapsed="false">
      <c r="A886" s="20" t="n">
        <v>885</v>
      </c>
      <c r="B886" s="20" t="s">
        <v>3357</v>
      </c>
      <c r="C886" s="20" t="s">
        <v>5</v>
      </c>
      <c r="D886" s="20" t="s">
        <v>3034</v>
      </c>
      <c r="E886" s="20" t="s">
        <v>33</v>
      </c>
      <c r="F886" s="20" t="s">
        <v>719</v>
      </c>
      <c r="G886" s="21" t="s">
        <v>3034</v>
      </c>
      <c r="H886" s="20" t="s">
        <v>3358</v>
      </c>
      <c r="I886" s="20"/>
      <c r="J886" s="20"/>
      <c r="K886" s="22" t="n">
        <v>4.5</v>
      </c>
      <c r="L886" s="23" t="n">
        <v>33</v>
      </c>
      <c r="M886" s="20" t="s">
        <v>100</v>
      </c>
      <c r="N886" s="24" t="n">
        <v>6.5741</v>
      </c>
      <c r="O886" s="24" t="n">
        <v>3.36865</v>
      </c>
      <c r="P886" s="20" t="s">
        <v>85</v>
      </c>
      <c r="Q886" s="20" t="s">
        <v>86</v>
      </c>
      <c r="R886" s="20" t="s">
        <v>86</v>
      </c>
      <c r="S886" s="20" t="s">
        <v>87</v>
      </c>
      <c r="T886" s="27" t="s">
        <v>117</v>
      </c>
      <c r="U886" s="20" t="s">
        <v>118</v>
      </c>
      <c r="V886" s="20" t="s">
        <v>90</v>
      </c>
      <c r="W886" s="21"/>
    </row>
    <row r="887" customFormat="false" ht="15" hidden="false" customHeight="false" outlineLevel="0" collapsed="false">
      <c r="A887" s="20" t="n">
        <v>886</v>
      </c>
      <c r="B887" s="20" t="s">
        <v>3359</v>
      </c>
      <c r="C887" s="20" t="s">
        <v>5</v>
      </c>
      <c r="D887" s="20" t="s">
        <v>3360</v>
      </c>
      <c r="E887" s="20" t="s">
        <v>34</v>
      </c>
      <c r="F887" s="20" t="s">
        <v>3361</v>
      </c>
      <c r="G887" s="21" t="s">
        <v>3360</v>
      </c>
      <c r="H887" s="20"/>
      <c r="I887" s="20"/>
      <c r="J887" s="20"/>
      <c r="K887" s="22" t="n">
        <v>4.9</v>
      </c>
      <c r="L887" s="23" t="n">
        <v>8</v>
      </c>
      <c r="M887" s="20" t="s">
        <v>84</v>
      </c>
      <c r="N887" s="24" t="n">
        <v>6.57824</v>
      </c>
      <c r="O887" s="24" t="n">
        <v>3.36805</v>
      </c>
      <c r="P887" s="20" t="s">
        <v>85</v>
      </c>
      <c r="Q887" s="20" t="s">
        <v>86</v>
      </c>
      <c r="R887" s="20" t="s">
        <v>86</v>
      </c>
      <c r="S887" s="20" t="s">
        <v>87</v>
      </c>
      <c r="T887" s="25" t="s">
        <v>88</v>
      </c>
      <c r="U887" s="20" t="s">
        <v>89</v>
      </c>
      <c r="V887" s="20" t="s">
        <v>90</v>
      </c>
      <c r="W887" s="21"/>
    </row>
    <row r="888" customFormat="false" ht="15" hidden="false" customHeight="false" outlineLevel="0" collapsed="false">
      <c r="A888" s="20" t="n">
        <v>887</v>
      </c>
      <c r="B888" s="20" t="s">
        <v>3362</v>
      </c>
      <c r="C888" s="20" t="s">
        <v>5</v>
      </c>
      <c r="D888" s="20" t="s">
        <v>3363</v>
      </c>
      <c r="E888" s="20" t="s">
        <v>34</v>
      </c>
      <c r="F888" s="20" t="s">
        <v>2073</v>
      </c>
      <c r="G888" s="21" t="s">
        <v>3363</v>
      </c>
      <c r="H888" s="20" t="s">
        <v>3364</v>
      </c>
      <c r="I888" s="20"/>
      <c r="J888" s="20"/>
      <c r="K888" s="22" t="n">
        <v>4.8</v>
      </c>
      <c r="L888" s="23" t="n">
        <v>39</v>
      </c>
      <c r="M888" s="20" t="s">
        <v>100</v>
      </c>
      <c r="N888" s="24" t="n">
        <v>6.57178</v>
      </c>
      <c r="O888" s="24" t="n">
        <v>3.37614</v>
      </c>
      <c r="P888" s="20" t="s">
        <v>85</v>
      </c>
      <c r="Q888" s="20" t="s">
        <v>86</v>
      </c>
      <c r="R888" s="20" t="s">
        <v>86</v>
      </c>
      <c r="S888" s="20" t="s">
        <v>87</v>
      </c>
      <c r="T888" s="27" t="s">
        <v>117</v>
      </c>
      <c r="U888" s="20" t="s">
        <v>118</v>
      </c>
      <c r="V888" s="20" t="s">
        <v>90</v>
      </c>
      <c r="W888" s="21"/>
    </row>
    <row r="889" customFormat="false" ht="15" hidden="false" customHeight="false" outlineLevel="0" collapsed="false">
      <c r="A889" s="20" t="n">
        <v>888</v>
      </c>
      <c r="B889" s="20" t="s">
        <v>3365</v>
      </c>
      <c r="C889" s="20" t="s">
        <v>5</v>
      </c>
      <c r="D889" s="20"/>
      <c r="E889" s="20" t="s">
        <v>34</v>
      </c>
      <c r="F889" s="20"/>
      <c r="G889" s="21"/>
      <c r="H889" s="20"/>
      <c r="I889" s="20"/>
      <c r="J889" s="20"/>
      <c r="K889" s="22" t="n">
        <v>4.3</v>
      </c>
      <c r="L889" s="23" t="n">
        <v>220</v>
      </c>
      <c r="M889" s="20" t="s">
        <v>84</v>
      </c>
      <c r="N889" s="24" t="n">
        <v>6.56882</v>
      </c>
      <c r="O889" s="24" t="n">
        <v>3.37116</v>
      </c>
      <c r="P889" s="20" t="s">
        <v>85</v>
      </c>
      <c r="Q889" s="20" t="s">
        <v>86</v>
      </c>
      <c r="R889" s="20" t="s">
        <v>86</v>
      </c>
      <c r="S889" s="20" t="s">
        <v>87</v>
      </c>
      <c r="T889" s="25" t="s">
        <v>88</v>
      </c>
      <c r="U889" s="20" t="s">
        <v>89</v>
      </c>
      <c r="V889" s="20" t="s">
        <v>90</v>
      </c>
      <c r="W889" s="21"/>
    </row>
    <row r="890" customFormat="false" ht="15" hidden="false" customHeight="false" outlineLevel="0" collapsed="false">
      <c r="A890" s="20" t="n">
        <v>889</v>
      </c>
      <c r="B890" s="20" t="s">
        <v>3366</v>
      </c>
      <c r="C890" s="20" t="s">
        <v>5</v>
      </c>
      <c r="D890" s="20" t="s">
        <v>3367</v>
      </c>
      <c r="E890" s="20" t="s">
        <v>34</v>
      </c>
      <c r="F890" s="20" t="s">
        <v>2106</v>
      </c>
      <c r="G890" s="21" t="s">
        <v>3367</v>
      </c>
      <c r="H890" s="20" t="s">
        <v>3368</v>
      </c>
      <c r="I890" s="20"/>
      <c r="J890" s="20"/>
      <c r="K890" s="22" t="n">
        <v>5</v>
      </c>
      <c r="L890" s="23" t="n">
        <v>8</v>
      </c>
      <c r="M890" s="20" t="s">
        <v>100</v>
      </c>
      <c r="N890" s="24" t="n">
        <v>6.57208</v>
      </c>
      <c r="O890" s="24" t="n">
        <v>3.37263</v>
      </c>
      <c r="P890" s="20" t="s">
        <v>85</v>
      </c>
      <c r="Q890" s="20" t="s">
        <v>86</v>
      </c>
      <c r="R890" s="20" t="s">
        <v>86</v>
      </c>
      <c r="S890" s="20" t="s">
        <v>87</v>
      </c>
      <c r="T890" s="26" t="s">
        <v>103</v>
      </c>
      <c r="U890" s="20" t="s">
        <v>104</v>
      </c>
      <c r="V890" s="20" t="s">
        <v>90</v>
      </c>
      <c r="W890" s="21"/>
    </row>
    <row r="891" customFormat="false" ht="15" hidden="false" customHeight="false" outlineLevel="0" collapsed="false">
      <c r="A891" s="20" t="n">
        <v>890</v>
      </c>
      <c r="B891" s="20" t="s">
        <v>3369</v>
      </c>
      <c r="C891" s="20" t="s">
        <v>5</v>
      </c>
      <c r="D891" s="20" t="s">
        <v>3370</v>
      </c>
      <c r="E891" s="20" t="s">
        <v>34</v>
      </c>
      <c r="F891" s="20" t="s">
        <v>2067</v>
      </c>
      <c r="G891" s="21" t="s">
        <v>3370</v>
      </c>
      <c r="H891" s="20"/>
      <c r="I891" s="20"/>
      <c r="J891" s="20"/>
      <c r="K891" s="22" t="n">
        <v>4.6</v>
      </c>
      <c r="L891" s="23" t="n">
        <v>8</v>
      </c>
      <c r="M891" s="20" t="s">
        <v>84</v>
      </c>
      <c r="N891" s="24" t="n">
        <v>6.573</v>
      </c>
      <c r="O891" s="24" t="n">
        <v>3.3688</v>
      </c>
      <c r="P891" s="20" t="s">
        <v>85</v>
      </c>
      <c r="Q891" s="20" t="s">
        <v>86</v>
      </c>
      <c r="R891" s="20" t="s">
        <v>86</v>
      </c>
      <c r="S891" s="20" t="s">
        <v>87</v>
      </c>
      <c r="T891" s="25" t="s">
        <v>88</v>
      </c>
      <c r="U891" s="20" t="s">
        <v>89</v>
      </c>
      <c r="V891" s="20" t="s">
        <v>90</v>
      </c>
      <c r="W891" s="21"/>
    </row>
    <row r="892" customFormat="false" ht="15" hidden="false" customHeight="false" outlineLevel="0" collapsed="false">
      <c r="A892" s="20" t="n">
        <v>891</v>
      </c>
      <c r="B892" s="20" t="s">
        <v>3371</v>
      </c>
      <c r="C892" s="20" t="s">
        <v>5</v>
      </c>
      <c r="D892" s="20" t="s">
        <v>3372</v>
      </c>
      <c r="E892" s="20" t="s">
        <v>34</v>
      </c>
      <c r="F892" s="20" t="s">
        <v>2118</v>
      </c>
      <c r="G892" s="21" t="s">
        <v>3373</v>
      </c>
      <c r="H892" s="20" t="s">
        <v>3374</v>
      </c>
      <c r="I892" s="20"/>
      <c r="J892" s="20"/>
      <c r="K892" s="22" t="n">
        <v>4</v>
      </c>
      <c r="L892" s="23" t="n">
        <v>46</v>
      </c>
      <c r="M892" s="20" t="s">
        <v>100</v>
      </c>
      <c r="N892" s="24" t="n">
        <v>6.57346</v>
      </c>
      <c r="O892" s="24" t="n">
        <v>3.37164</v>
      </c>
      <c r="P892" s="20" t="s">
        <v>110</v>
      </c>
      <c r="Q892" s="20" t="s">
        <v>86</v>
      </c>
      <c r="R892" s="20" t="s">
        <v>86</v>
      </c>
      <c r="S892" s="20" t="s">
        <v>87</v>
      </c>
      <c r="T892" s="27" t="s">
        <v>117</v>
      </c>
      <c r="U892" s="20" t="s">
        <v>118</v>
      </c>
      <c r="V892" s="20" t="s">
        <v>138</v>
      </c>
      <c r="W892" s="21" t="s">
        <v>299</v>
      </c>
    </row>
    <row r="893" customFormat="false" ht="15" hidden="false" customHeight="false" outlineLevel="0" collapsed="false">
      <c r="A893" s="20" t="n">
        <v>892</v>
      </c>
      <c r="B893" s="20" t="s">
        <v>3375</v>
      </c>
      <c r="C893" s="20" t="s">
        <v>5</v>
      </c>
      <c r="D893" s="20" t="s">
        <v>3376</v>
      </c>
      <c r="E893" s="20" t="s">
        <v>34</v>
      </c>
      <c r="F893" s="20" t="s">
        <v>3377</v>
      </c>
      <c r="G893" s="21" t="s">
        <v>3376</v>
      </c>
      <c r="H893" s="20"/>
      <c r="I893" s="20"/>
      <c r="J893" s="20"/>
      <c r="K893" s="22" t="n">
        <v>5</v>
      </c>
      <c r="L893" s="23" t="n">
        <v>3</v>
      </c>
      <c r="M893" s="20" t="s">
        <v>84</v>
      </c>
      <c r="N893" s="24" t="n">
        <v>6.56973</v>
      </c>
      <c r="O893" s="24" t="n">
        <v>3.36579</v>
      </c>
      <c r="P893" s="20" t="s">
        <v>85</v>
      </c>
      <c r="Q893" s="20" t="s">
        <v>86</v>
      </c>
      <c r="R893" s="20" t="s">
        <v>86</v>
      </c>
      <c r="S893" s="20" t="s">
        <v>87</v>
      </c>
      <c r="T893" s="25" t="s">
        <v>88</v>
      </c>
      <c r="U893" s="20" t="s">
        <v>89</v>
      </c>
      <c r="V893" s="20" t="s">
        <v>90</v>
      </c>
      <c r="W893" s="21"/>
    </row>
    <row r="894" customFormat="false" ht="23.85" hidden="false" customHeight="false" outlineLevel="0" collapsed="false">
      <c r="A894" s="20" t="n">
        <v>893</v>
      </c>
      <c r="B894" s="20" t="s">
        <v>3378</v>
      </c>
      <c r="C894" s="20" t="s">
        <v>5</v>
      </c>
      <c r="D894" s="20" t="s">
        <v>1584</v>
      </c>
      <c r="E894" s="20" t="s">
        <v>34</v>
      </c>
      <c r="F894" s="20" t="s">
        <v>3379</v>
      </c>
      <c r="G894" s="21" t="s">
        <v>3380</v>
      </c>
      <c r="H894" s="20"/>
      <c r="I894" s="20"/>
      <c r="J894" s="20"/>
      <c r="K894" s="22" t="n">
        <v>3.9</v>
      </c>
      <c r="L894" s="23" t="n">
        <v>7</v>
      </c>
      <c r="M894" s="20" t="s">
        <v>84</v>
      </c>
      <c r="N894" s="24" t="n">
        <v>6.57592</v>
      </c>
      <c r="O894" s="24" t="n">
        <v>3.37466</v>
      </c>
      <c r="P894" s="20" t="s">
        <v>85</v>
      </c>
      <c r="Q894" s="20" t="s">
        <v>86</v>
      </c>
      <c r="R894" s="20" t="s">
        <v>86</v>
      </c>
      <c r="S894" s="20" t="s">
        <v>87</v>
      </c>
      <c r="T894" s="25" t="s">
        <v>88</v>
      </c>
      <c r="U894" s="20" t="s">
        <v>89</v>
      </c>
      <c r="V894" s="20" t="s">
        <v>90</v>
      </c>
      <c r="W894" s="21"/>
    </row>
    <row r="895" customFormat="false" ht="15" hidden="false" customHeight="false" outlineLevel="0" collapsed="false">
      <c r="A895" s="20" t="n">
        <v>894</v>
      </c>
      <c r="B895" s="20" t="s">
        <v>3381</v>
      </c>
      <c r="C895" s="20" t="s">
        <v>5</v>
      </c>
      <c r="D895" s="20" t="s">
        <v>3382</v>
      </c>
      <c r="E895" s="20" t="s">
        <v>34</v>
      </c>
      <c r="F895" s="20" t="s">
        <v>2157</v>
      </c>
      <c r="G895" s="21" t="s">
        <v>3382</v>
      </c>
      <c r="H895" s="20" t="s">
        <v>3383</v>
      </c>
      <c r="I895" s="20"/>
      <c r="J895" s="20"/>
      <c r="K895" s="22" t="n">
        <v>4.6</v>
      </c>
      <c r="L895" s="23" t="n">
        <v>151</v>
      </c>
      <c r="M895" s="20" t="s">
        <v>100</v>
      </c>
      <c r="N895" s="24" t="n">
        <v>6.57695</v>
      </c>
      <c r="O895" s="24" t="n">
        <v>3.37031</v>
      </c>
      <c r="P895" s="20" t="s">
        <v>85</v>
      </c>
      <c r="Q895" s="20" t="s">
        <v>86</v>
      </c>
      <c r="R895" s="20" t="s">
        <v>86</v>
      </c>
      <c r="S895" s="20" t="s">
        <v>87</v>
      </c>
      <c r="T895" s="27" t="s">
        <v>117</v>
      </c>
      <c r="U895" s="20" t="s">
        <v>118</v>
      </c>
      <c r="V895" s="20" t="s">
        <v>90</v>
      </c>
      <c r="W895" s="21"/>
    </row>
    <row r="896" customFormat="false" ht="15" hidden="false" customHeight="false" outlineLevel="0" collapsed="false">
      <c r="A896" s="20" t="n">
        <v>895</v>
      </c>
      <c r="B896" s="20" t="s">
        <v>3384</v>
      </c>
      <c r="C896" s="20" t="s">
        <v>5</v>
      </c>
      <c r="D896" s="20" t="s">
        <v>2399</v>
      </c>
      <c r="E896" s="20" t="s">
        <v>34</v>
      </c>
      <c r="F896" s="20" t="s">
        <v>2073</v>
      </c>
      <c r="G896" s="21" t="s">
        <v>2399</v>
      </c>
      <c r="H896" s="20" t="s">
        <v>3385</v>
      </c>
      <c r="I896" s="20"/>
      <c r="J896" s="20"/>
      <c r="K896" s="22" t="n">
        <v>4.2</v>
      </c>
      <c r="L896" s="23" t="n">
        <v>79</v>
      </c>
      <c r="M896" s="20" t="s">
        <v>100</v>
      </c>
      <c r="N896" s="24" t="n">
        <v>6.57574</v>
      </c>
      <c r="O896" s="24" t="n">
        <v>3.36974</v>
      </c>
      <c r="P896" s="20" t="s">
        <v>85</v>
      </c>
      <c r="Q896" s="20" t="s">
        <v>86</v>
      </c>
      <c r="R896" s="20" t="s">
        <v>86</v>
      </c>
      <c r="S896" s="20" t="s">
        <v>87</v>
      </c>
      <c r="T896" s="27" t="s">
        <v>117</v>
      </c>
      <c r="U896" s="20" t="s">
        <v>118</v>
      </c>
      <c r="V896" s="20" t="s">
        <v>90</v>
      </c>
      <c r="W896" s="21"/>
    </row>
    <row r="897" customFormat="false" ht="15" hidden="false" customHeight="false" outlineLevel="0" collapsed="false">
      <c r="A897" s="20" t="n">
        <v>896</v>
      </c>
      <c r="B897" s="20" t="s">
        <v>3386</v>
      </c>
      <c r="C897" s="20" t="s">
        <v>5</v>
      </c>
      <c r="D897" s="20" t="s">
        <v>3387</v>
      </c>
      <c r="E897" s="20" t="s">
        <v>34</v>
      </c>
      <c r="F897" s="20" t="s">
        <v>3388</v>
      </c>
      <c r="G897" s="21" t="s">
        <v>3387</v>
      </c>
      <c r="H897" s="20"/>
      <c r="I897" s="20"/>
      <c r="J897" s="20"/>
      <c r="K897" s="22" t="n">
        <v>4.8</v>
      </c>
      <c r="L897" s="23" t="n">
        <v>30</v>
      </c>
      <c r="M897" s="20" t="s">
        <v>84</v>
      </c>
      <c r="N897" s="24" t="n">
        <v>6.57532</v>
      </c>
      <c r="O897" s="24" t="n">
        <v>3.37355</v>
      </c>
      <c r="P897" s="20" t="s">
        <v>85</v>
      </c>
      <c r="Q897" s="20" t="s">
        <v>86</v>
      </c>
      <c r="R897" s="20" t="s">
        <v>86</v>
      </c>
      <c r="S897" s="20" t="s">
        <v>87</v>
      </c>
      <c r="T897" s="25" t="s">
        <v>88</v>
      </c>
      <c r="U897" s="20" t="s">
        <v>89</v>
      </c>
      <c r="V897" s="20" t="s">
        <v>90</v>
      </c>
      <c r="W897" s="21"/>
    </row>
    <row r="898" customFormat="false" ht="15" hidden="false" customHeight="false" outlineLevel="0" collapsed="false">
      <c r="A898" s="20" t="n">
        <v>897</v>
      </c>
      <c r="B898" s="20" t="s">
        <v>3389</v>
      </c>
      <c r="C898" s="20" t="s">
        <v>5</v>
      </c>
      <c r="D898" s="20" t="s">
        <v>2344</v>
      </c>
      <c r="E898" s="20" t="s">
        <v>34</v>
      </c>
      <c r="F898" s="20" t="s">
        <v>3390</v>
      </c>
      <c r="G898" s="21" t="s">
        <v>2995</v>
      </c>
      <c r="H898" s="20" t="s">
        <v>3391</v>
      </c>
      <c r="I898" s="20"/>
      <c r="J898" s="20"/>
      <c r="K898" s="22"/>
      <c r="L898" s="23"/>
      <c r="M898" s="20" t="s">
        <v>100</v>
      </c>
      <c r="N898" s="24"/>
      <c r="O898" s="24"/>
      <c r="P898" s="20" t="s">
        <v>101</v>
      </c>
      <c r="Q898" s="20" t="s">
        <v>86</v>
      </c>
      <c r="R898" s="20" t="s">
        <v>86</v>
      </c>
      <c r="S898" s="20" t="s">
        <v>102</v>
      </c>
      <c r="T898" s="26" t="s">
        <v>103</v>
      </c>
      <c r="U898" s="20" t="s">
        <v>104</v>
      </c>
      <c r="V898" s="20" t="s">
        <v>138</v>
      </c>
      <c r="W898" s="21" t="s">
        <v>181</v>
      </c>
    </row>
    <row r="899" customFormat="false" ht="23.85" hidden="false" customHeight="false" outlineLevel="0" collapsed="false">
      <c r="A899" s="20" t="n">
        <v>898</v>
      </c>
      <c r="B899" s="20" t="s">
        <v>3392</v>
      </c>
      <c r="C899" s="20" t="s">
        <v>5</v>
      </c>
      <c r="D899" s="20" t="s">
        <v>3393</v>
      </c>
      <c r="E899" s="20" t="s">
        <v>34</v>
      </c>
      <c r="F899" s="20" t="s">
        <v>2062</v>
      </c>
      <c r="G899" s="21" t="s">
        <v>3394</v>
      </c>
      <c r="H899" s="20" t="s">
        <v>3395</v>
      </c>
      <c r="I899" s="20"/>
      <c r="J899" s="20"/>
      <c r="K899" s="22" t="n">
        <v>5</v>
      </c>
      <c r="L899" s="23" t="n">
        <v>8</v>
      </c>
      <c r="M899" s="20" t="s">
        <v>100</v>
      </c>
      <c r="N899" s="24" t="n">
        <v>6.56928</v>
      </c>
      <c r="O899" s="24" t="n">
        <v>3.37608</v>
      </c>
      <c r="P899" s="20" t="s">
        <v>85</v>
      </c>
      <c r="Q899" s="20" t="s">
        <v>86</v>
      </c>
      <c r="R899" s="20" t="s">
        <v>86</v>
      </c>
      <c r="S899" s="20" t="s">
        <v>87</v>
      </c>
      <c r="T899" s="26" t="s">
        <v>103</v>
      </c>
      <c r="U899" s="20" t="s">
        <v>104</v>
      </c>
      <c r="V899" s="20" t="s">
        <v>90</v>
      </c>
      <c r="W899" s="21"/>
    </row>
    <row r="900" customFormat="false" ht="15" hidden="false" customHeight="false" outlineLevel="0" collapsed="false">
      <c r="A900" s="20" t="n">
        <v>899</v>
      </c>
      <c r="B900" s="20" t="s">
        <v>3396</v>
      </c>
      <c r="C900" s="20" t="s">
        <v>5</v>
      </c>
      <c r="D900" s="20" t="s">
        <v>3397</v>
      </c>
      <c r="E900" s="20" t="s">
        <v>34</v>
      </c>
      <c r="F900" s="20" t="s">
        <v>3361</v>
      </c>
      <c r="G900" s="21" t="s">
        <v>3398</v>
      </c>
      <c r="H900" s="20" t="s">
        <v>3399</v>
      </c>
      <c r="I900" s="20"/>
      <c r="J900" s="20"/>
      <c r="K900" s="22" t="n">
        <v>4.8</v>
      </c>
      <c r="L900" s="23" t="n">
        <v>6</v>
      </c>
      <c r="M900" s="20" t="s">
        <v>100</v>
      </c>
      <c r="N900" s="24" t="n">
        <v>6.57388</v>
      </c>
      <c r="O900" s="24" t="n">
        <v>3.36486</v>
      </c>
      <c r="P900" s="20" t="s">
        <v>85</v>
      </c>
      <c r="Q900" s="20" t="s">
        <v>86</v>
      </c>
      <c r="R900" s="20" t="s">
        <v>86</v>
      </c>
      <c r="S900" s="20" t="s">
        <v>87</v>
      </c>
      <c r="T900" s="26" t="s">
        <v>103</v>
      </c>
      <c r="U900" s="20" t="s">
        <v>104</v>
      </c>
      <c r="V900" s="20" t="s">
        <v>90</v>
      </c>
      <c r="W900" s="21"/>
    </row>
    <row r="901" customFormat="false" ht="15" hidden="false" customHeight="false" outlineLevel="0" collapsed="false">
      <c r="A901" s="20" t="n">
        <v>900</v>
      </c>
      <c r="B901" s="20" t="s">
        <v>3400</v>
      </c>
      <c r="C901" s="20" t="s">
        <v>5</v>
      </c>
      <c r="D901" s="20" t="s">
        <v>3401</v>
      </c>
      <c r="E901" s="20" t="s">
        <v>34</v>
      </c>
      <c r="F901" s="20" t="s">
        <v>3361</v>
      </c>
      <c r="G901" s="21" t="s">
        <v>3401</v>
      </c>
      <c r="H901" s="20" t="s">
        <v>3402</v>
      </c>
      <c r="I901" s="20"/>
      <c r="J901" s="20"/>
      <c r="K901" s="22"/>
      <c r="L901" s="23"/>
      <c r="M901" s="20" t="s">
        <v>100</v>
      </c>
      <c r="N901" s="24" t="n">
        <v>6.56774</v>
      </c>
      <c r="O901" s="24" t="n">
        <v>3.3679</v>
      </c>
      <c r="P901" s="20" t="s">
        <v>85</v>
      </c>
      <c r="Q901" s="20" t="s">
        <v>86</v>
      </c>
      <c r="R901" s="20" t="s">
        <v>86</v>
      </c>
      <c r="S901" s="20" t="s">
        <v>87</v>
      </c>
      <c r="T901" s="26" t="s">
        <v>103</v>
      </c>
      <c r="U901" s="20" t="s">
        <v>104</v>
      </c>
      <c r="V901" s="20" t="s">
        <v>90</v>
      </c>
      <c r="W901" s="21"/>
    </row>
    <row r="902" customFormat="false" ht="15" hidden="false" customHeight="false" outlineLevel="0" collapsed="false">
      <c r="A902" s="20" t="n">
        <v>901</v>
      </c>
      <c r="B902" s="20" t="s">
        <v>3403</v>
      </c>
      <c r="C902" s="20" t="s">
        <v>5</v>
      </c>
      <c r="D902" s="20"/>
      <c r="E902" s="20" t="s">
        <v>34</v>
      </c>
      <c r="F902" s="20"/>
      <c r="G902" s="21"/>
      <c r="H902" s="20"/>
      <c r="I902" s="20"/>
      <c r="J902" s="20"/>
      <c r="K902" s="22"/>
      <c r="L902" s="23"/>
      <c r="M902" s="20" t="s">
        <v>84</v>
      </c>
      <c r="N902" s="24" t="n">
        <v>6.57139</v>
      </c>
      <c r="O902" s="24" t="n">
        <v>3.36721</v>
      </c>
      <c r="P902" s="20" t="s">
        <v>85</v>
      </c>
      <c r="Q902" s="20" t="s">
        <v>86</v>
      </c>
      <c r="R902" s="20" t="s">
        <v>86</v>
      </c>
      <c r="S902" s="20" t="s">
        <v>87</v>
      </c>
      <c r="T902" s="25" t="s">
        <v>88</v>
      </c>
      <c r="U902" s="20" t="s">
        <v>89</v>
      </c>
      <c r="V902" s="20" t="s">
        <v>90</v>
      </c>
      <c r="W902" s="21"/>
    </row>
    <row r="903" customFormat="false" ht="15" hidden="false" customHeight="false" outlineLevel="0" collapsed="false">
      <c r="A903" s="20" t="n">
        <v>902</v>
      </c>
      <c r="B903" s="20" t="s">
        <v>3404</v>
      </c>
      <c r="C903" s="20" t="s">
        <v>5</v>
      </c>
      <c r="D903" s="20"/>
      <c r="E903" s="20" t="s">
        <v>34</v>
      </c>
      <c r="F903" s="20"/>
      <c r="G903" s="21"/>
      <c r="H903" s="20"/>
      <c r="I903" s="20"/>
      <c r="J903" s="20"/>
      <c r="K903" s="22" t="n">
        <v>4.6</v>
      </c>
      <c r="L903" s="23" t="n">
        <v>21</v>
      </c>
      <c r="M903" s="20" t="s">
        <v>84</v>
      </c>
      <c r="N903" s="24" t="n">
        <v>6.56968</v>
      </c>
      <c r="O903" s="24" t="n">
        <v>3.37192</v>
      </c>
      <c r="P903" s="20" t="s">
        <v>85</v>
      </c>
      <c r="Q903" s="20" t="s">
        <v>86</v>
      </c>
      <c r="R903" s="20" t="s">
        <v>86</v>
      </c>
      <c r="S903" s="20" t="s">
        <v>87</v>
      </c>
      <c r="T903" s="25" t="s">
        <v>88</v>
      </c>
      <c r="U903" s="20" t="s">
        <v>89</v>
      </c>
      <c r="V903" s="20" t="s">
        <v>90</v>
      </c>
      <c r="W903" s="21"/>
    </row>
    <row r="904" customFormat="false" ht="23.85" hidden="false" customHeight="false" outlineLevel="0" collapsed="false">
      <c r="A904" s="20" t="n">
        <v>903</v>
      </c>
      <c r="B904" s="20" t="s">
        <v>3405</v>
      </c>
      <c r="C904" s="20" t="s">
        <v>5</v>
      </c>
      <c r="D904" s="20" t="s">
        <v>2302</v>
      </c>
      <c r="E904" s="20" t="s">
        <v>34</v>
      </c>
      <c r="F904" s="20" t="s">
        <v>2157</v>
      </c>
      <c r="G904" s="21" t="s">
        <v>3406</v>
      </c>
      <c r="H904" s="20" t="s">
        <v>3407</v>
      </c>
      <c r="I904" s="20"/>
      <c r="J904" s="20"/>
      <c r="K904" s="22" t="n">
        <v>2.5</v>
      </c>
      <c r="L904" s="23" t="n">
        <v>2</v>
      </c>
      <c r="M904" s="20" t="s">
        <v>100</v>
      </c>
      <c r="N904" s="24" t="n">
        <v>6.57072</v>
      </c>
      <c r="O904" s="24" t="n">
        <v>3.37234</v>
      </c>
      <c r="P904" s="20" t="s">
        <v>85</v>
      </c>
      <c r="Q904" s="20" t="s">
        <v>86</v>
      </c>
      <c r="R904" s="20" t="s">
        <v>86</v>
      </c>
      <c r="S904" s="20" t="s">
        <v>87</v>
      </c>
      <c r="T904" s="26" t="s">
        <v>103</v>
      </c>
      <c r="U904" s="20" t="s">
        <v>104</v>
      </c>
      <c r="V904" s="20" t="s">
        <v>90</v>
      </c>
      <c r="W904" s="21"/>
    </row>
    <row r="905" customFormat="false" ht="15" hidden="false" customHeight="false" outlineLevel="0" collapsed="false">
      <c r="A905" s="20" t="n">
        <v>904</v>
      </c>
      <c r="B905" s="20" t="s">
        <v>3408</v>
      </c>
      <c r="C905" s="20" t="s">
        <v>5</v>
      </c>
      <c r="D905" s="20" t="s">
        <v>3370</v>
      </c>
      <c r="E905" s="20" t="s">
        <v>34</v>
      </c>
      <c r="F905" s="20" t="s">
        <v>2073</v>
      </c>
      <c r="G905" s="21" t="s">
        <v>3409</v>
      </c>
      <c r="H905" s="20" t="s">
        <v>3410</v>
      </c>
      <c r="I905" s="20"/>
      <c r="J905" s="20"/>
      <c r="K905" s="22" t="n">
        <v>4.1</v>
      </c>
      <c r="L905" s="23" t="n">
        <v>10</v>
      </c>
      <c r="M905" s="20" t="s">
        <v>100</v>
      </c>
      <c r="N905" s="24" t="n">
        <v>6.57319</v>
      </c>
      <c r="O905" s="24" t="n">
        <v>3.36889</v>
      </c>
      <c r="P905" s="20" t="s">
        <v>85</v>
      </c>
      <c r="Q905" s="20" t="s">
        <v>86</v>
      </c>
      <c r="R905" s="20" t="s">
        <v>86</v>
      </c>
      <c r="S905" s="20" t="s">
        <v>87</v>
      </c>
      <c r="T905" s="27" t="s">
        <v>117</v>
      </c>
      <c r="U905" s="20" t="s">
        <v>118</v>
      </c>
      <c r="V905" s="20" t="s">
        <v>90</v>
      </c>
      <c r="W905" s="21"/>
    </row>
    <row r="906" customFormat="false" ht="15" hidden="false" customHeight="false" outlineLevel="0" collapsed="false">
      <c r="A906" s="20" t="n">
        <v>905</v>
      </c>
      <c r="B906" s="20" t="s">
        <v>3411</v>
      </c>
      <c r="C906" s="20" t="s">
        <v>5</v>
      </c>
      <c r="D906" s="20" t="s">
        <v>3412</v>
      </c>
      <c r="E906" s="20" t="s">
        <v>34</v>
      </c>
      <c r="F906" s="20" t="s">
        <v>2073</v>
      </c>
      <c r="G906" s="21" t="s">
        <v>3413</v>
      </c>
      <c r="H906" s="20" t="s">
        <v>3414</v>
      </c>
      <c r="I906" s="20"/>
      <c r="J906" s="20"/>
      <c r="K906" s="22" t="n">
        <v>4.9</v>
      </c>
      <c r="L906" s="23" t="n">
        <v>81</v>
      </c>
      <c r="M906" s="20" t="s">
        <v>100</v>
      </c>
      <c r="N906" s="24" t="n">
        <v>6.57213</v>
      </c>
      <c r="O906" s="24" t="n">
        <v>3.36831</v>
      </c>
      <c r="P906" s="20" t="s">
        <v>85</v>
      </c>
      <c r="Q906" s="20" t="s">
        <v>86</v>
      </c>
      <c r="R906" s="20" t="s">
        <v>86</v>
      </c>
      <c r="S906" s="20" t="s">
        <v>87</v>
      </c>
      <c r="T906" s="27" t="s">
        <v>117</v>
      </c>
      <c r="U906" s="20" t="s">
        <v>118</v>
      </c>
      <c r="V906" s="20" t="s">
        <v>90</v>
      </c>
      <c r="W906" s="21"/>
    </row>
    <row r="907" customFormat="false" ht="15" hidden="false" customHeight="false" outlineLevel="0" collapsed="false">
      <c r="A907" s="20" t="n">
        <v>906</v>
      </c>
      <c r="B907" s="20" t="s">
        <v>3415</v>
      </c>
      <c r="C907" s="20" t="s">
        <v>5</v>
      </c>
      <c r="D907" s="20" t="s">
        <v>3416</v>
      </c>
      <c r="E907" s="20" t="s">
        <v>34</v>
      </c>
      <c r="F907" s="20" t="s">
        <v>2157</v>
      </c>
      <c r="G907" s="21" t="s">
        <v>3416</v>
      </c>
      <c r="H907" s="20" t="s">
        <v>3417</v>
      </c>
      <c r="I907" s="20"/>
      <c r="J907" s="20"/>
      <c r="K907" s="22" t="n">
        <v>4.2</v>
      </c>
      <c r="L907" s="23" t="n">
        <v>143</v>
      </c>
      <c r="M907" s="20" t="s">
        <v>100</v>
      </c>
      <c r="N907" s="24" t="n">
        <v>6.57534</v>
      </c>
      <c r="O907" s="24" t="n">
        <v>3.36919</v>
      </c>
      <c r="P907" s="20" t="s">
        <v>85</v>
      </c>
      <c r="Q907" s="20" t="s">
        <v>86</v>
      </c>
      <c r="R907" s="20" t="s">
        <v>86</v>
      </c>
      <c r="S907" s="20" t="s">
        <v>87</v>
      </c>
      <c r="T907" s="27" t="s">
        <v>117</v>
      </c>
      <c r="U907" s="20" t="s">
        <v>118</v>
      </c>
      <c r="V907" s="20" t="s">
        <v>90</v>
      </c>
      <c r="W907" s="21"/>
    </row>
    <row r="908" customFormat="false" ht="15" hidden="false" customHeight="false" outlineLevel="0" collapsed="false">
      <c r="A908" s="20" t="n">
        <v>907</v>
      </c>
      <c r="B908" s="20" t="s">
        <v>3418</v>
      </c>
      <c r="C908" s="20" t="s">
        <v>5</v>
      </c>
      <c r="D908" s="20" t="s">
        <v>3419</v>
      </c>
      <c r="E908" s="20" t="s">
        <v>34</v>
      </c>
      <c r="F908" s="20" t="s">
        <v>3420</v>
      </c>
      <c r="G908" s="21" t="s">
        <v>3419</v>
      </c>
      <c r="H908" s="20"/>
      <c r="I908" s="20"/>
      <c r="J908" s="20"/>
      <c r="K908" s="22" t="n">
        <v>4.7</v>
      </c>
      <c r="L908" s="23" t="n">
        <v>77</v>
      </c>
      <c r="M908" s="20" t="s">
        <v>84</v>
      </c>
      <c r="N908" s="24" t="n">
        <v>6.57</v>
      </c>
      <c r="O908" s="24" t="n">
        <v>3.36673</v>
      </c>
      <c r="P908" s="20" t="s">
        <v>85</v>
      </c>
      <c r="Q908" s="20" t="s">
        <v>86</v>
      </c>
      <c r="R908" s="20" t="s">
        <v>86</v>
      </c>
      <c r="S908" s="20" t="s">
        <v>87</v>
      </c>
      <c r="T908" s="25" t="s">
        <v>88</v>
      </c>
      <c r="U908" s="20" t="s">
        <v>89</v>
      </c>
      <c r="V908" s="20" t="s">
        <v>90</v>
      </c>
      <c r="W908" s="21"/>
    </row>
    <row r="909" customFormat="false" ht="15" hidden="false" customHeight="false" outlineLevel="0" collapsed="false">
      <c r="A909" s="20" t="n">
        <v>908</v>
      </c>
      <c r="B909" s="20" t="s">
        <v>3421</v>
      </c>
      <c r="C909" s="20" t="s">
        <v>5</v>
      </c>
      <c r="D909" s="20"/>
      <c r="E909" s="20" t="s">
        <v>34</v>
      </c>
      <c r="F909" s="20"/>
      <c r="G909" s="21"/>
      <c r="H909" s="20"/>
      <c r="I909" s="20"/>
      <c r="J909" s="20"/>
      <c r="K909" s="22" t="n">
        <v>3.9</v>
      </c>
      <c r="L909" s="23" t="n">
        <v>471</v>
      </c>
      <c r="M909" s="20" t="s">
        <v>84</v>
      </c>
      <c r="N909" s="24" t="n">
        <v>6.57353</v>
      </c>
      <c r="O909" s="24" t="n">
        <v>3.37401</v>
      </c>
      <c r="P909" s="20" t="s">
        <v>85</v>
      </c>
      <c r="Q909" s="20" t="s">
        <v>86</v>
      </c>
      <c r="R909" s="20" t="s">
        <v>86</v>
      </c>
      <c r="S909" s="20" t="s">
        <v>87</v>
      </c>
      <c r="T909" s="25" t="s">
        <v>88</v>
      </c>
      <c r="U909" s="20" t="s">
        <v>89</v>
      </c>
      <c r="V909" s="20" t="s">
        <v>90</v>
      </c>
      <c r="W909" s="21"/>
    </row>
    <row r="910" customFormat="false" ht="15" hidden="false" customHeight="false" outlineLevel="0" collapsed="false">
      <c r="A910" s="20" t="n">
        <v>909</v>
      </c>
      <c r="B910" s="20" t="s">
        <v>3422</v>
      </c>
      <c r="C910" s="20" t="s">
        <v>5</v>
      </c>
      <c r="D910" s="20" t="s">
        <v>3423</v>
      </c>
      <c r="E910" s="20" t="s">
        <v>34</v>
      </c>
      <c r="F910" s="20" t="s">
        <v>2073</v>
      </c>
      <c r="G910" s="21" t="s">
        <v>3423</v>
      </c>
      <c r="H910" s="20" t="s">
        <v>3424</v>
      </c>
      <c r="I910" s="20"/>
      <c r="J910" s="20"/>
      <c r="K910" s="22" t="n">
        <v>4.8</v>
      </c>
      <c r="L910" s="23" t="n">
        <v>4</v>
      </c>
      <c r="M910" s="20" t="s">
        <v>100</v>
      </c>
      <c r="N910" s="24" t="n">
        <v>6.57059</v>
      </c>
      <c r="O910" s="24" t="n">
        <v>3.36318</v>
      </c>
      <c r="P910" s="20" t="s">
        <v>85</v>
      </c>
      <c r="Q910" s="20" t="s">
        <v>86</v>
      </c>
      <c r="R910" s="20" t="s">
        <v>86</v>
      </c>
      <c r="S910" s="20" t="s">
        <v>87</v>
      </c>
      <c r="T910" s="26" t="s">
        <v>103</v>
      </c>
      <c r="U910" s="20" t="s">
        <v>104</v>
      </c>
      <c r="V910" s="20" t="s">
        <v>90</v>
      </c>
      <c r="W910" s="21"/>
    </row>
    <row r="911" customFormat="false" ht="15" hidden="false" customHeight="false" outlineLevel="0" collapsed="false">
      <c r="A911" s="20" t="n">
        <v>910</v>
      </c>
      <c r="B911" s="20" t="s">
        <v>3425</v>
      </c>
      <c r="C911" s="20" t="s">
        <v>5</v>
      </c>
      <c r="D911" s="20" t="s">
        <v>3426</v>
      </c>
      <c r="E911" s="20" t="s">
        <v>34</v>
      </c>
      <c r="F911" s="20" t="s">
        <v>2157</v>
      </c>
      <c r="G911" s="21" t="s">
        <v>3427</v>
      </c>
      <c r="H911" s="20" t="s">
        <v>3428</v>
      </c>
      <c r="I911" s="20"/>
      <c r="J911" s="20" t="s">
        <v>3429</v>
      </c>
      <c r="K911" s="22" t="n">
        <v>4.7</v>
      </c>
      <c r="L911" s="23" t="n">
        <v>47</v>
      </c>
      <c r="M911" s="20" t="s">
        <v>100</v>
      </c>
      <c r="N911" s="24" t="n">
        <v>6.566895</v>
      </c>
      <c r="O911" s="24" t="n">
        <v>3.3660695</v>
      </c>
      <c r="P911" s="20" t="s">
        <v>125</v>
      </c>
      <c r="Q911" s="20" t="s">
        <v>86</v>
      </c>
      <c r="R911" s="20" t="s">
        <v>86</v>
      </c>
      <c r="S911" s="20" t="s">
        <v>87</v>
      </c>
      <c r="T911" s="27" t="s">
        <v>117</v>
      </c>
      <c r="U911" s="20" t="s">
        <v>118</v>
      </c>
      <c r="V911" s="20" t="s">
        <v>90</v>
      </c>
      <c r="W911" s="21"/>
    </row>
    <row r="912" customFormat="false" ht="23.85" hidden="false" customHeight="false" outlineLevel="0" collapsed="false">
      <c r="A912" s="20" t="n">
        <v>911</v>
      </c>
      <c r="B912" s="20" t="s">
        <v>3430</v>
      </c>
      <c r="C912" s="20" t="s">
        <v>5</v>
      </c>
      <c r="D912" s="20" t="s">
        <v>2344</v>
      </c>
      <c r="E912" s="20" t="s">
        <v>34</v>
      </c>
      <c r="F912" s="20" t="s">
        <v>2118</v>
      </c>
      <c r="G912" s="21" t="s">
        <v>3431</v>
      </c>
      <c r="H912" s="20" t="s">
        <v>3432</v>
      </c>
      <c r="I912" s="20"/>
      <c r="J912" s="20"/>
      <c r="K912" s="22"/>
      <c r="L912" s="23"/>
      <c r="M912" s="20" t="s">
        <v>100</v>
      </c>
      <c r="N912" s="24"/>
      <c r="O912" s="24"/>
      <c r="P912" s="20" t="s">
        <v>101</v>
      </c>
      <c r="Q912" s="20" t="s">
        <v>86</v>
      </c>
      <c r="R912" s="20" t="s">
        <v>86</v>
      </c>
      <c r="S912" s="20" t="s">
        <v>102</v>
      </c>
      <c r="T912" s="26" t="s">
        <v>103</v>
      </c>
      <c r="U912" s="20" t="s">
        <v>104</v>
      </c>
      <c r="V912" s="20" t="s">
        <v>138</v>
      </c>
      <c r="W912" s="21" t="s">
        <v>181</v>
      </c>
    </row>
    <row r="913" customFormat="false" ht="15" hidden="false" customHeight="false" outlineLevel="0" collapsed="false">
      <c r="A913" s="20" t="n">
        <v>912</v>
      </c>
      <c r="B913" s="20" t="s">
        <v>3433</v>
      </c>
      <c r="C913" s="20" t="s">
        <v>5</v>
      </c>
      <c r="D913" s="20" t="s">
        <v>3434</v>
      </c>
      <c r="E913" s="20" t="s">
        <v>34</v>
      </c>
      <c r="F913" s="20" t="s">
        <v>2067</v>
      </c>
      <c r="G913" s="21" t="s">
        <v>3435</v>
      </c>
      <c r="H913" s="20"/>
      <c r="I913" s="20"/>
      <c r="J913" s="20"/>
      <c r="K913" s="22" t="n">
        <v>5</v>
      </c>
      <c r="L913" s="23" t="n">
        <v>1</v>
      </c>
      <c r="M913" s="20" t="s">
        <v>84</v>
      </c>
      <c r="N913" s="24" t="n">
        <v>6.5757</v>
      </c>
      <c r="O913" s="24" t="n">
        <v>3.36834</v>
      </c>
      <c r="P913" s="20" t="s">
        <v>85</v>
      </c>
      <c r="Q913" s="20" t="s">
        <v>86</v>
      </c>
      <c r="R913" s="20" t="s">
        <v>86</v>
      </c>
      <c r="S913" s="20" t="s">
        <v>87</v>
      </c>
      <c r="T913" s="25" t="s">
        <v>88</v>
      </c>
      <c r="U913" s="20" t="s">
        <v>89</v>
      </c>
      <c r="V913" s="20" t="s">
        <v>90</v>
      </c>
      <c r="W913" s="21"/>
    </row>
    <row r="914" customFormat="false" ht="15" hidden="false" customHeight="false" outlineLevel="0" collapsed="false">
      <c r="A914" s="20" t="n">
        <v>913</v>
      </c>
      <c r="B914" s="20" t="s">
        <v>3436</v>
      </c>
      <c r="C914" s="20" t="s">
        <v>5</v>
      </c>
      <c r="D914" s="20" t="s">
        <v>3437</v>
      </c>
      <c r="E914" s="20" t="s">
        <v>34</v>
      </c>
      <c r="F914" s="20" t="s">
        <v>2073</v>
      </c>
      <c r="G914" s="21" t="s">
        <v>3437</v>
      </c>
      <c r="H914" s="20" t="s">
        <v>3438</v>
      </c>
      <c r="I914" s="20"/>
      <c r="J914" s="20"/>
      <c r="K914" s="22" t="n">
        <v>4.9</v>
      </c>
      <c r="L914" s="23" t="n">
        <v>36</v>
      </c>
      <c r="M914" s="20" t="s">
        <v>100</v>
      </c>
      <c r="N914" s="24" t="n">
        <v>6.56551</v>
      </c>
      <c r="O914" s="24" t="n">
        <v>3.36909</v>
      </c>
      <c r="P914" s="20" t="s">
        <v>85</v>
      </c>
      <c r="Q914" s="20" t="s">
        <v>86</v>
      </c>
      <c r="R914" s="20" t="s">
        <v>86</v>
      </c>
      <c r="S914" s="20" t="s">
        <v>87</v>
      </c>
      <c r="T914" s="27" t="s">
        <v>117</v>
      </c>
      <c r="U914" s="20" t="s">
        <v>118</v>
      </c>
      <c r="V914" s="20" t="s">
        <v>90</v>
      </c>
      <c r="W914" s="21"/>
    </row>
    <row r="915" customFormat="false" ht="15" hidden="false" customHeight="false" outlineLevel="0" collapsed="false">
      <c r="A915" s="20" t="n">
        <v>914</v>
      </c>
      <c r="B915" s="20" t="s">
        <v>3439</v>
      </c>
      <c r="C915" s="20" t="s">
        <v>5</v>
      </c>
      <c r="D915" s="20" t="s">
        <v>2567</v>
      </c>
      <c r="E915" s="20" t="s">
        <v>34</v>
      </c>
      <c r="F915" s="20" t="s">
        <v>2122</v>
      </c>
      <c r="G915" s="21" t="s">
        <v>2567</v>
      </c>
      <c r="H915" s="20" t="s">
        <v>3440</v>
      </c>
      <c r="I915" s="20"/>
      <c r="J915" s="20"/>
      <c r="K915" s="22" t="n">
        <v>5</v>
      </c>
      <c r="L915" s="23" t="n">
        <v>9</v>
      </c>
      <c r="M915" s="20" t="s">
        <v>100</v>
      </c>
      <c r="N915" s="24" t="n">
        <v>6.57005</v>
      </c>
      <c r="O915" s="24" t="n">
        <v>3.37215</v>
      </c>
      <c r="P915" s="20" t="s">
        <v>85</v>
      </c>
      <c r="Q915" s="20" t="s">
        <v>86</v>
      </c>
      <c r="R915" s="20" t="s">
        <v>86</v>
      </c>
      <c r="S915" s="20" t="s">
        <v>87</v>
      </c>
      <c r="T915" s="26" t="s">
        <v>103</v>
      </c>
      <c r="U915" s="20" t="s">
        <v>104</v>
      </c>
      <c r="V915" s="20" t="s">
        <v>90</v>
      </c>
      <c r="W915" s="21"/>
    </row>
    <row r="916" customFormat="false" ht="15" hidden="false" customHeight="false" outlineLevel="0" collapsed="false">
      <c r="A916" s="20" t="n">
        <v>915</v>
      </c>
      <c r="B916" s="20" t="s">
        <v>3441</v>
      </c>
      <c r="C916" s="20" t="s">
        <v>5</v>
      </c>
      <c r="D916" s="20" t="s">
        <v>3442</v>
      </c>
      <c r="E916" s="20" t="s">
        <v>34</v>
      </c>
      <c r="F916" s="20" t="s">
        <v>2073</v>
      </c>
      <c r="G916" s="21" t="s">
        <v>3442</v>
      </c>
      <c r="H916" s="20"/>
      <c r="I916" s="20"/>
      <c r="J916" s="20"/>
      <c r="K916" s="22" t="n">
        <v>4.7</v>
      </c>
      <c r="L916" s="23" t="n">
        <v>54</v>
      </c>
      <c r="M916" s="20" t="s">
        <v>84</v>
      </c>
      <c r="N916" s="24" t="n">
        <v>6.57143</v>
      </c>
      <c r="O916" s="24" t="n">
        <v>3.37705</v>
      </c>
      <c r="P916" s="20" t="s">
        <v>85</v>
      </c>
      <c r="Q916" s="20" t="s">
        <v>86</v>
      </c>
      <c r="R916" s="20" t="s">
        <v>86</v>
      </c>
      <c r="S916" s="20" t="s">
        <v>87</v>
      </c>
      <c r="T916" s="25" t="s">
        <v>88</v>
      </c>
      <c r="U916" s="20" t="s">
        <v>89</v>
      </c>
      <c r="V916" s="20" t="s">
        <v>90</v>
      </c>
      <c r="W916" s="21"/>
    </row>
    <row r="917" customFormat="false" ht="15" hidden="false" customHeight="false" outlineLevel="0" collapsed="false">
      <c r="A917" s="20" t="n">
        <v>916</v>
      </c>
      <c r="B917" s="20" t="s">
        <v>3443</v>
      </c>
      <c r="C917" s="20" t="s">
        <v>5</v>
      </c>
      <c r="D917" s="20" t="s">
        <v>2949</v>
      </c>
      <c r="E917" s="20" t="s">
        <v>35</v>
      </c>
      <c r="F917" s="20" t="s">
        <v>2202</v>
      </c>
      <c r="G917" s="21" t="s">
        <v>2949</v>
      </c>
      <c r="H917" s="20" t="s">
        <v>3444</v>
      </c>
      <c r="I917" s="20"/>
      <c r="J917" s="20"/>
      <c r="K917" s="22" t="n">
        <v>4.2</v>
      </c>
      <c r="L917" s="23" t="n">
        <v>77</v>
      </c>
      <c r="M917" s="20" t="s">
        <v>100</v>
      </c>
      <c r="N917" s="24" t="n">
        <v>6.57346</v>
      </c>
      <c r="O917" s="24" t="n">
        <v>3.37105</v>
      </c>
      <c r="P917" s="20" t="s">
        <v>85</v>
      </c>
      <c r="Q917" s="20" t="s">
        <v>86</v>
      </c>
      <c r="R917" s="20" t="s">
        <v>86</v>
      </c>
      <c r="S917" s="20" t="s">
        <v>87</v>
      </c>
      <c r="T917" s="27" t="s">
        <v>117</v>
      </c>
      <c r="U917" s="20" t="s">
        <v>118</v>
      </c>
      <c r="V917" s="20" t="s">
        <v>90</v>
      </c>
      <c r="W917" s="21"/>
    </row>
    <row r="918" customFormat="false" ht="15" hidden="false" customHeight="false" outlineLevel="0" collapsed="false">
      <c r="A918" s="20" t="n">
        <v>917</v>
      </c>
      <c r="B918" s="20" t="s">
        <v>3445</v>
      </c>
      <c r="C918" s="20" t="s">
        <v>5</v>
      </c>
      <c r="D918" s="20" t="s">
        <v>3446</v>
      </c>
      <c r="E918" s="20" t="s">
        <v>35</v>
      </c>
      <c r="F918" s="20" t="s">
        <v>3447</v>
      </c>
      <c r="G918" s="21" t="s">
        <v>3448</v>
      </c>
      <c r="H918" s="20" t="s">
        <v>3449</v>
      </c>
      <c r="I918" s="20"/>
      <c r="J918" s="20"/>
      <c r="K918" s="22"/>
      <c r="L918" s="23"/>
      <c r="M918" s="20" t="s">
        <v>100</v>
      </c>
      <c r="N918" s="24"/>
      <c r="O918" s="24"/>
      <c r="P918" s="20" t="s">
        <v>101</v>
      </c>
      <c r="Q918" s="20" t="s">
        <v>86</v>
      </c>
      <c r="R918" s="20" t="s">
        <v>86</v>
      </c>
      <c r="S918" s="20" t="s">
        <v>102</v>
      </c>
      <c r="T918" s="26" t="s">
        <v>103</v>
      </c>
      <c r="U918" s="20" t="s">
        <v>104</v>
      </c>
      <c r="V918" s="20" t="s">
        <v>138</v>
      </c>
      <c r="W918" s="21" t="s">
        <v>181</v>
      </c>
    </row>
    <row r="919" customFormat="false" ht="15" hidden="false" customHeight="false" outlineLevel="0" collapsed="false">
      <c r="A919" s="20" t="n">
        <v>918</v>
      </c>
      <c r="B919" s="20" t="s">
        <v>3450</v>
      </c>
      <c r="C919" s="20" t="s">
        <v>5</v>
      </c>
      <c r="D919" s="20" t="s">
        <v>3451</v>
      </c>
      <c r="E919" s="20" t="s">
        <v>35</v>
      </c>
      <c r="F919" s="20" t="s">
        <v>2202</v>
      </c>
      <c r="G919" s="21" t="s">
        <v>3452</v>
      </c>
      <c r="H919" s="20"/>
      <c r="I919" s="20"/>
      <c r="J919" s="20"/>
      <c r="K919" s="22"/>
      <c r="L919" s="23"/>
      <c r="M919" s="20" t="s">
        <v>84</v>
      </c>
      <c r="N919" s="24" t="n">
        <v>6.57081</v>
      </c>
      <c r="O919" s="24" t="n">
        <v>3.36311</v>
      </c>
      <c r="P919" s="20" t="s">
        <v>85</v>
      </c>
      <c r="Q919" s="20" t="s">
        <v>86</v>
      </c>
      <c r="R919" s="20" t="s">
        <v>86</v>
      </c>
      <c r="S919" s="20" t="s">
        <v>87</v>
      </c>
      <c r="T919" s="25" t="s">
        <v>88</v>
      </c>
      <c r="U919" s="20" t="s">
        <v>89</v>
      </c>
      <c r="V919" s="20" t="s">
        <v>90</v>
      </c>
      <c r="W919" s="21"/>
    </row>
    <row r="920" customFormat="false" ht="15" hidden="false" customHeight="false" outlineLevel="0" collapsed="false">
      <c r="A920" s="20" t="n">
        <v>919</v>
      </c>
      <c r="B920" s="20" t="s">
        <v>3453</v>
      </c>
      <c r="C920" s="20" t="s">
        <v>5</v>
      </c>
      <c r="D920" s="20" t="s">
        <v>3454</v>
      </c>
      <c r="E920" s="20" t="s">
        <v>35</v>
      </c>
      <c r="F920" s="20" t="s">
        <v>2202</v>
      </c>
      <c r="G920" s="21" t="s">
        <v>3454</v>
      </c>
      <c r="H920" s="20" t="s">
        <v>3455</v>
      </c>
      <c r="I920" s="20"/>
      <c r="J920" s="20"/>
      <c r="K920" s="22"/>
      <c r="L920" s="23"/>
      <c r="M920" s="20" t="s">
        <v>100</v>
      </c>
      <c r="N920" s="24" t="n">
        <v>6.57454</v>
      </c>
      <c r="O920" s="24" t="n">
        <v>3.37237</v>
      </c>
      <c r="P920" s="20" t="s">
        <v>85</v>
      </c>
      <c r="Q920" s="20" t="s">
        <v>86</v>
      </c>
      <c r="R920" s="20" t="s">
        <v>86</v>
      </c>
      <c r="S920" s="20" t="s">
        <v>87</v>
      </c>
      <c r="T920" s="26" t="s">
        <v>103</v>
      </c>
      <c r="U920" s="20" t="s">
        <v>104</v>
      </c>
      <c r="V920" s="20" t="s">
        <v>90</v>
      </c>
      <c r="W920" s="21"/>
    </row>
    <row r="921" customFormat="false" ht="15" hidden="false" customHeight="false" outlineLevel="0" collapsed="false">
      <c r="A921" s="20" t="n">
        <v>920</v>
      </c>
      <c r="B921" s="20" t="s">
        <v>3456</v>
      </c>
      <c r="C921" s="20" t="s">
        <v>5</v>
      </c>
      <c r="D921" s="20" t="s">
        <v>3457</v>
      </c>
      <c r="E921" s="20" t="s">
        <v>35</v>
      </c>
      <c r="F921" s="20" t="s">
        <v>2202</v>
      </c>
      <c r="G921" s="21" t="s">
        <v>3457</v>
      </c>
      <c r="H921" s="20" t="s">
        <v>3458</v>
      </c>
      <c r="I921" s="20"/>
      <c r="J921" s="20"/>
      <c r="K921" s="22"/>
      <c r="L921" s="23"/>
      <c r="M921" s="20" t="s">
        <v>100</v>
      </c>
      <c r="N921" s="24" t="n">
        <v>6.57833</v>
      </c>
      <c r="O921" s="24" t="n">
        <v>3.37038</v>
      </c>
      <c r="P921" s="20" t="s">
        <v>85</v>
      </c>
      <c r="Q921" s="20" t="s">
        <v>86</v>
      </c>
      <c r="R921" s="20" t="s">
        <v>86</v>
      </c>
      <c r="S921" s="20" t="s">
        <v>87</v>
      </c>
      <c r="T921" s="26" t="s">
        <v>103</v>
      </c>
      <c r="U921" s="20" t="s">
        <v>104</v>
      </c>
      <c r="V921" s="20" t="s">
        <v>90</v>
      </c>
      <c r="W921" s="21"/>
    </row>
    <row r="922" customFormat="false" ht="15" hidden="false" customHeight="false" outlineLevel="0" collapsed="false">
      <c r="A922" s="20" t="n">
        <v>921</v>
      </c>
      <c r="B922" s="20" t="s">
        <v>3459</v>
      </c>
      <c r="C922" s="20" t="s">
        <v>5</v>
      </c>
      <c r="D922" s="20" t="s">
        <v>2354</v>
      </c>
      <c r="E922" s="20" t="s">
        <v>35</v>
      </c>
      <c r="F922" s="20" t="s">
        <v>2202</v>
      </c>
      <c r="G922" s="21" t="s">
        <v>2354</v>
      </c>
      <c r="H922" s="20" t="s">
        <v>3460</v>
      </c>
      <c r="I922" s="20"/>
      <c r="J922" s="20"/>
      <c r="K922" s="22"/>
      <c r="L922" s="23"/>
      <c r="M922" s="20" t="s">
        <v>100</v>
      </c>
      <c r="N922" s="24" t="n">
        <v>6.57239</v>
      </c>
      <c r="O922" s="24" t="n">
        <v>3.37398</v>
      </c>
      <c r="P922" s="20" t="s">
        <v>85</v>
      </c>
      <c r="Q922" s="20" t="s">
        <v>86</v>
      </c>
      <c r="R922" s="20" t="s">
        <v>86</v>
      </c>
      <c r="S922" s="20" t="s">
        <v>87</v>
      </c>
      <c r="T922" s="26" t="s">
        <v>103</v>
      </c>
      <c r="U922" s="20" t="s">
        <v>104</v>
      </c>
      <c r="V922" s="20" t="s">
        <v>90</v>
      </c>
      <c r="W922" s="21"/>
    </row>
    <row r="923" customFormat="false" ht="15" hidden="false" customHeight="false" outlineLevel="0" collapsed="false">
      <c r="A923" s="20" t="n">
        <v>922</v>
      </c>
      <c r="B923" s="20" t="s">
        <v>3461</v>
      </c>
      <c r="C923" s="20" t="s">
        <v>5</v>
      </c>
      <c r="D923" s="20"/>
      <c r="E923" s="20" t="s">
        <v>35</v>
      </c>
      <c r="F923" s="20" t="s">
        <v>2195</v>
      </c>
      <c r="G923" s="21" t="s">
        <v>3462</v>
      </c>
      <c r="H923" s="20" t="s">
        <v>3463</v>
      </c>
      <c r="I923" s="20"/>
      <c r="J923" s="20"/>
      <c r="K923" s="22" t="n">
        <v>4.5</v>
      </c>
      <c r="L923" s="23" t="n">
        <v>2</v>
      </c>
      <c r="M923" s="20" t="s">
        <v>100</v>
      </c>
      <c r="N923" s="24" t="n">
        <v>6.57334</v>
      </c>
      <c r="O923" s="24" t="n">
        <v>3.36269</v>
      </c>
      <c r="P923" s="20" t="s">
        <v>85</v>
      </c>
      <c r="Q923" s="20" t="s">
        <v>86</v>
      </c>
      <c r="R923" s="20" t="s">
        <v>86</v>
      </c>
      <c r="S923" s="20" t="s">
        <v>87</v>
      </c>
      <c r="T923" s="26" t="s">
        <v>103</v>
      </c>
      <c r="U923" s="20" t="s">
        <v>104</v>
      </c>
      <c r="V923" s="20" t="s">
        <v>90</v>
      </c>
      <c r="W923" s="21"/>
    </row>
    <row r="924" customFormat="false" ht="15" hidden="false" customHeight="false" outlineLevel="0" collapsed="false">
      <c r="A924" s="20" t="n">
        <v>923</v>
      </c>
      <c r="B924" s="20" t="s">
        <v>3464</v>
      </c>
      <c r="C924" s="20" t="s">
        <v>5</v>
      </c>
      <c r="D924" s="20" t="s">
        <v>3465</v>
      </c>
      <c r="E924" s="20" t="s">
        <v>35</v>
      </c>
      <c r="F924" s="20" t="s">
        <v>3447</v>
      </c>
      <c r="G924" s="21" t="s">
        <v>3466</v>
      </c>
      <c r="H924" s="20" t="s">
        <v>3467</v>
      </c>
      <c r="I924" s="20"/>
      <c r="J924" s="20"/>
      <c r="K924" s="22"/>
      <c r="L924" s="23"/>
      <c r="M924" s="20" t="s">
        <v>100</v>
      </c>
      <c r="N924" s="24"/>
      <c r="O924" s="24"/>
      <c r="P924" s="20" t="s">
        <v>101</v>
      </c>
      <c r="Q924" s="20" t="s">
        <v>86</v>
      </c>
      <c r="R924" s="20" t="s">
        <v>86</v>
      </c>
      <c r="S924" s="20" t="s">
        <v>102</v>
      </c>
      <c r="T924" s="26" t="s">
        <v>103</v>
      </c>
      <c r="U924" s="20" t="s">
        <v>104</v>
      </c>
      <c r="V924" s="20" t="s">
        <v>138</v>
      </c>
      <c r="W924" s="21" t="s">
        <v>181</v>
      </c>
    </row>
    <row r="925" customFormat="false" ht="15" hidden="false" customHeight="false" outlineLevel="0" collapsed="false">
      <c r="A925" s="20" t="n">
        <v>924</v>
      </c>
      <c r="B925" s="20" t="s">
        <v>3468</v>
      </c>
      <c r="C925" s="20" t="s">
        <v>5</v>
      </c>
      <c r="D925" s="20" t="s">
        <v>3469</v>
      </c>
      <c r="E925" s="20" t="s">
        <v>35</v>
      </c>
      <c r="F925" s="20" t="s">
        <v>2202</v>
      </c>
      <c r="G925" s="21" t="s">
        <v>3469</v>
      </c>
      <c r="H925" s="20" t="s">
        <v>3470</v>
      </c>
      <c r="I925" s="20"/>
      <c r="J925" s="20"/>
      <c r="K925" s="22" t="n">
        <v>4</v>
      </c>
      <c r="L925" s="23" t="n">
        <v>5</v>
      </c>
      <c r="M925" s="20" t="s">
        <v>100</v>
      </c>
      <c r="N925" s="24" t="n">
        <v>6.57018</v>
      </c>
      <c r="O925" s="24" t="n">
        <v>3.37153</v>
      </c>
      <c r="P925" s="20" t="s">
        <v>85</v>
      </c>
      <c r="Q925" s="20" t="s">
        <v>86</v>
      </c>
      <c r="R925" s="20" t="s">
        <v>86</v>
      </c>
      <c r="S925" s="20" t="s">
        <v>87</v>
      </c>
      <c r="T925" s="26" t="s">
        <v>103</v>
      </c>
      <c r="U925" s="20" t="s">
        <v>104</v>
      </c>
      <c r="V925" s="20" t="s">
        <v>90</v>
      </c>
      <c r="W925" s="21"/>
    </row>
    <row r="926" customFormat="false" ht="15" hidden="false" customHeight="false" outlineLevel="0" collapsed="false">
      <c r="A926" s="20" t="n">
        <v>925</v>
      </c>
      <c r="B926" s="20" t="s">
        <v>3471</v>
      </c>
      <c r="C926" s="20" t="s">
        <v>5</v>
      </c>
      <c r="D926" s="20" t="s">
        <v>2266</v>
      </c>
      <c r="E926" s="20" t="s">
        <v>35</v>
      </c>
      <c r="F926" s="20" t="s">
        <v>3447</v>
      </c>
      <c r="G926" s="21" t="s">
        <v>3472</v>
      </c>
      <c r="H926" s="20" t="s">
        <v>3473</v>
      </c>
      <c r="I926" s="20"/>
      <c r="J926" s="20"/>
      <c r="K926" s="22"/>
      <c r="L926" s="23"/>
      <c r="M926" s="20" t="s">
        <v>100</v>
      </c>
      <c r="N926" s="24"/>
      <c r="O926" s="24"/>
      <c r="P926" s="20" t="s">
        <v>101</v>
      </c>
      <c r="Q926" s="20" t="s">
        <v>86</v>
      </c>
      <c r="R926" s="20" t="s">
        <v>86</v>
      </c>
      <c r="S926" s="20" t="s">
        <v>102</v>
      </c>
      <c r="T926" s="26" t="s">
        <v>103</v>
      </c>
      <c r="U926" s="20" t="s">
        <v>104</v>
      </c>
      <c r="V926" s="20" t="s">
        <v>138</v>
      </c>
      <c r="W926" s="21" t="s">
        <v>181</v>
      </c>
    </row>
    <row r="927" customFormat="false" ht="15" hidden="false" customHeight="false" outlineLevel="0" collapsed="false">
      <c r="A927" s="20" t="n">
        <v>926</v>
      </c>
      <c r="B927" s="20" t="s">
        <v>3474</v>
      </c>
      <c r="C927" s="20" t="s">
        <v>5</v>
      </c>
      <c r="D927" s="20" t="s">
        <v>2856</v>
      </c>
      <c r="E927" s="20" t="s">
        <v>35</v>
      </c>
      <c r="F927" s="20" t="s">
        <v>2202</v>
      </c>
      <c r="G927" s="21" t="s">
        <v>2856</v>
      </c>
      <c r="H927" s="20" t="s">
        <v>3475</v>
      </c>
      <c r="I927" s="20"/>
      <c r="J927" s="20"/>
      <c r="K927" s="22" t="n">
        <v>5</v>
      </c>
      <c r="L927" s="23" t="n">
        <v>3</v>
      </c>
      <c r="M927" s="20" t="s">
        <v>100</v>
      </c>
      <c r="N927" s="24" t="n">
        <v>6.57706</v>
      </c>
      <c r="O927" s="24" t="n">
        <v>3.3681</v>
      </c>
      <c r="P927" s="20" t="s">
        <v>85</v>
      </c>
      <c r="Q927" s="20" t="s">
        <v>86</v>
      </c>
      <c r="R927" s="20" t="s">
        <v>86</v>
      </c>
      <c r="S927" s="20" t="s">
        <v>87</v>
      </c>
      <c r="T927" s="26" t="s">
        <v>103</v>
      </c>
      <c r="U927" s="20" t="s">
        <v>104</v>
      </c>
      <c r="V927" s="20" t="s">
        <v>90</v>
      </c>
      <c r="W927" s="21"/>
    </row>
    <row r="928" customFormat="false" ht="23.85" hidden="false" customHeight="false" outlineLevel="0" collapsed="false">
      <c r="A928" s="20" t="n">
        <v>927</v>
      </c>
      <c r="B928" s="20" t="s">
        <v>3476</v>
      </c>
      <c r="C928" s="20" t="s">
        <v>5</v>
      </c>
      <c r="D928" s="20" t="s">
        <v>3477</v>
      </c>
      <c r="E928" s="20" t="s">
        <v>35</v>
      </c>
      <c r="F928" s="20" t="s">
        <v>3447</v>
      </c>
      <c r="G928" s="21" t="s">
        <v>3478</v>
      </c>
      <c r="H928" s="20" t="s">
        <v>3479</v>
      </c>
      <c r="I928" s="20"/>
      <c r="J928" s="20"/>
      <c r="K928" s="22"/>
      <c r="L928" s="23"/>
      <c r="M928" s="20" t="s">
        <v>100</v>
      </c>
      <c r="N928" s="24"/>
      <c r="O928" s="24"/>
      <c r="P928" s="20" t="s">
        <v>101</v>
      </c>
      <c r="Q928" s="20" t="s">
        <v>86</v>
      </c>
      <c r="R928" s="20" t="s">
        <v>86</v>
      </c>
      <c r="S928" s="20" t="s">
        <v>102</v>
      </c>
      <c r="T928" s="26" t="s">
        <v>103</v>
      </c>
      <c r="U928" s="20" t="s">
        <v>104</v>
      </c>
      <c r="V928" s="20" t="s">
        <v>138</v>
      </c>
      <c r="W928" s="21" t="s">
        <v>181</v>
      </c>
    </row>
    <row r="929" customFormat="false" ht="15" hidden="false" customHeight="false" outlineLevel="0" collapsed="false">
      <c r="A929" s="20" t="n">
        <v>928</v>
      </c>
      <c r="B929" s="20" t="s">
        <v>3480</v>
      </c>
      <c r="C929" s="20" t="s">
        <v>5</v>
      </c>
      <c r="D929" s="20" t="s">
        <v>3481</v>
      </c>
      <c r="E929" s="20" t="s">
        <v>35</v>
      </c>
      <c r="F929" s="20" t="s">
        <v>3447</v>
      </c>
      <c r="G929" s="21" t="s">
        <v>3482</v>
      </c>
      <c r="H929" s="20" t="s">
        <v>3483</v>
      </c>
      <c r="I929" s="20"/>
      <c r="J929" s="20"/>
      <c r="K929" s="22"/>
      <c r="L929" s="23"/>
      <c r="M929" s="20" t="s">
        <v>100</v>
      </c>
      <c r="N929" s="24"/>
      <c r="O929" s="24"/>
      <c r="P929" s="20" t="s">
        <v>101</v>
      </c>
      <c r="Q929" s="20" t="s">
        <v>86</v>
      </c>
      <c r="R929" s="20" t="s">
        <v>86</v>
      </c>
      <c r="S929" s="20" t="s">
        <v>102</v>
      </c>
      <c r="T929" s="26" t="s">
        <v>103</v>
      </c>
      <c r="U929" s="20" t="s">
        <v>104</v>
      </c>
      <c r="V929" s="20" t="s">
        <v>138</v>
      </c>
      <c r="W929" s="21" t="s">
        <v>181</v>
      </c>
    </row>
    <row r="930" customFormat="false" ht="15" hidden="false" customHeight="false" outlineLevel="0" collapsed="false">
      <c r="A930" s="20" t="n">
        <v>929</v>
      </c>
      <c r="B930" s="20" t="s">
        <v>3484</v>
      </c>
      <c r="C930" s="20" t="s">
        <v>5</v>
      </c>
      <c r="D930" s="20" t="s">
        <v>3485</v>
      </c>
      <c r="E930" s="20" t="s">
        <v>35</v>
      </c>
      <c r="F930" s="20" t="s">
        <v>2202</v>
      </c>
      <c r="G930" s="21" t="s">
        <v>3485</v>
      </c>
      <c r="H930" s="20" t="s">
        <v>3486</v>
      </c>
      <c r="I930" s="20"/>
      <c r="J930" s="20"/>
      <c r="K930" s="22"/>
      <c r="L930" s="23"/>
      <c r="M930" s="20" t="s">
        <v>100</v>
      </c>
      <c r="N930" s="24" t="n">
        <v>6.57076</v>
      </c>
      <c r="O930" s="24" t="n">
        <v>3.36494</v>
      </c>
      <c r="P930" s="20" t="s">
        <v>85</v>
      </c>
      <c r="Q930" s="20" t="s">
        <v>86</v>
      </c>
      <c r="R930" s="20" t="s">
        <v>86</v>
      </c>
      <c r="S930" s="20" t="s">
        <v>87</v>
      </c>
      <c r="T930" s="26" t="s">
        <v>103</v>
      </c>
      <c r="U930" s="20" t="s">
        <v>104</v>
      </c>
      <c r="V930" s="20" t="s">
        <v>90</v>
      </c>
      <c r="W930" s="21"/>
    </row>
    <row r="931" customFormat="false" ht="15" hidden="false" customHeight="false" outlineLevel="0" collapsed="false">
      <c r="A931" s="20" t="n">
        <v>930</v>
      </c>
      <c r="B931" s="20" t="s">
        <v>3487</v>
      </c>
      <c r="C931" s="20" t="s">
        <v>5</v>
      </c>
      <c r="D931" s="20" t="s">
        <v>2441</v>
      </c>
      <c r="E931" s="20" t="s">
        <v>35</v>
      </c>
      <c r="F931" s="20" t="s">
        <v>2205</v>
      </c>
      <c r="G931" s="21" t="s">
        <v>2441</v>
      </c>
      <c r="H931" s="20"/>
      <c r="I931" s="20"/>
      <c r="J931" s="20"/>
      <c r="K931" s="22" t="n">
        <v>5</v>
      </c>
      <c r="L931" s="23" t="n">
        <v>1</v>
      </c>
      <c r="M931" s="20" t="s">
        <v>84</v>
      </c>
      <c r="N931" s="24" t="n">
        <v>6.57479</v>
      </c>
      <c r="O931" s="24" t="n">
        <v>3.36778</v>
      </c>
      <c r="P931" s="20" t="s">
        <v>85</v>
      </c>
      <c r="Q931" s="20" t="s">
        <v>86</v>
      </c>
      <c r="R931" s="20" t="s">
        <v>86</v>
      </c>
      <c r="S931" s="20" t="s">
        <v>87</v>
      </c>
      <c r="T931" s="25" t="s">
        <v>88</v>
      </c>
      <c r="U931" s="20" t="s">
        <v>89</v>
      </c>
      <c r="V931" s="20" t="s">
        <v>90</v>
      </c>
      <c r="W931" s="21"/>
    </row>
  </sheetData>
  <autoFilter ref="A1:W931"/>
  <dataValidations count="4">
    <dataValidation allowBlank="true" errorStyle="stop" operator="between" showDropDown="false" showErrorMessage="false" showInputMessage="false" sqref="E2:E931" type="list">
      <formula1>"Restaurants,Hotels,Gyms,Salons,Barbers,Medical Centres,Dentists,Pharmacies,Schools,Churches,Supermarkets,Boutiques,Home Services,Real Estate,Professional Services,Auto Services,Event Businesses,Caterers"</formula1>
      <formula2>0</formula2>
    </dataValidation>
    <dataValidation allowBlank="true" errorStyle="stop" operator="between" showDropDown="false" showErrorMessage="false" showInputMessage="false" sqref="C2:C931" type="list">
      <formula1>"Anthony / Anthony Village,Maryland / Mende"</formula1>
      <formula2>0</formula2>
    </dataValidation>
    <dataValidation allowBlank="true" errorStyle="stop" operator="between" showDropDown="false" showErrorMessage="false" showInputMessage="false" sqref="V2:V931" type="list">
      <formula1>"Not Contacted,Contacted,Meeting Booked,Proposal Sent,Won,Declined,Do Not Contact"</formula1>
      <formula2>0</formula2>
    </dataValidation>
    <dataValidation allowBlank="true" errorStyle="stop" operator="between" showDropDown="false" showErrorMessage="false" showInputMessage="false" sqref="U2:U931" type="list">
      <formula1>"Premium,Standard,Listing"</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3" min="2" style="0" width="14"/>
    <col collapsed="false" customWidth="true" hidden="false" outlineLevel="0" max="7" min="4" style="0" width="12"/>
    <col collapsed="false" customWidth="true" hidden="false" outlineLevel="0" max="8" min="8" style="0" width="16"/>
  </cols>
  <sheetData>
    <row r="1" customFormat="false" ht="19.7" hidden="false" customHeight="false" outlineLevel="0" collapsed="false">
      <c r="A1" s="1" t="s">
        <v>3488</v>
      </c>
      <c r="B1" s="1"/>
      <c r="C1" s="1"/>
      <c r="D1" s="1"/>
      <c r="E1" s="1"/>
      <c r="F1" s="1"/>
      <c r="G1" s="1"/>
      <c r="H1" s="1"/>
    </row>
    <row r="3" customFormat="false" ht="15" hidden="false" customHeight="false" outlineLevel="0" collapsed="false">
      <c r="A3" s="9" t="s">
        <v>60</v>
      </c>
      <c r="B3" s="9" t="s">
        <v>3489</v>
      </c>
      <c r="C3" s="9" t="s">
        <v>17</v>
      </c>
      <c r="D3" s="9" t="s">
        <v>16</v>
      </c>
      <c r="E3" s="9" t="s">
        <v>3490</v>
      </c>
      <c r="F3" s="9" t="s">
        <v>3491</v>
      </c>
      <c r="G3" s="9" t="s">
        <v>3492</v>
      </c>
      <c r="H3" s="9" t="s">
        <v>87</v>
      </c>
    </row>
    <row r="4" customFormat="false" ht="15" hidden="false" customHeight="false" outlineLevel="0" collapsed="false">
      <c r="A4" s="4" t="s">
        <v>4</v>
      </c>
      <c r="B4" s="10" t="n">
        <f aca="false">COUNTIF('MASTER DATABASE'!$C$2:$C$931,$A4)</f>
        <v>478</v>
      </c>
      <c r="C4" s="11" t="n">
        <f aca="false">IFERROR(B4/$B$6,0)</f>
        <v>0.513978494623656</v>
      </c>
      <c r="D4" s="10" t="n">
        <f aca="false">COUNTIFS('MASTER DATABASE'!$C$2:$C$931,$A4,'MASTER DATABASE'!$T$2:$T$931,"A - High commercial relevance")</f>
        <v>107</v>
      </c>
      <c r="E4" s="10" t="n">
        <f aca="false">COUNTIFS('MASTER DATABASE'!$C$2:$C$931,$A4,'MASTER DATABASE'!$T$2:$T$931,"B - Potential advertiser")</f>
        <v>246</v>
      </c>
      <c r="F4" s="10" t="n">
        <f aca="false">COUNTIFS('MASTER DATABASE'!$C$2:$C$931,$A4,'MASTER DATABASE'!$T$2:$T$931,"C - Listing only (no contact yet)")</f>
        <v>125</v>
      </c>
      <c r="G4" s="10" t="n">
        <f aca="false">COUNTIFS('MASTER DATABASE'!$C$2:$C$931,$A4,'MASTER DATABASE'!$M$2:$M$931,"Yes")</f>
        <v>353</v>
      </c>
      <c r="H4" s="10" t="n">
        <f aca="false">COUNTIFS('MASTER DATABASE'!$C$2:$C$931,$A4,'MASTER DATABASE'!$S$2:$S$931,"Google-verified")</f>
        <v>331</v>
      </c>
    </row>
    <row r="5" customFormat="false" ht="15" hidden="false" customHeight="false" outlineLevel="0" collapsed="false">
      <c r="A5" s="4" t="s">
        <v>5</v>
      </c>
      <c r="B5" s="10" t="n">
        <f aca="false">COUNTIF('MASTER DATABASE'!$C$2:$C$931,$A5)</f>
        <v>452</v>
      </c>
      <c r="C5" s="11" t="n">
        <f aca="false">IFERROR(B5/$B$6,0)</f>
        <v>0.486021505376344</v>
      </c>
      <c r="D5" s="10" t="n">
        <f aca="false">COUNTIFS('MASTER DATABASE'!$C$2:$C$931,$A5,'MASTER DATABASE'!$T$2:$T$931,"A - High commercial relevance")</f>
        <v>45</v>
      </c>
      <c r="E5" s="10" t="n">
        <f aca="false">COUNTIFS('MASTER DATABASE'!$C$2:$C$931,$A5,'MASTER DATABASE'!$T$2:$T$931,"B - Potential advertiser")</f>
        <v>161</v>
      </c>
      <c r="F5" s="10" t="n">
        <f aca="false">COUNTIFS('MASTER DATABASE'!$C$2:$C$931,$A5,'MASTER DATABASE'!$T$2:$T$931,"C - Listing only (no contact yet)")</f>
        <v>246</v>
      </c>
      <c r="G5" s="10" t="n">
        <f aca="false">COUNTIFS('MASTER DATABASE'!$C$2:$C$931,$A5,'MASTER DATABASE'!$M$2:$M$931,"Yes")</f>
        <v>206</v>
      </c>
      <c r="H5" s="10" t="n">
        <f aca="false">COUNTIFS('MASTER DATABASE'!$C$2:$C$931,$A5,'MASTER DATABASE'!$S$2:$S$931,"Google-verified")</f>
        <v>393</v>
      </c>
    </row>
    <row r="6" customFormat="false" ht="15" hidden="false" customHeight="false" outlineLevel="0" collapsed="false">
      <c r="A6" s="15" t="s">
        <v>36</v>
      </c>
      <c r="B6" s="16" t="n">
        <f aca="false">SUM(B4:B5)</f>
        <v>930</v>
      </c>
      <c r="C6" s="17" t="n">
        <f aca="false">IFERROR(B6/$B$6,0)</f>
        <v>1</v>
      </c>
      <c r="D6" s="16" t="n">
        <f aca="false">SUM(D4:D5)</f>
        <v>152</v>
      </c>
      <c r="E6" s="16" t="n">
        <f aca="false">SUM(E4:E5)</f>
        <v>407</v>
      </c>
      <c r="F6" s="16" t="n">
        <f aca="false">SUM(F4:F5)</f>
        <v>371</v>
      </c>
      <c r="G6" s="16" t="n">
        <f aca="false">SUM(G4:G5)</f>
        <v>559</v>
      </c>
      <c r="H6" s="16" t="n">
        <f aca="false">SUM(H4:H5)</f>
        <v>724</v>
      </c>
    </row>
  </sheetData>
  <mergeCells count="1">
    <mergeCell ref="A1:H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2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2" min="1" style="0" width="26"/>
    <col collapsed="false" customWidth="true" hidden="false" outlineLevel="0" max="3" min="3" style="0" width="22"/>
    <col collapsed="false" customWidth="true" hidden="false" outlineLevel="0" max="6" min="4" style="0" width="12"/>
    <col collapsed="false" customWidth="true" hidden="false" outlineLevel="0" max="7" min="7" style="0" width="18"/>
    <col collapsed="false" customWidth="true" hidden="false" outlineLevel="0" max="8" min="8" style="0" width="14"/>
  </cols>
  <sheetData>
    <row r="1" customFormat="false" ht="19.7" hidden="false" customHeight="false" outlineLevel="0" collapsed="false">
      <c r="A1" s="1" t="s">
        <v>3493</v>
      </c>
      <c r="B1" s="1"/>
      <c r="C1" s="1"/>
      <c r="D1" s="1"/>
      <c r="E1" s="1"/>
      <c r="F1" s="1"/>
      <c r="G1" s="1"/>
      <c r="H1" s="1"/>
    </row>
    <row r="3" customFormat="false" ht="15" hidden="false" customHeight="false" outlineLevel="0" collapsed="false">
      <c r="A3" s="9" t="s">
        <v>14</v>
      </c>
      <c r="B3" s="9" t="s">
        <v>4</v>
      </c>
      <c r="C3" s="9" t="s">
        <v>5</v>
      </c>
      <c r="D3" s="9" t="s">
        <v>15</v>
      </c>
      <c r="E3" s="9" t="s">
        <v>3492</v>
      </c>
      <c r="F3" s="9" t="s">
        <v>16</v>
      </c>
      <c r="G3" s="9" t="s">
        <v>3494</v>
      </c>
      <c r="H3" s="9" t="s">
        <v>17</v>
      </c>
    </row>
    <row r="4" customFormat="false" ht="15" hidden="false" customHeight="false" outlineLevel="0" collapsed="false">
      <c r="A4" s="4" t="s">
        <v>18</v>
      </c>
      <c r="B4" s="10" t="n">
        <f aca="false">COUNTIFS('MASTER DATABASE'!$C$2:$C$931,$B$3,'MASTER DATABASE'!$E$2:$E$931,$A4)</f>
        <v>34</v>
      </c>
      <c r="C4" s="10" t="n">
        <f aca="false">COUNTIFS('MASTER DATABASE'!$C$2:$C$931,$C$3,'MASTER DATABASE'!$E$2:$E$931,$A4)</f>
        <v>63</v>
      </c>
      <c r="D4" s="10" t="n">
        <f aca="false">SUM(B4:C4)</f>
        <v>97</v>
      </c>
      <c r="E4" s="10" t="n">
        <f aca="false">COUNTIFS('MASTER DATABASE'!$E$2:$E$931,$A4,'MASTER DATABASE'!$M$2:$M$931,"Yes")</f>
        <v>26</v>
      </c>
      <c r="F4" s="10" t="n">
        <f aca="false">COUNTIFS('MASTER DATABASE'!$E$2:$E$931,$A4,'MASTER DATABASE'!$T$2:$T$931,"A - High commercial relevance")</f>
        <v>7</v>
      </c>
      <c r="G4" s="28" t="n">
        <f aca="false">IFERROR(AVERAGEIFS('MASTER DATABASE'!$K$2:$K$931,'MASTER DATABASE'!$E$2:$E$931,$A4,'MASTER DATABASE'!$K$2:$K$931,"&gt;0"),"n/a")</f>
        <v>4.08852459016393</v>
      </c>
      <c r="H4" s="11" t="n">
        <f aca="false">IFERROR(D4/$D$22,0)</f>
        <v>0.104301075268817</v>
      </c>
    </row>
    <row r="5" customFormat="false" ht="15" hidden="false" customHeight="false" outlineLevel="0" collapsed="false">
      <c r="A5" s="12" t="s">
        <v>19</v>
      </c>
      <c r="B5" s="13" t="n">
        <f aca="false">COUNTIFS('MASTER DATABASE'!$C$2:$C$931,$B$3,'MASTER DATABASE'!$E$2:$E$931,$A5)</f>
        <v>11</v>
      </c>
      <c r="C5" s="13" t="n">
        <f aca="false">COUNTIFS('MASTER DATABASE'!$C$2:$C$931,$C$3,'MASTER DATABASE'!$E$2:$E$931,$A5)</f>
        <v>14</v>
      </c>
      <c r="D5" s="13" t="n">
        <f aca="false">SUM(B5:C5)</f>
        <v>25</v>
      </c>
      <c r="E5" s="13" t="n">
        <f aca="false">COUNTIFS('MASTER DATABASE'!$E$2:$E$931,$A5,'MASTER DATABASE'!$M$2:$M$931,"Yes")</f>
        <v>10</v>
      </c>
      <c r="F5" s="13" t="n">
        <f aca="false">COUNTIFS('MASTER DATABASE'!$E$2:$E$931,$A5,'MASTER DATABASE'!$T$2:$T$931,"A - High commercial relevance")</f>
        <v>4</v>
      </c>
      <c r="G5" s="29" t="n">
        <f aca="false">IFERROR(AVERAGEIFS('MASTER DATABASE'!$K$2:$K$931,'MASTER DATABASE'!$E$2:$E$931,$A5,'MASTER DATABASE'!$K$2:$K$931,"&gt;0"),"n/a")</f>
        <v>3.89444444444444</v>
      </c>
      <c r="H5" s="14" t="n">
        <f aca="false">IFERROR(D5/$D$22,0)</f>
        <v>0.0268817204301075</v>
      </c>
    </row>
    <row r="6" customFormat="false" ht="15" hidden="false" customHeight="false" outlineLevel="0" collapsed="false">
      <c r="A6" s="4" t="s">
        <v>20</v>
      </c>
      <c r="B6" s="10" t="n">
        <f aca="false">COUNTIFS('MASTER DATABASE'!$C$2:$C$931,$B$3,'MASTER DATABASE'!$E$2:$E$931,$A6)</f>
        <v>15</v>
      </c>
      <c r="C6" s="10" t="n">
        <f aca="false">COUNTIFS('MASTER DATABASE'!$C$2:$C$931,$C$3,'MASTER DATABASE'!$E$2:$E$931,$A6)</f>
        <v>12</v>
      </c>
      <c r="D6" s="10" t="n">
        <f aca="false">SUM(B6:C6)</f>
        <v>27</v>
      </c>
      <c r="E6" s="10" t="n">
        <f aca="false">COUNTIFS('MASTER DATABASE'!$E$2:$E$931,$A6,'MASTER DATABASE'!$M$2:$M$931,"Yes")</f>
        <v>11</v>
      </c>
      <c r="F6" s="10" t="n">
        <f aca="false">COUNTIFS('MASTER DATABASE'!$E$2:$E$931,$A6,'MASTER DATABASE'!$T$2:$T$931,"A - High commercial relevance")</f>
        <v>1</v>
      </c>
      <c r="G6" s="28" t="n">
        <f aca="false">IFERROR(AVERAGEIFS('MASTER DATABASE'!$K$2:$K$931,'MASTER DATABASE'!$E$2:$E$931,$A6,'MASTER DATABASE'!$K$2:$K$931,"&gt;0"),"n/a")</f>
        <v>4.52941176470588</v>
      </c>
      <c r="H6" s="11" t="n">
        <f aca="false">IFERROR(D6/$D$22,0)</f>
        <v>0.0290322580645161</v>
      </c>
    </row>
    <row r="7" customFormat="false" ht="15" hidden="false" customHeight="false" outlineLevel="0" collapsed="false">
      <c r="A7" s="12" t="s">
        <v>21</v>
      </c>
      <c r="B7" s="13" t="n">
        <f aca="false">COUNTIFS('MASTER DATABASE'!$C$2:$C$931,$B$3,'MASTER DATABASE'!$E$2:$E$931,$A7)</f>
        <v>43</v>
      </c>
      <c r="C7" s="13" t="n">
        <f aca="false">COUNTIFS('MASTER DATABASE'!$C$2:$C$931,$C$3,'MASTER DATABASE'!$E$2:$E$931,$A7)</f>
        <v>79</v>
      </c>
      <c r="D7" s="13" t="n">
        <f aca="false">SUM(B7:C7)</f>
        <v>122</v>
      </c>
      <c r="E7" s="13" t="n">
        <f aca="false">COUNTIFS('MASTER DATABASE'!$E$2:$E$931,$A7,'MASTER DATABASE'!$M$2:$M$931,"Yes")</f>
        <v>33</v>
      </c>
      <c r="F7" s="13" t="n">
        <f aca="false">COUNTIFS('MASTER DATABASE'!$E$2:$E$931,$A7,'MASTER DATABASE'!$T$2:$T$931,"A - High commercial relevance")</f>
        <v>11</v>
      </c>
      <c r="G7" s="29" t="n">
        <f aca="false">IFERROR(AVERAGEIFS('MASTER DATABASE'!$K$2:$K$931,'MASTER DATABASE'!$E$2:$E$931,$A7,'MASTER DATABASE'!$K$2:$K$931,"&gt;0"),"n/a")</f>
        <v>4.54363636363636</v>
      </c>
      <c r="H7" s="14" t="n">
        <f aca="false">IFERROR(D7/$D$22,0)</f>
        <v>0.131182795698925</v>
      </c>
    </row>
    <row r="8" customFormat="false" ht="15" hidden="false" customHeight="false" outlineLevel="0" collapsed="false">
      <c r="A8" s="4" t="s">
        <v>22</v>
      </c>
      <c r="B8" s="10" t="n">
        <f aca="false">COUNTIFS('MASTER DATABASE'!$C$2:$C$931,$B$3,'MASTER DATABASE'!$E$2:$E$931,$A8)</f>
        <v>8</v>
      </c>
      <c r="C8" s="10" t="n">
        <f aca="false">COUNTIFS('MASTER DATABASE'!$C$2:$C$931,$C$3,'MASTER DATABASE'!$E$2:$E$931,$A8)</f>
        <v>10</v>
      </c>
      <c r="D8" s="10" t="n">
        <f aca="false">SUM(B8:C8)</f>
        <v>18</v>
      </c>
      <c r="E8" s="10" t="n">
        <f aca="false">COUNTIFS('MASTER DATABASE'!$E$2:$E$931,$A8,'MASTER DATABASE'!$M$2:$M$931,"Yes")</f>
        <v>5</v>
      </c>
      <c r="F8" s="10" t="n">
        <f aca="false">COUNTIFS('MASTER DATABASE'!$E$2:$E$931,$A8,'MASTER DATABASE'!$T$2:$T$931,"A - High commercial relevance")</f>
        <v>1</v>
      </c>
      <c r="G8" s="28" t="n">
        <f aca="false">IFERROR(AVERAGEIFS('MASTER DATABASE'!$K$2:$K$931,'MASTER DATABASE'!$E$2:$E$931,$A8,'MASTER DATABASE'!$K$2:$K$931,"&gt;0"),"n/a")</f>
        <v>4.43333333333333</v>
      </c>
      <c r="H8" s="11" t="n">
        <f aca="false">IFERROR(D8/$D$22,0)</f>
        <v>0.0193548387096774</v>
      </c>
    </row>
    <row r="9" customFormat="false" ht="15" hidden="false" customHeight="false" outlineLevel="0" collapsed="false">
      <c r="A9" s="12" t="s">
        <v>23</v>
      </c>
      <c r="B9" s="13" t="n">
        <f aca="false">COUNTIFS('MASTER DATABASE'!$C$2:$C$931,$B$3,'MASTER DATABASE'!$E$2:$E$931,$A9)</f>
        <v>31</v>
      </c>
      <c r="C9" s="13" t="n">
        <f aca="false">COUNTIFS('MASTER DATABASE'!$C$2:$C$931,$C$3,'MASTER DATABASE'!$E$2:$E$931,$A9)</f>
        <v>29</v>
      </c>
      <c r="D9" s="13" t="n">
        <f aca="false">SUM(B9:C9)</f>
        <v>60</v>
      </c>
      <c r="E9" s="13" t="n">
        <f aca="false">COUNTIFS('MASTER DATABASE'!$E$2:$E$931,$A9,'MASTER DATABASE'!$M$2:$M$931,"Yes")</f>
        <v>49</v>
      </c>
      <c r="F9" s="13" t="n">
        <f aca="false">COUNTIFS('MASTER DATABASE'!$E$2:$E$931,$A9,'MASTER DATABASE'!$T$2:$T$931,"A - High commercial relevance")</f>
        <v>18</v>
      </c>
      <c r="G9" s="29" t="n">
        <f aca="false">IFERROR(AVERAGEIFS('MASTER DATABASE'!$K$2:$K$931,'MASTER DATABASE'!$E$2:$E$931,$A9,'MASTER DATABASE'!$K$2:$K$931,"&gt;0"),"n/a")</f>
        <v>4.27096774193548</v>
      </c>
      <c r="H9" s="14" t="n">
        <f aca="false">IFERROR(D9/$D$22,0)</f>
        <v>0.0645161290322581</v>
      </c>
    </row>
    <row r="10" customFormat="false" ht="15" hidden="false" customHeight="false" outlineLevel="0" collapsed="false">
      <c r="A10" s="4" t="s">
        <v>24</v>
      </c>
      <c r="B10" s="10" t="n">
        <f aca="false">COUNTIFS('MASTER DATABASE'!$C$2:$C$931,$B$3,'MASTER DATABASE'!$E$2:$E$931,$A10)</f>
        <v>6</v>
      </c>
      <c r="C10" s="10" t="n">
        <f aca="false">COUNTIFS('MASTER DATABASE'!$C$2:$C$931,$C$3,'MASTER DATABASE'!$E$2:$E$931,$A10)</f>
        <v>3</v>
      </c>
      <c r="D10" s="10" t="n">
        <f aca="false">SUM(B10:C10)</f>
        <v>9</v>
      </c>
      <c r="E10" s="10" t="n">
        <f aca="false">COUNTIFS('MASTER DATABASE'!$E$2:$E$931,$A10,'MASTER DATABASE'!$M$2:$M$931,"Yes")</f>
        <v>9</v>
      </c>
      <c r="F10" s="10" t="n">
        <f aca="false">COUNTIFS('MASTER DATABASE'!$E$2:$E$931,$A10,'MASTER DATABASE'!$T$2:$T$931,"A - High commercial relevance")</f>
        <v>3</v>
      </c>
      <c r="G10" s="28" t="n">
        <f aca="false">IFERROR(AVERAGEIFS('MASTER DATABASE'!$K$2:$K$931,'MASTER DATABASE'!$E$2:$E$931,$A10,'MASTER DATABASE'!$K$2:$K$931,"&gt;0"),"n/a")</f>
        <v>4.75</v>
      </c>
      <c r="H10" s="11" t="n">
        <f aca="false">IFERROR(D10/$D$22,0)</f>
        <v>0.00967741935483871</v>
      </c>
    </row>
    <row r="11" customFormat="false" ht="15" hidden="false" customHeight="false" outlineLevel="0" collapsed="false">
      <c r="A11" s="12" t="s">
        <v>25</v>
      </c>
      <c r="B11" s="13" t="n">
        <f aca="false">COUNTIFS('MASTER DATABASE'!$C$2:$C$931,$B$3,'MASTER DATABASE'!$E$2:$E$931,$A11)</f>
        <v>13</v>
      </c>
      <c r="C11" s="13" t="n">
        <f aca="false">COUNTIFS('MASTER DATABASE'!$C$2:$C$931,$C$3,'MASTER DATABASE'!$E$2:$E$931,$A11)</f>
        <v>24</v>
      </c>
      <c r="D11" s="13" t="n">
        <f aca="false">SUM(B11:C11)</f>
        <v>37</v>
      </c>
      <c r="E11" s="13" t="n">
        <f aca="false">COUNTIFS('MASTER DATABASE'!$E$2:$E$931,$A11,'MASTER DATABASE'!$M$2:$M$931,"Yes")</f>
        <v>31</v>
      </c>
      <c r="F11" s="13" t="n">
        <f aca="false">COUNTIFS('MASTER DATABASE'!$E$2:$E$931,$A11,'MASTER DATABASE'!$T$2:$T$931,"A - High commercial relevance")</f>
        <v>5</v>
      </c>
      <c r="G11" s="29" t="n">
        <f aca="false">IFERROR(AVERAGEIFS('MASTER DATABASE'!$K$2:$K$931,'MASTER DATABASE'!$E$2:$E$931,$A11,'MASTER DATABASE'!$K$2:$K$931,"&gt;0"),"n/a")</f>
        <v>4.224</v>
      </c>
      <c r="H11" s="14" t="n">
        <f aca="false">IFERROR(D11/$D$22,0)</f>
        <v>0.0397849462365591</v>
      </c>
    </row>
    <row r="12" customFormat="false" ht="15" hidden="false" customHeight="false" outlineLevel="0" collapsed="false">
      <c r="A12" s="4" t="s">
        <v>26</v>
      </c>
      <c r="B12" s="10" t="n">
        <f aca="false">COUNTIFS('MASTER DATABASE'!$C$2:$C$931,$B$3,'MASTER DATABASE'!$E$2:$E$931,$A12)</f>
        <v>12</v>
      </c>
      <c r="C12" s="10" t="n">
        <f aca="false">COUNTIFS('MASTER DATABASE'!$C$2:$C$931,$C$3,'MASTER DATABASE'!$E$2:$E$931,$A12)</f>
        <v>21</v>
      </c>
      <c r="D12" s="10" t="n">
        <f aca="false">SUM(B12:C12)</f>
        <v>33</v>
      </c>
      <c r="E12" s="10" t="n">
        <f aca="false">COUNTIFS('MASTER DATABASE'!$E$2:$E$931,$A12,'MASTER DATABASE'!$M$2:$M$931,"Yes")</f>
        <v>14</v>
      </c>
      <c r="F12" s="10" t="n">
        <f aca="false">COUNTIFS('MASTER DATABASE'!$E$2:$E$931,$A12,'MASTER DATABASE'!$T$2:$T$931,"A - High commercial relevance")</f>
        <v>1</v>
      </c>
      <c r="G12" s="28" t="n">
        <f aca="false">IFERROR(AVERAGEIFS('MASTER DATABASE'!$K$2:$K$931,'MASTER DATABASE'!$E$2:$E$931,$A12,'MASTER DATABASE'!$K$2:$K$931,"&gt;0"),"n/a")</f>
        <v>4.51428571428571</v>
      </c>
      <c r="H12" s="11" t="n">
        <f aca="false">IFERROR(D12/$D$22,0)</f>
        <v>0.0354838709677419</v>
      </c>
    </row>
    <row r="13" customFormat="false" ht="15" hidden="false" customHeight="false" outlineLevel="0" collapsed="false">
      <c r="A13" s="12" t="s">
        <v>27</v>
      </c>
      <c r="B13" s="13" t="n">
        <f aca="false">COUNTIFS('MASTER DATABASE'!$C$2:$C$931,$B$3,'MASTER DATABASE'!$E$2:$E$931,$A13)</f>
        <v>11</v>
      </c>
      <c r="C13" s="13" t="n">
        <f aca="false">COUNTIFS('MASTER DATABASE'!$C$2:$C$931,$C$3,'MASTER DATABASE'!$E$2:$E$931,$A13)</f>
        <v>14</v>
      </c>
      <c r="D13" s="13" t="n">
        <f aca="false">SUM(B13:C13)</f>
        <v>25</v>
      </c>
      <c r="E13" s="13" t="n">
        <f aca="false">COUNTIFS('MASTER DATABASE'!$E$2:$E$931,$A13,'MASTER DATABASE'!$M$2:$M$931,"Yes")</f>
        <v>4</v>
      </c>
      <c r="F13" s="13" t="n">
        <f aca="false">COUNTIFS('MASTER DATABASE'!$E$2:$E$931,$A13,'MASTER DATABASE'!$T$2:$T$931,"A - High commercial relevance")</f>
        <v>3</v>
      </c>
      <c r="G13" s="29" t="n">
        <f aca="false">IFERROR(AVERAGEIFS('MASTER DATABASE'!$K$2:$K$931,'MASTER DATABASE'!$E$2:$E$931,$A13,'MASTER DATABASE'!$K$2:$K$931,"&gt;0"),"n/a")</f>
        <v>4.72727272727273</v>
      </c>
      <c r="H13" s="14" t="n">
        <f aca="false">IFERROR(D13/$D$22,0)</f>
        <v>0.0268817204301075</v>
      </c>
    </row>
    <row r="14" customFormat="false" ht="15" hidden="false" customHeight="false" outlineLevel="0" collapsed="false">
      <c r="A14" s="4" t="s">
        <v>28</v>
      </c>
      <c r="B14" s="10" t="n">
        <f aca="false">COUNTIFS('MASTER DATABASE'!$C$2:$C$931,$B$3,'MASTER DATABASE'!$E$2:$E$931,$A14)</f>
        <v>56</v>
      </c>
      <c r="C14" s="10" t="n">
        <f aca="false">COUNTIFS('MASTER DATABASE'!$C$2:$C$931,$C$3,'MASTER DATABASE'!$E$2:$E$931,$A14)</f>
        <v>19</v>
      </c>
      <c r="D14" s="10" t="n">
        <f aca="false">SUM(B14:C14)</f>
        <v>75</v>
      </c>
      <c r="E14" s="10" t="n">
        <f aca="false">COUNTIFS('MASTER DATABASE'!$E$2:$E$931,$A14,'MASTER DATABASE'!$M$2:$M$931,"Yes")</f>
        <v>48</v>
      </c>
      <c r="F14" s="10" t="n">
        <f aca="false">COUNTIFS('MASTER DATABASE'!$E$2:$E$931,$A14,'MASTER DATABASE'!$T$2:$T$931,"A - High commercial relevance")</f>
        <v>13</v>
      </c>
      <c r="G14" s="28" t="n">
        <f aca="false">IFERROR(AVERAGEIFS('MASTER DATABASE'!$K$2:$K$931,'MASTER DATABASE'!$E$2:$E$931,$A14,'MASTER DATABASE'!$K$2:$K$931,"&gt;0"),"n/a")</f>
        <v>4.2093023255814</v>
      </c>
      <c r="H14" s="11" t="n">
        <f aca="false">IFERROR(D14/$D$22,0)</f>
        <v>0.0806451612903226</v>
      </c>
    </row>
    <row r="15" customFormat="false" ht="15" hidden="false" customHeight="false" outlineLevel="0" collapsed="false">
      <c r="A15" s="12" t="s">
        <v>29</v>
      </c>
      <c r="B15" s="13" t="n">
        <f aca="false">COUNTIFS('MASTER DATABASE'!$C$2:$C$931,$B$3,'MASTER DATABASE'!$E$2:$E$931,$A15)</f>
        <v>43</v>
      </c>
      <c r="C15" s="13" t="n">
        <f aca="false">COUNTIFS('MASTER DATABASE'!$C$2:$C$931,$C$3,'MASTER DATABASE'!$E$2:$E$931,$A15)</f>
        <v>12</v>
      </c>
      <c r="D15" s="13" t="n">
        <f aca="false">SUM(B15:C15)</f>
        <v>55</v>
      </c>
      <c r="E15" s="13" t="n">
        <f aca="false">COUNTIFS('MASTER DATABASE'!$E$2:$E$931,$A15,'MASTER DATABASE'!$M$2:$M$931,"Yes")</f>
        <v>39</v>
      </c>
      <c r="F15" s="13" t="n">
        <f aca="false">COUNTIFS('MASTER DATABASE'!$E$2:$E$931,$A15,'MASTER DATABASE'!$T$2:$T$931,"A - High commercial relevance")</f>
        <v>13</v>
      </c>
      <c r="G15" s="29" t="n">
        <f aca="false">IFERROR(AVERAGEIFS('MASTER DATABASE'!$K$2:$K$931,'MASTER DATABASE'!$E$2:$E$931,$A15,'MASTER DATABASE'!$K$2:$K$931,"&gt;0"),"n/a")</f>
        <v>4.01666666666667</v>
      </c>
      <c r="H15" s="14" t="n">
        <f aca="false">IFERROR(D15/$D$22,0)</f>
        <v>0.0591397849462366</v>
      </c>
    </row>
    <row r="16" customFormat="false" ht="15" hidden="false" customHeight="false" outlineLevel="0" collapsed="false">
      <c r="A16" s="4" t="s">
        <v>30</v>
      </c>
      <c r="B16" s="10" t="n">
        <f aca="false">COUNTIFS('MASTER DATABASE'!$C$2:$C$931,$B$3,'MASTER DATABASE'!$E$2:$E$931,$A16)</f>
        <v>41</v>
      </c>
      <c r="C16" s="10" t="n">
        <f aca="false">COUNTIFS('MASTER DATABASE'!$C$2:$C$931,$C$3,'MASTER DATABASE'!$E$2:$E$931,$A16)</f>
        <v>32</v>
      </c>
      <c r="D16" s="10" t="n">
        <f aca="false">SUM(B16:C16)</f>
        <v>73</v>
      </c>
      <c r="E16" s="10" t="n">
        <f aca="false">COUNTIFS('MASTER DATABASE'!$E$2:$E$931,$A16,'MASTER DATABASE'!$M$2:$M$931,"Yes")</f>
        <v>64</v>
      </c>
      <c r="F16" s="10" t="n">
        <f aca="false">COUNTIFS('MASTER DATABASE'!$E$2:$E$931,$A16,'MASTER DATABASE'!$T$2:$T$931,"A - High commercial relevance")</f>
        <v>9</v>
      </c>
      <c r="G16" s="28" t="n">
        <f aca="false">IFERROR(AVERAGEIFS('MASTER DATABASE'!$K$2:$K$931,'MASTER DATABASE'!$E$2:$E$931,$A16,'MASTER DATABASE'!$K$2:$K$931,"&gt;0"),"n/a")</f>
        <v>4.56428571428571</v>
      </c>
      <c r="H16" s="11" t="n">
        <f aca="false">IFERROR(D16/$D$22,0)</f>
        <v>0.078494623655914</v>
      </c>
    </row>
    <row r="17" customFormat="false" ht="15" hidden="false" customHeight="false" outlineLevel="0" collapsed="false">
      <c r="A17" s="12" t="s">
        <v>31</v>
      </c>
      <c r="B17" s="13" t="n">
        <f aca="false">COUNTIFS('MASTER DATABASE'!$C$2:$C$931,$B$3,'MASTER DATABASE'!$E$2:$E$931,$A17)</f>
        <v>39</v>
      </c>
      <c r="C17" s="13" t="n">
        <f aca="false">COUNTIFS('MASTER DATABASE'!$C$2:$C$931,$C$3,'MASTER DATABASE'!$E$2:$E$931,$A17)</f>
        <v>28</v>
      </c>
      <c r="D17" s="13" t="n">
        <f aca="false">SUM(B17:C17)</f>
        <v>67</v>
      </c>
      <c r="E17" s="13" t="n">
        <f aca="false">COUNTIFS('MASTER DATABASE'!$E$2:$E$931,$A17,'MASTER DATABASE'!$M$2:$M$931,"Yes")</f>
        <v>55</v>
      </c>
      <c r="F17" s="13" t="n">
        <f aca="false">COUNTIFS('MASTER DATABASE'!$E$2:$E$931,$A17,'MASTER DATABASE'!$T$2:$T$931,"A - High commercial relevance")</f>
        <v>15</v>
      </c>
      <c r="G17" s="29" t="n">
        <f aca="false">IFERROR(AVERAGEIFS('MASTER DATABASE'!$K$2:$K$931,'MASTER DATABASE'!$E$2:$E$931,$A17,'MASTER DATABASE'!$K$2:$K$931,"&gt;0"),"n/a")</f>
        <v>4.64117647058824</v>
      </c>
      <c r="H17" s="14" t="n">
        <f aca="false">IFERROR(D17/$D$22,0)</f>
        <v>0.0720430107526882</v>
      </c>
    </row>
    <row r="18" customFormat="false" ht="15" hidden="false" customHeight="false" outlineLevel="0" collapsed="false">
      <c r="A18" s="4" t="s">
        <v>32</v>
      </c>
      <c r="B18" s="10" t="n">
        <f aca="false">COUNTIFS('MASTER DATABASE'!$C$2:$C$931,$B$3,'MASTER DATABASE'!$E$2:$E$931,$A18)</f>
        <v>63</v>
      </c>
      <c r="C18" s="10" t="n">
        <f aca="false">COUNTIFS('MASTER DATABASE'!$C$2:$C$931,$C$3,'MASTER DATABASE'!$E$2:$E$931,$A18)</f>
        <v>34</v>
      </c>
      <c r="D18" s="10" t="n">
        <f aca="false">SUM(B18:C18)</f>
        <v>97</v>
      </c>
      <c r="E18" s="10" t="n">
        <f aca="false">COUNTIFS('MASTER DATABASE'!$E$2:$E$931,$A18,'MASTER DATABASE'!$M$2:$M$931,"Yes")</f>
        <v>81</v>
      </c>
      <c r="F18" s="10" t="n">
        <f aca="false">COUNTIFS('MASTER DATABASE'!$E$2:$E$931,$A18,'MASTER DATABASE'!$T$2:$T$931,"A - High commercial relevance")</f>
        <v>19</v>
      </c>
      <c r="G18" s="28" t="n">
        <f aca="false">IFERROR(AVERAGEIFS('MASTER DATABASE'!$K$2:$K$931,'MASTER DATABASE'!$E$2:$E$931,$A18,'MASTER DATABASE'!$K$2:$K$931,"&gt;0"),"n/a")</f>
        <v>4.34473684210526</v>
      </c>
      <c r="H18" s="11" t="n">
        <f aca="false">IFERROR(D18/$D$22,0)</f>
        <v>0.104301075268817</v>
      </c>
    </row>
    <row r="19" customFormat="false" ht="15" hidden="false" customHeight="false" outlineLevel="0" collapsed="false">
      <c r="A19" s="12" t="s">
        <v>33</v>
      </c>
      <c r="B19" s="13" t="n">
        <f aca="false">COUNTIFS('MASTER DATABASE'!$C$2:$C$931,$B$3,'MASTER DATABASE'!$E$2:$E$931,$A19)</f>
        <v>20</v>
      </c>
      <c r="C19" s="13" t="n">
        <f aca="false">COUNTIFS('MASTER DATABASE'!$C$2:$C$931,$C$3,'MASTER DATABASE'!$E$2:$E$931,$A19)</f>
        <v>13</v>
      </c>
      <c r="D19" s="13" t="n">
        <f aca="false">SUM(B19:C19)</f>
        <v>33</v>
      </c>
      <c r="E19" s="13" t="n">
        <f aca="false">COUNTIFS('MASTER DATABASE'!$E$2:$E$931,$A19,'MASTER DATABASE'!$M$2:$M$931,"Yes")</f>
        <v>25</v>
      </c>
      <c r="F19" s="13" t="n">
        <f aca="false">COUNTIFS('MASTER DATABASE'!$E$2:$E$931,$A19,'MASTER DATABASE'!$T$2:$T$931,"A - High commercial relevance")</f>
        <v>6</v>
      </c>
      <c r="G19" s="29" t="n">
        <f aca="false">IFERROR(AVERAGEIFS('MASTER DATABASE'!$K$2:$K$931,'MASTER DATABASE'!$E$2:$E$931,$A19,'MASTER DATABASE'!$K$2:$K$931,"&gt;0"),"n/a")</f>
        <v>4.21666666666667</v>
      </c>
      <c r="H19" s="14" t="n">
        <f aca="false">IFERROR(D19/$D$22,0)</f>
        <v>0.0354838709677419</v>
      </c>
    </row>
    <row r="20" customFormat="false" ht="15" hidden="false" customHeight="false" outlineLevel="0" collapsed="false">
      <c r="A20" s="4" t="s">
        <v>34</v>
      </c>
      <c r="B20" s="10" t="n">
        <f aca="false">COUNTIFS('MASTER DATABASE'!$C$2:$C$931,$B$3,'MASTER DATABASE'!$E$2:$E$931,$A20)</f>
        <v>29</v>
      </c>
      <c r="C20" s="10" t="n">
        <f aca="false">COUNTIFS('MASTER DATABASE'!$C$2:$C$931,$C$3,'MASTER DATABASE'!$E$2:$E$931,$A20)</f>
        <v>30</v>
      </c>
      <c r="D20" s="10" t="n">
        <f aca="false">SUM(B20:C20)</f>
        <v>59</v>
      </c>
      <c r="E20" s="10" t="n">
        <f aca="false">COUNTIFS('MASTER DATABASE'!$E$2:$E$931,$A20,'MASTER DATABASE'!$M$2:$M$931,"Yes")</f>
        <v>39</v>
      </c>
      <c r="F20" s="10" t="n">
        <f aca="false">COUNTIFS('MASTER DATABASE'!$E$2:$E$931,$A20,'MASTER DATABASE'!$T$2:$T$931,"A - High commercial relevance")</f>
        <v>20</v>
      </c>
      <c r="G20" s="28" t="n">
        <f aca="false">IFERROR(AVERAGEIFS('MASTER DATABASE'!$K$2:$K$931,'MASTER DATABASE'!$E$2:$E$931,$A20,'MASTER DATABASE'!$K$2:$K$931,"&gt;0"),"n/a")</f>
        <v>4.53684210526316</v>
      </c>
      <c r="H20" s="11" t="n">
        <f aca="false">IFERROR(D20/$D$22,0)</f>
        <v>0.0634408602150538</v>
      </c>
    </row>
    <row r="21" customFormat="false" ht="15" hidden="false" customHeight="false" outlineLevel="0" collapsed="false">
      <c r="A21" s="12" t="s">
        <v>35</v>
      </c>
      <c r="B21" s="13" t="n">
        <f aca="false">COUNTIFS('MASTER DATABASE'!$C$2:$C$931,$B$3,'MASTER DATABASE'!$E$2:$E$931,$A21)</f>
        <v>3</v>
      </c>
      <c r="C21" s="13" t="n">
        <f aca="false">COUNTIFS('MASTER DATABASE'!$C$2:$C$931,$C$3,'MASTER DATABASE'!$E$2:$E$931,$A21)</f>
        <v>15</v>
      </c>
      <c r="D21" s="13" t="n">
        <f aca="false">SUM(B21:C21)</f>
        <v>18</v>
      </c>
      <c r="E21" s="13" t="n">
        <f aca="false">COUNTIFS('MASTER DATABASE'!$E$2:$E$931,$A21,'MASTER DATABASE'!$M$2:$M$931,"Yes")</f>
        <v>16</v>
      </c>
      <c r="F21" s="13" t="n">
        <f aca="false">COUNTIFS('MASTER DATABASE'!$E$2:$E$931,$A21,'MASTER DATABASE'!$T$2:$T$931,"A - High commercial relevance")</f>
        <v>3</v>
      </c>
      <c r="G21" s="29" t="n">
        <f aca="false">IFERROR(AVERAGEIFS('MASTER DATABASE'!$K$2:$K$931,'MASTER DATABASE'!$E$2:$E$931,$A21,'MASTER DATABASE'!$K$2:$K$931,"&gt;0"),"n/a")</f>
        <v>4.45</v>
      </c>
      <c r="H21" s="14" t="n">
        <f aca="false">IFERROR(D21/$D$22,0)</f>
        <v>0.0193548387096774</v>
      </c>
    </row>
    <row r="22" customFormat="false" ht="15" hidden="false" customHeight="false" outlineLevel="0" collapsed="false">
      <c r="A22" s="15" t="s">
        <v>36</v>
      </c>
      <c r="B22" s="16" t="n">
        <f aca="false">SUM(B4:B21)</f>
        <v>478</v>
      </c>
      <c r="C22" s="16" t="n">
        <f aca="false">SUM(C4:C21)</f>
        <v>452</v>
      </c>
      <c r="D22" s="16" t="n">
        <f aca="false">SUM(D4:D21)</f>
        <v>930</v>
      </c>
      <c r="E22" s="16" t="n">
        <f aca="false">SUM(E4:E21)</f>
        <v>559</v>
      </c>
      <c r="F22" s="16" t="n">
        <f aca="false">SUM(F4:F21)</f>
        <v>152</v>
      </c>
      <c r="G22" s="16"/>
      <c r="H22" s="17" t="n">
        <f aca="false">IFERROR(D22/$D$22,0)</f>
        <v>1</v>
      </c>
    </row>
  </sheetData>
  <mergeCells count="1">
    <mergeCell ref="A1:H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4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8"/>
    <col collapsed="false" customWidth="true" hidden="false" outlineLevel="0" max="2" min="2" style="0" width="24"/>
    <col collapsed="false" customWidth="true" hidden="false" outlineLevel="0" max="5" min="3" style="0" width="10"/>
    <col collapsed="false" customWidth="true" hidden="false" outlineLevel="0" max="6" min="6" style="0" width="12"/>
    <col collapsed="false" customWidth="true" hidden="false" outlineLevel="0" max="7" min="7" style="0" width="26"/>
    <col collapsed="false" customWidth="true" hidden="false" outlineLevel="0" max="8" min="8" style="0" width="58"/>
  </cols>
  <sheetData>
    <row r="1" customFormat="false" ht="19.7" hidden="false" customHeight="false" outlineLevel="0" collapsed="false">
      <c r="A1" s="1" t="s">
        <v>3495</v>
      </c>
      <c r="B1" s="1"/>
      <c r="C1" s="1"/>
      <c r="D1" s="1"/>
      <c r="E1" s="1"/>
      <c r="F1" s="1"/>
      <c r="G1" s="1"/>
      <c r="H1" s="1"/>
    </row>
    <row r="2" customFormat="false" ht="15" hidden="false" customHeight="false" outlineLevel="0" collapsed="false">
      <c r="A2" s="2" t="s">
        <v>3496</v>
      </c>
      <c r="B2" s="2"/>
      <c r="C2" s="2"/>
      <c r="D2" s="2"/>
      <c r="E2" s="2"/>
      <c r="F2" s="2"/>
      <c r="G2" s="2"/>
      <c r="H2" s="2"/>
    </row>
    <row r="4" customFormat="false" ht="15" hidden="false" customHeight="false" outlineLevel="0" collapsed="false">
      <c r="A4" s="9" t="s">
        <v>60</v>
      </c>
      <c r="B4" s="9" t="s">
        <v>14</v>
      </c>
      <c r="C4" s="9" t="s">
        <v>3497</v>
      </c>
      <c r="D4" s="9" t="s">
        <v>3498</v>
      </c>
      <c r="E4" s="9" t="s">
        <v>3499</v>
      </c>
      <c r="F4" s="9" t="s">
        <v>3500</v>
      </c>
      <c r="G4" s="9" t="s">
        <v>3501</v>
      </c>
      <c r="H4" s="9" t="s">
        <v>3502</v>
      </c>
    </row>
    <row r="5" customFormat="false" ht="15" hidden="false" customHeight="false" outlineLevel="0" collapsed="false">
      <c r="A5" s="30" t="s">
        <v>4</v>
      </c>
      <c r="B5" s="4" t="s">
        <v>18</v>
      </c>
      <c r="C5" s="10" t="n">
        <f aca="false">COUNTIFS('MASTER DATABASE'!$C$2:$C$931,$A5,'MASTER DATABASE'!$E$2:$E$931,$B5)</f>
        <v>34</v>
      </c>
      <c r="D5" s="10" t="n">
        <v>45</v>
      </c>
      <c r="E5" s="10" t="n">
        <f aca="false">MAX(0,D5-C5)</f>
        <v>11</v>
      </c>
      <c r="F5" s="31" t="n">
        <f aca="false">IFERROR(MIN(1,C5/D5),0)</f>
        <v>0.755555555555556</v>
      </c>
      <c r="G5" s="30" t="str">
        <f aca="false">IF(C5&gt;=D5,"Target met",IF(C5&gt;=D5*0.6,"Good coverage",IF(C5&gt;0,"Thin - needs canvassing","Not yet searched")))</f>
        <v>Good coverage</v>
      </c>
      <c r="H5" s="30" t="str">
        <f aca="false">IF(C5&gt;=D5,"Maintain - re-check quarterly","Street canvass "&amp;$A5&amp;" for "&amp;$B5&amp;", then verify on Google")</f>
        <v>Street canvass Anthony / Anthony Village for Restaurants, then verify on Google</v>
      </c>
    </row>
    <row r="6" customFormat="false" ht="15" hidden="false" customHeight="false" outlineLevel="0" collapsed="false">
      <c r="A6" s="30" t="s">
        <v>4</v>
      </c>
      <c r="B6" s="4" t="s">
        <v>19</v>
      </c>
      <c r="C6" s="10" t="n">
        <f aca="false">COUNTIFS('MASTER DATABASE'!$C$2:$C$931,$A6,'MASTER DATABASE'!$E$2:$E$931,$B6)</f>
        <v>11</v>
      </c>
      <c r="D6" s="10" t="n">
        <v>15</v>
      </c>
      <c r="E6" s="10" t="n">
        <f aca="false">MAX(0,D6-C6)</f>
        <v>4</v>
      </c>
      <c r="F6" s="31" t="n">
        <f aca="false">IFERROR(MIN(1,C6/D6),0)</f>
        <v>0.733333333333333</v>
      </c>
      <c r="G6" s="30" t="str">
        <f aca="false">IF(C6&gt;=D6,"Target met",IF(C6&gt;=D6*0.6,"Good coverage",IF(C6&gt;0,"Thin - needs canvassing","Not yet searched")))</f>
        <v>Good coverage</v>
      </c>
      <c r="H6" s="30" t="str">
        <f aca="false">IF(C6&gt;=D6,"Maintain - re-check quarterly","Street canvass "&amp;$A6&amp;" for "&amp;$B6&amp;", then verify on Google")</f>
        <v>Street canvass Anthony / Anthony Village for Hotels, then verify on Google</v>
      </c>
    </row>
    <row r="7" customFormat="false" ht="15" hidden="false" customHeight="false" outlineLevel="0" collapsed="false">
      <c r="A7" s="30" t="s">
        <v>4</v>
      </c>
      <c r="B7" s="4" t="s">
        <v>20</v>
      </c>
      <c r="C7" s="10" t="n">
        <f aca="false">COUNTIFS('MASTER DATABASE'!$C$2:$C$931,$A7,'MASTER DATABASE'!$E$2:$E$931,$B7)</f>
        <v>15</v>
      </c>
      <c r="D7" s="10" t="n">
        <v>12</v>
      </c>
      <c r="E7" s="10" t="n">
        <f aca="false">MAX(0,D7-C7)</f>
        <v>0</v>
      </c>
      <c r="F7" s="31" t="n">
        <f aca="false">IFERROR(MIN(1,C7/D7),0)</f>
        <v>1</v>
      </c>
      <c r="G7" s="30" t="str">
        <f aca="false">IF(C7&gt;=D7,"Target met",IF(C7&gt;=D7*0.6,"Good coverage",IF(C7&gt;0,"Thin - needs canvassing","Not yet searched")))</f>
        <v>Target met</v>
      </c>
      <c r="H7" s="30" t="str">
        <f aca="false">IF(C7&gt;=D7,"Maintain - re-check quarterly","Street canvass "&amp;$A7&amp;" for "&amp;$B7&amp;", then verify on Google")</f>
        <v>Maintain - re-check quarterly</v>
      </c>
    </row>
    <row r="8" customFormat="false" ht="15" hidden="false" customHeight="false" outlineLevel="0" collapsed="false">
      <c r="A8" s="30" t="s">
        <v>4</v>
      </c>
      <c r="B8" s="4" t="s">
        <v>21</v>
      </c>
      <c r="C8" s="10" t="n">
        <f aca="false">COUNTIFS('MASTER DATABASE'!$C$2:$C$931,$A8,'MASTER DATABASE'!$E$2:$E$931,$B8)</f>
        <v>43</v>
      </c>
      <c r="D8" s="10" t="n">
        <v>60</v>
      </c>
      <c r="E8" s="10" t="n">
        <f aca="false">MAX(0,D8-C8)</f>
        <v>17</v>
      </c>
      <c r="F8" s="31" t="n">
        <f aca="false">IFERROR(MIN(1,C8/D8),0)</f>
        <v>0.716666666666667</v>
      </c>
      <c r="G8" s="30" t="str">
        <f aca="false">IF(C8&gt;=D8,"Target met",IF(C8&gt;=D8*0.6,"Good coverage",IF(C8&gt;0,"Thin - needs canvassing","Not yet searched")))</f>
        <v>Good coverage</v>
      </c>
      <c r="H8" s="30" t="str">
        <f aca="false">IF(C8&gt;=D8,"Maintain - re-check quarterly","Street canvass "&amp;$A8&amp;" for "&amp;$B8&amp;", then verify on Google")</f>
        <v>Street canvass Anthony / Anthony Village for Salons, then verify on Google</v>
      </c>
    </row>
    <row r="9" customFormat="false" ht="15" hidden="false" customHeight="false" outlineLevel="0" collapsed="false">
      <c r="A9" s="30" t="s">
        <v>4</v>
      </c>
      <c r="B9" s="4" t="s">
        <v>22</v>
      </c>
      <c r="C9" s="10" t="n">
        <f aca="false">COUNTIFS('MASTER DATABASE'!$C$2:$C$931,$A9,'MASTER DATABASE'!$E$2:$E$931,$B9)</f>
        <v>8</v>
      </c>
      <c r="D9" s="10" t="n">
        <v>25</v>
      </c>
      <c r="E9" s="10" t="n">
        <f aca="false">MAX(0,D9-C9)</f>
        <v>17</v>
      </c>
      <c r="F9" s="31" t="n">
        <f aca="false">IFERROR(MIN(1,C9/D9),0)</f>
        <v>0.32</v>
      </c>
      <c r="G9" s="30" t="str">
        <f aca="false">IF(C9&gt;=D9,"Target met",IF(C9&gt;=D9*0.6,"Good coverage",IF(C9&gt;0,"Thin - needs canvassing","Not yet searched")))</f>
        <v>Thin - needs canvassing</v>
      </c>
      <c r="H9" s="30" t="str">
        <f aca="false">IF(C9&gt;=D9,"Maintain - re-check quarterly","Street canvass "&amp;$A9&amp;" for "&amp;$B9&amp;", then verify on Google")</f>
        <v>Street canvass Anthony / Anthony Village for Barbers, then verify on Google</v>
      </c>
    </row>
    <row r="10" customFormat="false" ht="15" hidden="false" customHeight="false" outlineLevel="0" collapsed="false">
      <c r="A10" s="30" t="s">
        <v>4</v>
      </c>
      <c r="B10" s="4" t="s">
        <v>23</v>
      </c>
      <c r="C10" s="10" t="n">
        <f aca="false">COUNTIFS('MASTER DATABASE'!$C$2:$C$931,$A10,'MASTER DATABASE'!$E$2:$E$931,$B10)</f>
        <v>31</v>
      </c>
      <c r="D10" s="10" t="n">
        <v>30</v>
      </c>
      <c r="E10" s="10" t="n">
        <f aca="false">MAX(0,D10-C10)</f>
        <v>0</v>
      </c>
      <c r="F10" s="31" t="n">
        <f aca="false">IFERROR(MIN(1,C10/D10),0)</f>
        <v>1</v>
      </c>
      <c r="G10" s="30" t="str">
        <f aca="false">IF(C10&gt;=D10,"Target met",IF(C10&gt;=D10*0.6,"Good coverage",IF(C10&gt;0,"Thin - needs canvassing","Not yet searched")))</f>
        <v>Target met</v>
      </c>
      <c r="H10" s="30" t="str">
        <f aca="false">IF(C10&gt;=D10,"Maintain - re-check quarterly","Street canvass "&amp;$A10&amp;" for "&amp;$B10&amp;", then verify on Google")</f>
        <v>Maintain - re-check quarterly</v>
      </c>
    </row>
    <row r="11" customFormat="false" ht="15" hidden="false" customHeight="false" outlineLevel="0" collapsed="false">
      <c r="A11" s="30" t="s">
        <v>4</v>
      </c>
      <c r="B11" s="4" t="s">
        <v>24</v>
      </c>
      <c r="C11" s="10" t="n">
        <f aca="false">COUNTIFS('MASTER DATABASE'!$C$2:$C$931,$A11,'MASTER DATABASE'!$E$2:$E$931,$B11)</f>
        <v>6</v>
      </c>
      <c r="D11" s="10" t="n">
        <v>8</v>
      </c>
      <c r="E11" s="10" t="n">
        <f aca="false">MAX(0,D11-C11)</f>
        <v>2</v>
      </c>
      <c r="F11" s="31" t="n">
        <f aca="false">IFERROR(MIN(1,C11/D11),0)</f>
        <v>0.75</v>
      </c>
      <c r="G11" s="30" t="str">
        <f aca="false">IF(C11&gt;=D11,"Target met",IF(C11&gt;=D11*0.6,"Good coverage",IF(C11&gt;0,"Thin - needs canvassing","Not yet searched")))</f>
        <v>Good coverage</v>
      </c>
      <c r="H11" s="30" t="str">
        <f aca="false">IF(C11&gt;=D11,"Maintain - re-check quarterly","Street canvass "&amp;$A11&amp;" for "&amp;$B11&amp;", then verify on Google")</f>
        <v>Street canvass Anthony / Anthony Village for Dentists, then verify on Google</v>
      </c>
    </row>
    <row r="12" customFormat="false" ht="15" hidden="false" customHeight="false" outlineLevel="0" collapsed="false">
      <c r="A12" s="30" t="s">
        <v>4</v>
      </c>
      <c r="B12" s="4" t="s">
        <v>25</v>
      </c>
      <c r="C12" s="10" t="n">
        <f aca="false">COUNTIFS('MASTER DATABASE'!$C$2:$C$931,$A12,'MASTER DATABASE'!$E$2:$E$931,$B12)</f>
        <v>13</v>
      </c>
      <c r="D12" s="10" t="n">
        <v>22</v>
      </c>
      <c r="E12" s="10" t="n">
        <f aca="false">MAX(0,D12-C12)</f>
        <v>9</v>
      </c>
      <c r="F12" s="31" t="n">
        <f aca="false">IFERROR(MIN(1,C12/D12),0)</f>
        <v>0.590909090909091</v>
      </c>
      <c r="G12" s="30" t="str">
        <f aca="false">IF(C12&gt;=D12,"Target met",IF(C12&gt;=D12*0.6,"Good coverage",IF(C12&gt;0,"Thin - needs canvassing","Not yet searched")))</f>
        <v>Thin - needs canvassing</v>
      </c>
      <c r="H12" s="30" t="str">
        <f aca="false">IF(C12&gt;=D12,"Maintain - re-check quarterly","Street canvass "&amp;$A12&amp;" for "&amp;$B12&amp;", then verify on Google")</f>
        <v>Street canvass Anthony / Anthony Village for Pharmacies, then verify on Google</v>
      </c>
    </row>
    <row r="13" customFormat="false" ht="15" hidden="false" customHeight="false" outlineLevel="0" collapsed="false">
      <c r="A13" s="30" t="s">
        <v>4</v>
      </c>
      <c r="B13" s="4" t="s">
        <v>26</v>
      </c>
      <c r="C13" s="10" t="n">
        <f aca="false">COUNTIFS('MASTER DATABASE'!$C$2:$C$931,$A13,'MASTER DATABASE'!$E$2:$E$931,$B13)</f>
        <v>12</v>
      </c>
      <c r="D13" s="10" t="n">
        <v>30</v>
      </c>
      <c r="E13" s="10" t="n">
        <f aca="false">MAX(0,D13-C13)</f>
        <v>18</v>
      </c>
      <c r="F13" s="31" t="n">
        <f aca="false">IFERROR(MIN(1,C13/D13),0)</f>
        <v>0.4</v>
      </c>
      <c r="G13" s="30" t="str">
        <f aca="false">IF(C13&gt;=D13,"Target met",IF(C13&gt;=D13*0.6,"Good coverage",IF(C13&gt;0,"Thin - needs canvassing","Not yet searched")))</f>
        <v>Thin - needs canvassing</v>
      </c>
      <c r="H13" s="30" t="str">
        <f aca="false">IF(C13&gt;=D13,"Maintain - re-check quarterly","Street canvass "&amp;$A13&amp;" for "&amp;$B13&amp;", then verify on Google")</f>
        <v>Street canvass Anthony / Anthony Village for Schools, then verify on Google</v>
      </c>
    </row>
    <row r="14" customFormat="false" ht="15" hidden="false" customHeight="false" outlineLevel="0" collapsed="false">
      <c r="A14" s="30" t="s">
        <v>4</v>
      </c>
      <c r="B14" s="4" t="s">
        <v>27</v>
      </c>
      <c r="C14" s="10" t="n">
        <f aca="false">COUNTIFS('MASTER DATABASE'!$C$2:$C$931,$A14,'MASTER DATABASE'!$E$2:$E$931,$B14)</f>
        <v>11</v>
      </c>
      <c r="D14" s="10" t="n">
        <v>25</v>
      </c>
      <c r="E14" s="10" t="n">
        <f aca="false">MAX(0,D14-C14)</f>
        <v>14</v>
      </c>
      <c r="F14" s="31" t="n">
        <f aca="false">IFERROR(MIN(1,C14/D14),0)</f>
        <v>0.44</v>
      </c>
      <c r="G14" s="30" t="str">
        <f aca="false">IF(C14&gt;=D14,"Target met",IF(C14&gt;=D14*0.6,"Good coverage",IF(C14&gt;0,"Thin - needs canvassing","Not yet searched")))</f>
        <v>Thin - needs canvassing</v>
      </c>
      <c r="H14" s="30" t="str">
        <f aca="false">IF(C14&gt;=D14,"Maintain - re-check quarterly","Street canvass "&amp;$A14&amp;" for "&amp;$B14&amp;", then verify on Google")</f>
        <v>Street canvass Anthony / Anthony Village for Churches, then verify on Google</v>
      </c>
    </row>
    <row r="15" customFormat="false" ht="15" hidden="false" customHeight="false" outlineLevel="0" collapsed="false">
      <c r="A15" s="30" t="s">
        <v>4</v>
      </c>
      <c r="B15" s="4" t="s">
        <v>28</v>
      </c>
      <c r="C15" s="10" t="n">
        <f aca="false">COUNTIFS('MASTER DATABASE'!$C$2:$C$931,$A15,'MASTER DATABASE'!$E$2:$E$931,$B15)</f>
        <v>56</v>
      </c>
      <c r="D15" s="10" t="n">
        <v>35</v>
      </c>
      <c r="E15" s="10" t="n">
        <f aca="false">MAX(0,D15-C15)</f>
        <v>0</v>
      </c>
      <c r="F15" s="31" t="n">
        <f aca="false">IFERROR(MIN(1,C15/D15),0)</f>
        <v>1</v>
      </c>
      <c r="G15" s="30" t="str">
        <f aca="false">IF(C15&gt;=D15,"Target met",IF(C15&gt;=D15*0.6,"Good coverage",IF(C15&gt;0,"Thin - needs canvassing","Not yet searched")))</f>
        <v>Target met</v>
      </c>
      <c r="H15" s="30" t="str">
        <f aca="false">IF(C15&gt;=D15,"Maintain - re-check quarterly","Street canvass "&amp;$A15&amp;" for "&amp;$B15&amp;", then verify on Google")</f>
        <v>Maintain - re-check quarterly</v>
      </c>
    </row>
    <row r="16" customFormat="false" ht="15" hidden="false" customHeight="false" outlineLevel="0" collapsed="false">
      <c r="A16" s="30" t="s">
        <v>4</v>
      </c>
      <c r="B16" s="4" t="s">
        <v>29</v>
      </c>
      <c r="C16" s="10" t="n">
        <f aca="false">COUNTIFS('MASTER DATABASE'!$C$2:$C$931,$A16,'MASTER DATABASE'!$E$2:$E$931,$B16)</f>
        <v>43</v>
      </c>
      <c r="D16" s="10" t="n">
        <v>40</v>
      </c>
      <c r="E16" s="10" t="n">
        <f aca="false">MAX(0,D16-C16)</f>
        <v>0</v>
      </c>
      <c r="F16" s="31" t="n">
        <f aca="false">IFERROR(MIN(1,C16/D16),0)</f>
        <v>1</v>
      </c>
      <c r="G16" s="30" t="str">
        <f aca="false">IF(C16&gt;=D16,"Target met",IF(C16&gt;=D16*0.6,"Good coverage",IF(C16&gt;0,"Thin - needs canvassing","Not yet searched")))</f>
        <v>Target met</v>
      </c>
      <c r="H16" s="30" t="str">
        <f aca="false">IF(C16&gt;=D16,"Maintain - re-check quarterly","Street canvass "&amp;$A16&amp;" for "&amp;$B16&amp;", then verify on Google")</f>
        <v>Maintain - re-check quarterly</v>
      </c>
    </row>
    <row r="17" customFormat="false" ht="15" hidden="false" customHeight="false" outlineLevel="0" collapsed="false">
      <c r="A17" s="30" t="s">
        <v>4</v>
      </c>
      <c r="B17" s="4" t="s">
        <v>30</v>
      </c>
      <c r="C17" s="10" t="n">
        <f aca="false">COUNTIFS('MASTER DATABASE'!$C$2:$C$931,$A17,'MASTER DATABASE'!$E$2:$E$931,$B17)</f>
        <v>41</v>
      </c>
      <c r="D17" s="10" t="n">
        <v>45</v>
      </c>
      <c r="E17" s="10" t="n">
        <f aca="false">MAX(0,D17-C17)</f>
        <v>4</v>
      </c>
      <c r="F17" s="31" t="n">
        <f aca="false">IFERROR(MIN(1,C17/D17),0)</f>
        <v>0.911111111111111</v>
      </c>
      <c r="G17" s="30" t="str">
        <f aca="false">IF(C17&gt;=D17,"Target met",IF(C17&gt;=D17*0.6,"Good coverage",IF(C17&gt;0,"Thin - needs canvassing","Not yet searched")))</f>
        <v>Good coverage</v>
      </c>
      <c r="H17" s="30" t="str">
        <f aca="false">IF(C17&gt;=D17,"Maintain - re-check quarterly","Street canvass "&amp;$A17&amp;" for "&amp;$B17&amp;", then verify on Google")</f>
        <v>Street canvass Anthony / Anthony Village for Home Services, then verify on Google</v>
      </c>
    </row>
    <row r="18" customFormat="false" ht="15" hidden="false" customHeight="false" outlineLevel="0" collapsed="false">
      <c r="A18" s="30" t="s">
        <v>4</v>
      </c>
      <c r="B18" s="4" t="s">
        <v>31</v>
      </c>
      <c r="C18" s="10" t="n">
        <f aca="false">COUNTIFS('MASTER DATABASE'!$C$2:$C$931,$A18,'MASTER DATABASE'!$E$2:$E$931,$B18)</f>
        <v>39</v>
      </c>
      <c r="D18" s="10" t="n">
        <v>30</v>
      </c>
      <c r="E18" s="10" t="n">
        <f aca="false">MAX(0,D18-C18)</f>
        <v>0</v>
      </c>
      <c r="F18" s="31" t="n">
        <f aca="false">IFERROR(MIN(1,C18/D18),0)</f>
        <v>1</v>
      </c>
      <c r="G18" s="30" t="str">
        <f aca="false">IF(C18&gt;=D18,"Target met",IF(C18&gt;=D18*0.6,"Good coverage",IF(C18&gt;0,"Thin - needs canvassing","Not yet searched")))</f>
        <v>Target met</v>
      </c>
      <c r="H18" s="30" t="str">
        <f aca="false">IF(C18&gt;=D18,"Maintain - re-check quarterly","Street canvass "&amp;$A18&amp;" for "&amp;$B18&amp;", then verify on Google")</f>
        <v>Maintain - re-check quarterly</v>
      </c>
    </row>
    <row r="19" customFormat="false" ht="15" hidden="false" customHeight="false" outlineLevel="0" collapsed="false">
      <c r="A19" s="30" t="s">
        <v>4</v>
      </c>
      <c r="B19" s="4" t="s">
        <v>32</v>
      </c>
      <c r="C19" s="10" t="n">
        <f aca="false">COUNTIFS('MASTER DATABASE'!$C$2:$C$931,$A19,'MASTER DATABASE'!$E$2:$E$931,$B19)</f>
        <v>63</v>
      </c>
      <c r="D19" s="10" t="n">
        <v>50</v>
      </c>
      <c r="E19" s="10" t="n">
        <f aca="false">MAX(0,D19-C19)</f>
        <v>0</v>
      </c>
      <c r="F19" s="31" t="n">
        <f aca="false">IFERROR(MIN(1,C19/D19),0)</f>
        <v>1</v>
      </c>
      <c r="G19" s="30" t="str">
        <f aca="false">IF(C19&gt;=D19,"Target met",IF(C19&gt;=D19*0.6,"Good coverage",IF(C19&gt;0,"Thin - needs canvassing","Not yet searched")))</f>
        <v>Target met</v>
      </c>
      <c r="H19" s="30" t="str">
        <f aca="false">IF(C19&gt;=D19,"Maintain - re-check quarterly","Street canvass "&amp;$A19&amp;" for "&amp;$B19&amp;", then verify on Google")</f>
        <v>Maintain - re-check quarterly</v>
      </c>
    </row>
    <row r="20" customFormat="false" ht="15" hidden="false" customHeight="false" outlineLevel="0" collapsed="false">
      <c r="A20" s="30" t="s">
        <v>4</v>
      </c>
      <c r="B20" s="4" t="s">
        <v>33</v>
      </c>
      <c r="C20" s="10" t="n">
        <f aca="false">COUNTIFS('MASTER DATABASE'!$C$2:$C$931,$A20,'MASTER DATABASE'!$E$2:$E$931,$B20)</f>
        <v>20</v>
      </c>
      <c r="D20" s="10" t="n">
        <v>30</v>
      </c>
      <c r="E20" s="10" t="n">
        <f aca="false">MAX(0,D20-C20)</f>
        <v>10</v>
      </c>
      <c r="F20" s="31" t="n">
        <f aca="false">IFERROR(MIN(1,C20/D20),0)</f>
        <v>0.666666666666667</v>
      </c>
      <c r="G20" s="30" t="str">
        <f aca="false">IF(C20&gt;=D20,"Target met",IF(C20&gt;=D20*0.6,"Good coverage",IF(C20&gt;0,"Thin - needs canvassing","Not yet searched")))</f>
        <v>Good coverage</v>
      </c>
      <c r="H20" s="30" t="str">
        <f aca="false">IF(C20&gt;=D20,"Maintain - re-check quarterly","Street canvass "&amp;$A20&amp;" for "&amp;$B20&amp;", then verify on Google")</f>
        <v>Street canvass Anthony / Anthony Village for Auto Services, then verify on Google</v>
      </c>
    </row>
    <row r="21" customFormat="false" ht="15" hidden="false" customHeight="false" outlineLevel="0" collapsed="false">
      <c r="A21" s="30" t="s">
        <v>4</v>
      </c>
      <c r="B21" s="4" t="s">
        <v>34</v>
      </c>
      <c r="C21" s="10" t="n">
        <f aca="false">COUNTIFS('MASTER DATABASE'!$C$2:$C$931,$A21,'MASTER DATABASE'!$E$2:$E$931,$B21)</f>
        <v>29</v>
      </c>
      <c r="D21" s="10" t="n">
        <v>25</v>
      </c>
      <c r="E21" s="10" t="n">
        <f aca="false">MAX(0,D21-C21)</f>
        <v>0</v>
      </c>
      <c r="F21" s="31" t="n">
        <f aca="false">IFERROR(MIN(1,C21/D21),0)</f>
        <v>1</v>
      </c>
      <c r="G21" s="30" t="str">
        <f aca="false">IF(C21&gt;=D21,"Target met",IF(C21&gt;=D21*0.6,"Good coverage",IF(C21&gt;0,"Thin - needs canvassing","Not yet searched")))</f>
        <v>Target met</v>
      </c>
      <c r="H21" s="30" t="str">
        <f aca="false">IF(C21&gt;=D21,"Maintain - re-check quarterly","Street canvass "&amp;$A21&amp;" for "&amp;$B21&amp;", then verify on Google")</f>
        <v>Maintain - re-check quarterly</v>
      </c>
    </row>
    <row r="22" customFormat="false" ht="15" hidden="false" customHeight="false" outlineLevel="0" collapsed="false">
      <c r="A22" s="30" t="s">
        <v>4</v>
      </c>
      <c r="B22" s="4" t="s">
        <v>35</v>
      </c>
      <c r="C22" s="10" t="n">
        <f aca="false">COUNTIFS('MASTER DATABASE'!$C$2:$C$931,$A22,'MASTER DATABASE'!$E$2:$E$931,$B22)</f>
        <v>3</v>
      </c>
      <c r="D22" s="10" t="n">
        <v>15</v>
      </c>
      <c r="E22" s="10" t="n">
        <f aca="false">MAX(0,D22-C22)</f>
        <v>12</v>
      </c>
      <c r="F22" s="31" t="n">
        <f aca="false">IFERROR(MIN(1,C22/D22),0)</f>
        <v>0.2</v>
      </c>
      <c r="G22" s="30" t="str">
        <f aca="false">IF(C22&gt;=D22,"Target met",IF(C22&gt;=D22*0.6,"Good coverage",IF(C22&gt;0,"Thin - needs canvassing","Not yet searched")))</f>
        <v>Thin - needs canvassing</v>
      </c>
      <c r="H22" s="30" t="str">
        <f aca="false">IF(C22&gt;=D22,"Maintain - re-check quarterly","Street canvass "&amp;$A22&amp;" for "&amp;$B22&amp;", then verify on Google")</f>
        <v>Street canvass Anthony / Anthony Village for Caterers, then verify on Google</v>
      </c>
    </row>
    <row r="23" customFormat="false" ht="15" hidden="false" customHeight="false" outlineLevel="0" collapsed="false">
      <c r="A23" s="30" t="s">
        <v>5</v>
      </c>
      <c r="B23" s="4" t="s">
        <v>18</v>
      </c>
      <c r="C23" s="10" t="n">
        <f aca="false">COUNTIFS('MASTER DATABASE'!$C$2:$C$931,$A23,'MASTER DATABASE'!$E$2:$E$931,$B23)</f>
        <v>63</v>
      </c>
      <c r="D23" s="10" t="n">
        <v>45</v>
      </c>
      <c r="E23" s="10" t="n">
        <f aca="false">MAX(0,D23-C23)</f>
        <v>0</v>
      </c>
      <c r="F23" s="31" t="n">
        <f aca="false">IFERROR(MIN(1,C23/D23),0)</f>
        <v>1</v>
      </c>
      <c r="G23" s="30" t="str">
        <f aca="false">IF(C23&gt;=D23,"Target met",IF(C23&gt;=D23*0.6,"Good coverage",IF(C23&gt;0,"Thin - needs canvassing","Not yet searched")))</f>
        <v>Target met</v>
      </c>
      <c r="H23" s="30" t="str">
        <f aca="false">IF(C23&gt;=D23,"Maintain - re-check quarterly","Street canvass "&amp;$A23&amp;" for "&amp;$B23&amp;", then verify on Google")</f>
        <v>Maintain - re-check quarterly</v>
      </c>
    </row>
    <row r="24" customFormat="false" ht="15" hidden="false" customHeight="false" outlineLevel="0" collapsed="false">
      <c r="A24" s="30" t="s">
        <v>5</v>
      </c>
      <c r="B24" s="4" t="s">
        <v>19</v>
      </c>
      <c r="C24" s="10" t="n">
        <f aca="false">COUNTIFS('MASTER DATABASE'!$C$2:$C$931,$A24,'MASTER DATABASE'!$E$2:$E$931,$B24)</f>
        <v>14</v>
      </c>
      <c r="D24" s="10" t="n">
        <v>15</v>
      </c>
      <c r="E24" s="10" t="n">
        <f aca="false">MAX(0,D24-C24)</f>
        <v>1</v>
      </c>
      <c r="F24" s="31" t="n">
        <f aca="false">IFERROR(MIN(1,C24/D24),0)</f>
        <v>0.933333333333333</v>
      </c>
      <c r="G24" s="30" t="str">
        <f aca="false">IF(C24&gt;=D24,"Target met",IF(C24&gt;=D24*0.6,"Good coverage",IF(C24&gt;0,"Thin - needs canvassing","Not yet searched")))</f>
        <v>Good coverage</v>
      </c>
      <c r="H24" s="30" t="str">
        <f aca="false">IF(C24&gt;=D24,"Maintain - re-check quarterly","Street canvass "&amp;$A24&amp;" for "&amp;$B24&amp;", then verify on Google")</f>
        <v>Street canvass Maryland / Mende for Hotels, then verify on Google</v>
      </c>
    </row>
    <row r="25" customFormat="false" ht="15" hidden="false" customHeight="false" outlineLevel="0" collapsed="false">
      <c r="A25" s="30" t="s">
        <v>5</v>
      </c>
      <c r="B25" s="4" t="s">
        <v>20</v>
      </c>
      <c r="C25" s="10" t="n">
        <f aca="false">COUNTIFS('MASTER DATABASE'!$C$2:$C$931,$A25,'MASTER DATABASE'!$E$2:$E$931,$B25)</f>
        <v>12</v>
      </c>
      <c r="D25" s="10" t="n">
        <v>12</v>
      </c>
      <c r="E25" s="10" t="n">
        <f aca="false">MAX(0,D25-C25)</f>
        <v>0</v>
      </c>
      <c r="F25" s="31" t="n">
        <f aca="false">IFERROR(MIN(1,C25/D25),0)</f>
        <v>1</v>
      </c>
      <c r="G25" s="30" t="str">
        <f aca="false">IF(C25&gt;=D25,"Target met",IF(C25&gt;=D25*0.6,"Good coverage",IF(C25&gt;0,"Thin - needs canvassing","Not yet searched")))</f>
        <v>Target met</v>
      </c>
      <c r="H25" s="30" t="str">
        <f aca="false">IF(C25&gt;=D25,"Maintain - re-check quarterly","Street canvass "&amp;$A25&amp;" for "&amp;$B25&amp;", then verify on Google")</f>
        <v>Maintain - re-check quarterly</v>
      </c>
    </row>
    <row r="26" customFormat="false" ht="15" hidden="false" customHeight="false" outlineLevel="0" collapsed="false">
      <c r="A26" s="30" t="s">
        <v>5</v>
      </c>
      <c r="B26" s="4" t="s">
        <v>21</v>
      </c>
      <c r="C26" s="10" t="n">
        <f aca="false">COUNTIFS('MASTER DATABASE'!$C$2:$C$931,$A26,'MASTER DATABASE'!$E$2:$E$931,$B26)</f>
        <v>79</v>
      </c>
      <c r="D26" s="10" t="n">
        <v>60</v>
      </c>
      <c r="E26" s="10" t="n">
        <f aca="false">MAX(0,D26-C26)</f>
        <v>0</v>
      </c>
      <c r="F26" s="31" t="n">
        <f aca="false">IFERROR(MIN(1,C26/D26),0)</f>
        <v>1</v>
      </c>
      <c r="G26" s="30" t="str">
        <f aca="false">IF(C26&gt;=D26,"Target met",IF(C26&gt;=D26*0.6,"Good coverage",IF(C26&gt;0,"Thin - needs canvassing","Not yet searched")))</f>
        <v>Target met</v>
      </c>
      <c r="H26" s="30" t="str">
        <f aca="false">IF(C26&gt;=D26,"Maintain - re-check quarterly","Street canvass "&amp;$A26&amp;" for "&amp;$B26&amp;", then verify on Google")</f>
        <v>Maintain - re-check quarterly</v>
      </c>
    </row>
    <row r="27" customFormat="false" ht="15" hidden="false" customHeight="false" outlineLevel="0" collapsed="false">
      <c r="A27" s="30" t="s">
        <v>5</v>
      </c>
      <c r="B27" s="4" t="s">
        <v>22</v>
      </c>
      <c r="C27" s="10" t="n">
        <f aca="false">COUNTIFS('MASTER DATABASE'!$C$2:$C$931,$A27,'MASTER DATABASE'!$E$2:$E$931,$B27)</f>
        <v>10</v>
      </c>
      <c r="D27" s="10" t="n">
        <v>25</v>
      </c>
      <c r="E27" s="10" t="n">
        <f aca="false">MAX(0,D27-C27)</f>
        <v>15</v>
      </c>
      <c r="F27" s="31" t="n">
        <f aca="false">IFERROR(MIN(1,C27/D27),0)</f>
        <v>0.4</v>
      </c>
      <c r="G27" s="30" t="str">
        <f aca="false">IF(C27&gt;=D27,"Target met",IF(C27&gt;=D27*0.6,"Good coverage",IF(C27&gt;0,"Thin - needs canvassing","Not yet searched")))</f>
        <v>Thin - needs canvassing</v>
      </c>
      <c r="H27" s="30" t="str">
        <f aca="false">IF(C27&gt;=D27,"Maintain - re-check quarterly","Street canvass "&amp;$A27&amp;" for "&amp;$B27&amp;", then verify on Google")</f>
        <v>Street canvass Maryland / Mende for Barbers, then verify on Google</v>
      </c>
    </row>
    <row r="28" customFormat="false" ht="15" hidden="false" customHeight="false" outlineLevel="0" collapsed="false">
      <c r="A28" s="30" t="s">
        <v>5</v>
      </c>
      <c r="B28" s="4" t="s">
        <v>23</v>
      </c>
      <c r="C28" s="10" t="n">
        <f aca="false">COUNTIFS('MASTER DATABASE'!$C$2:$C$931,$A28,'MASTER DATABASE'!$E$2:$E$931,$B28)</f>
        <v>29</v>
      </c>
      <c r="D28" s="10" t="n">
        <v>30</v>
      </c>
      <c r="E28" s="10" t="n">
        <f aca="false">MAX(0,D28-C28)</f>
        <v>1</v>
      </c>
      <c r="F28" s="31" t="n">
        <f aca="false">IFERROR(MIN(1,C28/D28),0)</f>
        <v>0.966666666666667</v>
      </c>
      <c r="G28" s="30" t="str">
        <f aca="false">IF(C28&gt;=D28,"Target met",IF(C28&gt;=D28*0.6,"Good coverage",IF(C28&gt;0,"Thin - needs canvassing","Not yet searched")))</f>
        <v>Good coverage</v>
      </c>
      <c r="H28" s="30" t="str">
        <f aca="false">IF(C28&gt;=D28,"Maintain - re-check quarterly","Street canvass "&amp;$A28&amp;" for "&amp;$B28&amp;", then verify on Google")</f>
        <v>Street canvass Maryland / Mende for Medical Centres, then verify on Google</v>
      </c>
    </row>
    <row r="29" customFormat="false" ht="15" hidden="false" customHeight="false" outlineLevel="0" collapsed="false">
      <c r="A29" s="30" t="s">
        <v>5</v>
      </c>
      <c r="B29" s="4" t="s">
        <v>24</v>
      </c>
      <c r="C29" s="10" t="n">
        <f aca="false">COUNTIFS('MASTER DATABASE'!$C$2:$C$931,$A29,'MASTER DATABASE'!$E$2:$E$931,$B29)</f>
        <v>3</v>
      </c>
      <c r="D29" s="10" t="n">
        <v>8</v>
      </c>
      <c r="E29" s="10" t="n">
        <f aca="false">MAX(0,D29-C29)</f>
        <v>5</v>
      </c>
      <c r="F29" s="31" t="n">
        <f aca="false">IFERROR(MIN(1,C29/D29),0)</f>
        <v>0.375</v>
      </c>
      <c r="G29" s="30" t="str">
        <f aca="false">IF(C29&gt;=D29,"Target met",IF(C29&gt;=D29*0.6,"Good coverage",IF(C29&gt;0,"Thin - needs canvassing","Not yet searched")))</f>
        <v>Thin - needs canvassing</v>
      </c>
      <c r="H29" s="30" t="str">
        <f aca="false">IF(C29&gt;=D29,"Maintain - re-check quarterly","Street canvass "&amp;$A29&amp;" for "&amp;$B29&amp;", then verify on Google")</f>
        <v>Street canvass Maryland / Mende for Dentists, then verify on Google</v>
      </c>
    </row>
    <row r="30" customFormat="false" ht="15" hidden="false" customHeight="false" outlineLevel="0" collapsed="false">
      <c r="A30" s="30" t="s">
        <v>5</v>
      </c>
      <c r="B30" s="4" t="s">
        <v>25</v>
      </c>
      <c r="C30" s="10" t="n">
        <f aca="false">COUNTIFS('MASTER DATABASE'!$C$2:$C$931,$A30,'MASTER DATABASE'!$E$2:$E$931,$B30)</f>
        <v>24</v>
      </c>
      <c r="D30" s="10" t="n">
        <v>22</v>
      </c>
      <c r="E30" s="10" t="n">
        <f aca="false">MAX(0,D30-C30)</f>
        <v>0</v>
      </c>
      <c r="F30" s="31" t="n">
        <f aca="false">IFERROR(MIN(1,C30/D30),0)</f>
        <v>1</v>
      </c>
      <c r="G30" s="30" t="str">
        <f aca="false">IF(C30&gt;=D30,"Target met",IF(C30&gt;=D30*0.6,"Good coverage",IF(C30&gt;0,"Thin - needs canvassing","Not yet searched")))</f>
        <v>Target met</v>
      </c>
      <c r="H30" s="30" t="str">
        <f aca="false">IF(C30&gt;=D30,"Maintain - re-check quarterly","Street canvass "&amp;$A30&amp;" for "&amp;$B30&amp;", then verify on Google")</f>
        <v>Maintain - re-check quarterly</v>
      </c>
    </row>
    <row r="31" customFormat="false" ht="15" hidden="false" customHeight="false" outlineLevel="0" collapsed="false">
      <c r="A31" s="30" t="s">
        <v>5</v>
      </c>
      <c r="B31" s="4" t="s">
        <v>26</v>
      </c>
      <c r="C31" s="10" t="n">
        <f aca="false">COUNTIFS('MASTER DATABASE'!$C$2:$C$931,$A31,'MASTER DATABASE'!$E$2:$E$931,$B31)</f>
        <v>21</v>
      </c>
      <c r="D31" s="10" t="n">
        <v>30</v>
      </c>
      <c r="E31" s="10" t="n">
        <f aca="false">MAX(0,D31-C31)</f>
        <v>9</v>
      </c>
      <c r="F31" s="31" t="n">
        <f aca="false">IFERROR(MIN(1,C31/D31),0)</f>
        <v>0.7</v>
      </c>
      <c r="G31" s="30" t="str">
        <f aca="false">IF(C31&gt;=D31,"Target met",IF(C31&gt;=D31*0.6,"Good coverage",IF(C31&gt;0,"Thin - needs canvassing","Not yet searched")))</f>
        <v>Good coverage</v>
      </c>
      <c r="H31" s="30" t="str">
        <f aca="false">IF(C31&gt;=D31,"Maintain - re-check quarterly","Street canvass "&amp;$A31&amp;" for "&amp;$B31&amp;", then verify on Google")</f>
        <v>Street canvass Maryland / Mende for Schools, then verify on Google</v>
      </c>
    </row>
    <row r="32" customFormat="false" ht="15" hidden="false" customHeight="false" outlineLevel="0" collapsed="false">
      <c r="A32" s="30" t="s">
        <v>5</v>
      </c>
      <c r="B32" s="4" t="s">
        <v>27</v>
      </c>
      <c r="C32" s="10" t="n">
        <f aca="false">COUNTIFS('MASTER DATABASE'!$C$2:$C$931,$A32,'MASTER DATABASE'!$E$2:$E$931,$B32)</f>
        <v>14</v>
      </c>
      <c r="D32" s="10" t="n">
        <v>25</v>
      </c>
      <c r="E32" s="10" t="n">
        <f aca="false">MAX(0,D32-C32)</f>
        <v>11</v>
      </c>
      <c r="F32" s="31" t="n">
        <f aca="false">IFERROR(MIN(1,C32/D32),0)</f>
        <v>0.56</v>
      </c>
      <c r="G32" s="30" t="str">
        <f aca="false">IF(C32&gt;=D32,"Target met",IF(C32&gt;=D32*0.6,"Good coverage",IF(C32&gt;0,"Thin - needs canvassing","Not yet searched")))</f>
        <v>Thin - needs canvassing</v>
      </c>
      <c r="H32" s="30" t="str">
        <f aca="false">IF(C32&gt;=D32,"Maintain - re-check quarterly","Street canvass "&amp;$A32&amp;" for "&amp;$B32&amp;", then verify on Google")</f>
        <v>Street canvass Maryland / Mende for Churches, then verify on Google</v>
      </c>
    </row>
    <row r="33" customFormat="false" ht="15" hidden="false" customHeight="false" outlineLevel="0" collapsed="false">
      <c r="A33" s="30" t="s">
        <v>5</v>
      </c>
      <c r="B33" s="4" t="s">
        <v>28</v>
      </c>
      <c r="C33" s="10" t="n">
        <f aca="false">COUNTIFS('MASTER DATABASE'!$C$2:$C$931,$A33,'MASTER DATABASE'!$E$2:$E$931,$B33)</f>
        <v>19</v>
      </c>
      <c r="D33" s="10" t="n">
        <v>35</v>
      </c>
      <c r="E33" s="10" t="n">
        <f aca="false">MAX(0,D33-C33)</f>
        <v>16</v>
      </c>
      <c r="F33" s="31" t="n">
        <f aca="false">IFERROR(MIN(1,C33/D33),0)</f>
        <v>0.542857142857143</v>
      </c>
      <c r="G33" s="30" t="str">
        <f aca="false">IF(C33&gt;=D33,"Target met",IF(C33&gt;=D33*0.6,"Good coverage",IF(C33&gt;0,"Thin - needs canvassing","Not yet searched")))</f>
        <v>Thin - needs canvassing</v>
      </c>
      <c r="H33" s="30" t="str">
        <f aca="false">IF(C33&gt;=D33,"Maintain - re-check quarterly","Street canvass "&amp;$A33&amp;" for "&amp;$B33&amp;", then verify on Google")</f>
        <v>Street canvass Maryland / Mende for Supermarkets, then verify on Google</v>
      </c>
    </row>
    <row r="34" customFormat="false" ht="15" hidden="false" customHeight="false" outlineLevel="0" collapsed="false">
      <c r="A34" s="30" t="s">
        <v>5</v>
      </c>
      <c r="B34" s="4" t="s">
        <v>29</v>
      </c>
      <c r="C34" s="10" t="n">
        <f aca="false">COUNTIFS('MASTER DATABASE'!$C$2:$C$931,$A34,'MASTER DATABASE'!$E$2:$E$931,$B34)</f>
        <v>12</v>
      </c>
      <c r="D34" s="10" t="n">
        <v>40</v>
      </c>
      <c r="E34" s="10" t="n">
        <f aca="false">MAX(0,D34-C34)</f>
        <v>28</v>
      </c>
      <c r="F34" s="31" t="n">
        <f aca="false">IFERROR(MIN(1,C34/D34),0)</f>
        <v>0.3</v>
      </c>
      <c r="G34" s="30" t="str">
        <f aca="false">IF(C34&gt;=D34,"Target met",IF(C34&gt;=D34*0.6,"Good coverage",IF(C34&gt;0,"Thin - needs canvassing","Not yet searched")))</f>
        <v>Thin - needs canvassing</v>
      </c>
      <c r="H34" s="30" t="str">
        <f aca="false">IF(C34&gt;=D34,"Maintain - re-check quarterly","Street canvass "&amp;$A34&amp;" for "&amp;$B34&amp;", then verify on Google")</f>
        <v>Street canvass Maryland / Mende for Boutiques, then verify on Google</v>
      </c>
    </row>
    <row r="35" customFormat="false" ht="15" hidden="false" customHeight="false" outlineLevel="0" collapsed="false">
      <c r="A35" s="30" t="s">
        <v>5</v>
      </c>
      <c r="B35" s="4" t="s">
        <v>30</v>
      </c>
      <c r="C35" s="10" t="n">
        <f aca="false">COUNTIFS('MASTER DATABASE'!$C$2:$C$931,$A35,'MASTER DATABASE'!$E$2:$E$931,$B35)</f>
        <v>32</v>
      </c>
      <c r="D35" s="10" t="n">
        <v>45</v>
      </c>
      <c r="E35" s="10" t="n">
        <f aca="false">MAX(0,D35-C35)</f>
        <v>13</v>
      </c>
      <c r="F35" s="31" t="n">
        <f aca="false">IFERROR(MIN(1,C35/D35),0)</f>
        <v>0.711111111111111</v>
      </c>
      <c r="G35" s="30" t="str">
        <f aca="false">IF(C35&gt;=D35,"Target met",IF(C35&gt;=D35*0.6,"Good coverage",IF(C35&gt;0,"Thin - needs canvassing","Not yet searched")))</f>
        <v>Good coverage</v>
      </c>
      <c r="H35" s="30" t="str">
        <f aca="false">IF(C35&gt;=D35,"Maintain - re-check quarterly","Street canvass "&amp;$A35&amp;" for "&amp;$B35&amp;", then verify on Google")</f>
        <v>Street canvass Maryland / Mende for Home Services, then verify on Google</v>
      </c>
    </row>
    <row r="36" customFormat="false" ht="15" hidden="false" customHeight="false" outlineLevel="0" collapsed="false">
      <c r="A36" s="30" t="s">
        <v>5</v>
      </c>
      <c r="B36" s="4" t="s">
        <v>31</v>
      </c>
      <c r="C36" s="10" t="n">
        <f aca="false">COUNTIFS('MASTER DATABASE'!$C$2:$C$931,$A36,'MASTER DATABASE'!$E$2:$E$931,$B36)</f>
        <v>28</v>
      </c>
      <c r="D36" s="10" t="n">
        <v>30</v>
      </c>
      <c r="E36" s="10" t="n">
        <f aca="false">MAX(0,D36-C36)</f>
        <v>2</v>
      </c>
      <c r="F36" s="31" t="n">
        <f aca="false">IFERROR(MIN(1,C36/D36),0)</f>
        <v>0.933333333333333</v>
      </c>
      <c r="G36" s="30" t="str">
        <f aca="false">IF(C36&gt;=D36,"Target met",IF(C36&gt;=D36*0.6,"Good coverage",IF(C36&gt;0,"Thin - needs canvassing","Not yet searched")))</f>
        <v>Good coverage</v>
      </c>
      <c r="H36" s="30" t="str">
        <f aca="false">IF(C36&gt;=D36,"Maintain - re-check quarterly","Street canvass "&amp;$A36&amp;" for "&amp;$B36&amp;", then verify on Google")</f>
        <v>Street canvass Maryland / Mende for Real Estate, then verify on Google</v>
      </c>
    </row>
    <row r="37" customFormat="false" ht="15" hidden="false" customHeight="false" outlineLevel="0" collapsed="false">
      <c r="A37" s="30" t="s">
        <v>5</v>
      </c>
      <c r="B37" s="4" t="s">
        <v>32</v>
      </c>
      <c r="C37" s="10" t="n">
        <f aca="false">COUNTIFS('MASTER DATABASE'!$C$2:$C$931,$A37,'MASTER DATABASE'!$E$2:$E$931,$B37)</f>
        <v>34</v>
      </c>
      <c r="D37" s="10" t="n">
        <v>50</v>
      </c>
      <c r="E37" s="10" t="n">
        <f aca="false">MAX(0,D37-C37)</f>
        <v>16</v>
      </c>
      <c r="F37" s="31" t="n">
        <f aca="false">IFERROR(MIN(1,C37/D37),0)</f>
        <v>0.68</v>
      </c>
      <c r="G37" s="30" t="str">
        <f aca="false">IF(C37&gt;=D37,"Target met",IF(C37&gt;=D37*0.6,"Good coverage",IF(C37&gt;0,"Thin - needs canvassing","Not yet searched")))</f>
        <v>Good coverage</v>
      </c>
      <c r="H37" s="30" t="str">
        <f aca="false">IF(C37&gt;=D37,"Maintain - re-check quarterly","Street canvass "&amp;$A37&amp;" for "&amp;$B37&amp;", then verify on Google")</f>
        <v>Street canvass Maryland / Mende for Professional Services, then verify on Google</v>
      </c>
    </row>
    <row r="38" customFormat="false" ht="15" hidden="false" customHeight="false" outlineLevel="0" collapsed="false">
      <c r="A38" s="30" t="s">
        <v>5</v>
      </c>
      <c r="B38" s="4" t="s">
        <v>33</v>
      </c>
      <c r="C38" s="10" t="n">
        <f aca="false">COUNTIFS('MASTER DATABASE'!$C$2:$C$931,$A38,'MASTER DATABASE'!$E$2:$E$931,$B38)</f>
        <v>13</v>
      </c>
      <c r="D38" s="10" t="n">
        <v>30</v>
      </c>
      <c r="E38" s="10" t="n">
        <f aca="false">MAX(0,D38-C38)</f>
        <v>17</v>
      </c>
      <c r="F38" s="31" t="n">
        <f aca="false">IFERROR(MIN(1,C38/D38),0)</f>
        <v>0.433333333333333</v>
      </c>
      <c r="G38" s="30" t="str">
        <f aca="false">IF(C38&gt;=D38,"Target met",IF(C38&gt;=D38*0.6,"Good coverage",IF(C38&gt;0,"Thin - needs canvassing","Not yet searched")))</f>
        <v>Thin - needs canvassing</v>
      </c>
      <c r="H38" s="30" t="str">
        <f aca="false">IF(C38&gt;=D38,"Maintain - re-check quarterly","Street canvass "&amp;$A38&amp;" for "&amp;$B38&amp;", then verify on Google")</f>
        <v>Street canvass Maryland / Mende for Auto Services, then verify on Google</v>
      </c>
    </row>
    <row r="39" customFormat="false" ht="15" hidden="false" customHeight="false" outlineLevel="0" collapsed="false">
      <c r="A39" s="30" t="s">
        <v>5</v>
      </c>
      <c r="B39" s="4" t="s">
        <v>34</v>
      </c>
      <c r="C39" s="10" t="n">
        <f aca="false">COUNTIFS('MASTER DATABASE'!$C$2:$C$931,$A39,'MASTER DATABASE'!$E$2:$E$931,$B39)</f>
        <v>30</v>
      </c>
      <c r="D39" s="10" t="n">
        <v>25</v>
      </c>
      <c r="E39" s="10" t="n">
        <f aca="false">MAX(0,D39-C39)</f>
        <v>0</v>
      </c>
      <c r="F39" s="31" t="n">
        <f aca="false">IFERROR(MIN(1,C39/D39),0)</f>
        <v>1</v>
      </c>
      <c r="G39" s="30" t="str">
        <f aca="false">IF(C39&gt;=D39,"Target met",IF(C39&gt;=D39*0.6,"Good coverage",IF(C39&gt;0,"Thin - needs canvassing","Not yet searched")))</f>
        <v>Target met</v>
      </c>
      <c r="H39" s="30" t="str">
        <f aca="false">IF(C39&gt;=D39,"Maintain - re-check quarterly","Street canvass "&amp;$A39&amp;" for "&amp;$B39&amp;", then verify on Google")</f>
        <v>Maintain - re-check quarterly</v>
      </c>
    </row>
    <row r="40" customFormat="false" ht="15" hidden="false" customHeight="false" outlineLevel="0" collapsed="false">
      <c r="A40" s="30" t="s">
        <v>5</v>
      </c>
      <c r="B40" s="4" t="s">
        <v>35</v>
      </c>
      <c r="C40" s="10" t="n">
        <f aca="false">COUNTIFS('MASTER DATABASE'!$C$2:$C$931,$A40,'MASTER DATABASE'!$E$2:$E$931,$B40)</f>
        <v>15</v>
      </c>
      <c r="D40" s="10" t="n">
        <v>15</v>
      </c>
      <c r="E40" s="10" t="n">
        <f aca="false">MAX(0,D40-C40)</f>
        <v>0</v>
      </c>
      <c r="F40" s="31" t="n">
        <f aca="false">IFERROR(MIN(1,C40/D40),0)</f>
        <v>1</v>
      </c>
      <c r="G40" s="30" t="str">
        <f aca="false">IF(C40&gt;=D40,"Target met",IF(C40&gt;=D40*0.6,"Good coverage",IF(C40&gt;0,"Thin - needs canvassing","Not yet searched")))</f>
        <v>Target met</v>
      </c>
      <c r="H40" s="30" t="str">
        <f aca="false">IF(C40&gt;=D40,"Maintain - re-check quarterly","Street canvass "&amp;$A40&amp;" for "&amp;$B40&amp;", then verify on Google")</f>
        <v>Maintain - re-check quarterly</v>
      </c>
    </row>
  </sheetData>
  <autoFilter ref="A4:H40"/>
  <mergeCells count="2">
    <mergeCell ref="A1:H1"/>
    <mergeCell ref="A2:H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2" min="2" style="0" width="52"/>
    <col collapsed="false" customWidth="true" hidden="false" outlineLevel="0" max="3" min="3" style="0" width="12"/>
    <col collapsed="false" customWidth="true" hidden="false" outlineLevel="0" max="4" min="4" style="0" width="38"/>
    <col collapsed="false" customWidth="true" hidden="false" outlineLevel="0" max="5" min="5" style="0" width="46"/>
  </cols>
  <sheetData>
    <row r="1" customFormat="false" ht="19.7" hidden="false" customHeight="false" outlineLevel="0" collapsed="false">
      <c r="A1" s="1" t="s">
        <v>3503</v>
      </c>
      <c r="B1" s="1"/>
      <c r="C1" s="1"/>
      <c r="D1" s="1"/>
      <c r="E1" s="1"/>
    </row>
    <row r="3" customFormat="false" ht="15" hidden="false" customHeight="false" outlineLevel="0" collapsed="false">
      <c r="A3" s="9" t="s">
        <v>3504</v>
      </c>
      <c r="B3" s="9" t="s">
        <v>3505</v>
      </c>
      <c r="C3" s="9" t="s">
        <v>3506</v>
      </c>
      <c r="D3" s="9" t="s">
        <v>3507</v>
      </c>
      <c r="E3" s="9" t="s">
        <v>3508</v>
      </c>
    </row>
    <row r="4" customFormat="false" ht="43.5" hidden="false" customHeight="true" outlineLevel="0" collapsed="false">
      <c r="A4" s="32" t="s">
        <v>125</v>
      </c>
      <c r="B4" s="32" t="s">
        <v>3509</v>
      </c>
      <c r="C4" s="33" t="n">
        <v>242</v>
      </c>
      <c r="D4" s="32" t="s">
        <v>3510</v>
      </c>
      <c r="E4" s="32" t="s">
        <v>3511</v>
      </c>
    </row>
    <row r="5" customFormat="false" ht="43.5" hidden="false" customHeight="true" outlineLevel="0" collapsed="false">
      <c r="A5" s="32" t="s">
        <v>85</v>
      </c>
      <c r="B5" s="32" t="s">
        <v>3512</v>
      </c>
      <c r="C5" s="33" t="n">
        <v>431</v>
      </c>
      <c r="D5" s="32" t="s">
        <v>3513</v>
      </c>
      <c r="E5" s="32" t="s">
        <v>3514</v>
      </c>
    </row>
    <row r="6" customFormat="false" ht="43.5" hidden="false" customHeight="true" outlineLevel="0" collapsed="false">
      <c r="A6" s="32" t="s">
        <v>3515</v>
      </c>
      <c r="B6" s="32" t="s">
        <v>3516</v>
      </c>
      <c r="C6" s="33" t="n">
        <v>206</v>
      </c>
      <c r="D6" s="32" t="s">
        <v>3517</v>
      </c>
      <c r="E6" s="32" t="s">
        <v>3518</v>
      </c>
    </row>
    <row r="7" customFormat="false" ht="43.5" hidden="false" customHeight="true" outlineLevel="0" collapsed="false">
      <c r="A7" s="32" t="s">
        <v>3519</v>
      </c>
      <c r="B7" s="32" t="s">
        <v>3520</v>
      </c>
      <c r="C7" s="33" t="n">
        <v>51</v>
      </c>
      <c r="D7" s="32" t="s">
        <v>3521</v>
      </c>
      <c r="E7" s="32" t="s">
        <v>3522</v>
      </c>
    </row>
    <row r="8" customFormat="false" ht="43.5" hidden="false" customHeight="true" outlineLevel="0" collapsed="false">
      <c r="A8" s="32" t="s">
        <v>3523</v>
      </c>
      <c r="B8" s="32" t="s">
        <v>3524</v>
      </c>
      <c r="C8" s="33" t="s">
        <v>3525</v>
      </c>
      <c r="D8" s="32" t="s">
        <v>3526</v>
      </c>
      <c r="E8" s="32" t="s">
        <v>3527</v>
      </c>
    </row>
    <row r="9" customFormat="false" ht="43.5" hidden="false" customHeight="true" outlineLevel="0" collapsed="false">
      <c r="A9" s="32" t="s">
        <v>3528</v>
      </c>
      <c r="B9" s="32" t="s">
        <v>3529</v>
      </c>
      <c r="C9" s="33" t="s">
        <v>3525</v>
      </c>
      <c r="D9" s="32" t="s">
        <v>3530</v>
      </c>
      <c r="E9" s="32" t="s">
        <v>3531</v>
      </c>
    </row>
    <row r="10" customFormat="false" ht="43.5" hidden="false" customHeight="true" outlineLevel="0" collapsed="false">
      <c r="A10" s="32" t="s">
        <v>3532</v>
      </c>
      <c r="B10" s="32" t="s">
        <v>3533</v>
      </c>
      <c r="C10" s="33" t="s">
        <v>3525</v>
      </c>
      <c r="D10" s="32" t="s">
        <v>3534</v>
      </c>
      <c r="E10" s="32" t="s">
        <v>3535</v>
      </c>
    </row>
    <row r="11" customFormat="false" ht="43.5" hidden="false" customHeight="true" outlineLevel="0" collapsed="false">
      <c r="A11" s="32" t="s">
        <v>3536</v>
      </c>
      <c r="B11" s="32" t="s">
        <v>3537</v>
      </c>
      <c r="C11" s="33" t="s">
        <v>3538</v>
      </c>
      <c r="D11" s="32" t="s">
        <v>3539</v>
      </c>
      <c r="E11" s="32" t="s">
        <v>3540</v>
      </c>
    </row>
  </sheetData>
  <mergeCells count="1">
    <mergeCell ref="A1:E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93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8"/>
    <col collapsed="false" customWidth="true" hidden="false" outlineLevel="0" max="2" min="2" style="0" width="20"/>
    <col collapsed="false" customWidth="true" hidden="false" outlineLevel="0" max="3" min="3" style="0" width="26"/>
    <col collapsed="false" customWidth="true" hidden="false" outlineLevel="0" max="4" min="4" style="0" width="48"/>
    <col collapsed="false" customWidth="true" hidden="false" outlineLevel="0" max="5" min="5" style="0" width="17"/>
    <col collapsed="false" customWidth="true" hidden="false" outlineLevel="0" max="6" min="6" style="0" width="26"/>
    <col collapsed="false" customWidth="true" hidden="false" outlineLevel="0" max="8" min="7" style="0" width="10"/>
  </cols>
  <sheetData>
    <row r="1" customFormat="false" ht="19.7" hidden="false" customHeight="false" outlineLevel="0" collapsed="false">
      <c r="A1" s="1" t="s">
        <v>3541</v>
      </c>
      <c r="B1" s="1"/>
      <c r="C1" s="1"/>
      <c r="D1" s="1"/>
      <c r="E1" s="1"/>
      <c r="F1" s="1"/>
      <c r="G1" s="1"/>
      <c r="H1" s="1"/>
    </row>
    <row r="2" customFormat="false" ht="30" hidden="false" customHeight="true" outlineLevel="0" collapsed="false">
      <c r="A2" s="34" t="s">
        <v>3542</v>
      </c>
      <c r="B2" s="34"/>
      <c r="C2" s="34"/>
      <c r="D2" s="34"/>
      <c r="E2" s="34"/>
      <c r="F2" s="34"/>
      <c r="G2" s="34"/>
      <c r="H2" s="34"/>
    </row>
    <row r="4" customFormat="false" ht="35.05" hidden="false" customHeight="false" outlineLevel="0" collapsed="false">
      <c r="A4" s="9" t="s">
        <v>59</v>
      </c>
      <c r="B4" s="9" t="s">
        <v>14</v>
      </c>
      <c r="C4" s="9" t="s">
        <v>62</v>
      </c>
      <c r="D4" s="9" t="s">
        <v>63</v>
      </c>
      <c r="E4" s="9" t="s">
        <v>64</v>
      </c>
      <c r="F4" s="9" t="s">
        <v>65</v>
      </c>
      <c r="G4" s="9" t="s">
        <v>67</v>
      </c>
      <c r="H4" s="9" t="s">
        <v>68</v>
      </c>
    </row>
    <row r="5" customFormat="false" ht="15" hidden="false" customHeight="false" outlineLevel="0" collapsed="false">
      <c r="A5" s="20" t="s">
        <v>3543</v>
      </c>
      <c r="B5" s="20" t="s">
        <v>34</v>
      </c>
      <c r="C5" s="20" t="s">
        <v>2157</v>
      </c>
      <c r="D5" s="21" t="s">
        <v>3544</v>
      </c>
      <c r="E5" s="20" t="s">
        <v>3545</v>
      </c>
      <c r="F5" s="20" t="s">
        <v>3546</v>
      </c>
      <c r="G5" s="20" t="n">
        <v>4.3</v>
      </c>
      <c r="H5" s="20" t="n">
        <v>36</v>
      </c>
    </row>
    <row r="6" customFormat="false" ht="23.85" hidden="false" customHeight="false" outlineLevel="0" collapsed="false">
      <c r="A6" s="20" t="s">
        <v>3547</v>
      </c>
      <c r="B6" s="20" t="s">
        <v>22</v>
      </c>
      <c r="C6" s="20" t="s">
        <v>540</v>
      </c>
      <c r="D6" s="21" t="s">
        <v>3548</v>
      </c>
      <c r="E6" s="20" t="s">
        <v>3549</v>
      </c>
      <c r="F6" s="20" t="s">
        <v>3550</v>
      </c>
      <c r="G6" s="20" t="n">
        <v>4</v>
      </c>
      <c r="H6" s="20" t="n">
        <v>1</v>
      </c>
    </row>
    <row r="7" customFormat="false" ht="15" hidden="false" customHeight="false" outlineLevel="0" collapsed="false">
      <c r="A7" s="20" t="s">
        <v>3551</v>
      </c>
      <c r="B7" s="20" t="s">
        <v>34</v>
      </c>
      <c r="C7" s="20" t="s">
        <v>2073</v>
      </c>
      <c r="D7" s="21" t="s">
        <v>3552</v>
      </c>
      <c r="E7" s="20" t="s">
        <v>3553</v>
      </c>
      <c r="F7" s="20"/>
      <c r="G7" s="20" t="n">
        <v>4.8</v>
      </c>
      <c r="H7" s="20" t="n">
        <v>39</v>
      </c>
    </row>
    <row r="8" customFormat="false" ht="15" hidden="false" customHeight="false" outlineLevel="0" collapsed="false">
      <c r="A8" s="20" t="s">
        <v>3554</v>
      </c>
      <c r="B8" s="20" t="s">
        <v>29</v>
      </c>
      <c r="C8" s="20" t="s">
        <v>1312</v>
      </c>
      <c r="D8" s="21" t="s">
        <v>3555</v>
      </c>
      <c r="E8" s="20" t="s">
        <v>3556</v>
      </c>
      <c r="F8" s="20"/>
      <c r="G8" s="20"/>
      <c r="H8" s="20"/>
    </row>
    <row r="9" customFormat="false" ht="23.85" hidden="false" customHeight="false" outlineLevel="0" collapsed="false">
      <c r="A9" s="20" t="s">
        <v>3557</v>
      </c>
      <c r="B9" s="20" t="s">
        <v>20</v>
      </c>
      <c r="C9" s="20" t="s">
        <v>2386</v>
      </c>
      <c r="D9" s="21" t="s">
        <v>3558</v>
      </c>
      <c r="E9" s="20" t="s">
        <v>3559</v>
      </c>
      <c r="F9" s="20"/>
      <c r="G9" s="20" t="n">
        <v>4</v>
      </c>
      <c r="H9" s="20" t="n">
        <v>25</v>
      </c>
    </row>
    <row r="10" customFormat="false" ht="23.85" hidden="false" customHeight="false" outlineLevel="0" collapsed="false">
      <c r="A10" s="20" t="s">
        <v>3560</v>
      </c>
      <c r="B10" s="20" t="s">
        <v>30</v>
      </c>
      <c r="C10" s="20" t="s">
        <v>1377</v>
      </c>
      <c r="D10" s="21" t="s">
        <v>3561</v>
      </c>
      <c r="E10" s="20" t="s">
        <v>3562</v>
      </c>
      <c r="F10" s="20"/>
      <c r="G10" s="20" t="n">
        <v>5</v>
      </c>
      <c r="H10" s="20" t="n">
        <v>1</v>
      </c>
    </row>
    <row r="11" customFormat="false" ht="15" hidden="false" customHeight="false" outlineLevel="0" collapsed="false">
      <c r="A11" s="20" t="s">
        <v>3563</v>
      </c>
      <c r="B11" s="20" t="s">
        <v>22</v>
      </c>
      <c r="C11" s="20" t="s">
        <v>540</v>
      </c>
      <c r="D11" s="21" t="s">
        <v>3564</v>
      </c>
      <c r="E11" s="20"/>
      <c r="F11" s="20"/>
      <c r="G11" s="20" t="n">
        <v>5</v>
      </c>
      <c r="H11" s="20" t="n">
        <v>1</v>
      </c>
    </row>
    <row r="12" customFormat="false" ht="23.85" hidden="false" customHeight="false" outlineLevel="0" collapsed="false">
      <c r="A12" s="20" t="s">
        <v>3565</v>
      </c>
      <c r="B12" s="20" t="s">
        <v>28</v>
      </c>
      <c r="C12" s="20" t="s">
        <v>892</v>
      </c>
      <c r="D12" s="21" t="s">
        <v>3566</v>
      </c>
      <c r="E12" s="20" t="s">
        <v>3567</v>
      </c>
      <c r="F12" s="20"/>
      <c r="G12" s="20"/>
      <c r="H12" s="20"/>
    </row>
    <row r="13" customFormat="false" ht="23.85" hidden="false" customHeight="false" outlineLevel="0" collapsed="false">
      <c r="A13" s="20" t="s">
        <v>3568</v>
      </c>
      <c r="B13" s="20" t="s">
        <v>30</v>
      </c>
      <c r="C13" s="20" t="s">
        <v>1330</v>
      </c>
      <c r="D13" s="21" t="s">
        <v>3569</v>
      </c>
      <c r="E13" s="20" t="s">
        <v>3570</v>
      </c>
      <c r="F13" s="20"/>
      <c r="G13" s="20" t="n">
        <v>5</v>
      </c>
      <c r="H13" s="20" t="n">
        <v>1</v>
      </c>
    </row>
    <row r="14" customFormat="false" ht="23.85" hidden="false" customHeight="false" outlineLevel="0" collapsed="false">
      <c r="A14" s="20" t="s">
        <v>3571</v>
      </c>
      <c r="B14" s="20" t="s">
        <v>33</v>
      </c>
      <c r="C14" s="20" t="s">
        <v>1991</v>
      </c>
      <c r="D14" s="21" t="s">
        <v>3572</v>
      </c>
      <c r="E14" s="20"/>
      <c r="F14" s="20"/>
      <c r="G14" s="20" t="n">
        <v>5</v>
      </c>
      <c r="H14" s="20" t="n">
        <v>1</v>
      </c>
    </row>
    <row r="15" customFormat="false" ht="23.85" hidden="false" customHeight="false" outlineLevel="0" collapsed="false">
      <c r="A15" s="20" t="s">
        <v>3573</v>
      </c>
      <c r="B15" s="20" t="s">
        <v>33</v>
      </c>
      <c r="C15" s="20" t="s">
        <v>719</v>
      </c>
      <c r="D15" s="21" t="s">
        <v>3574</v>
      </c>
      <c r="E15" s="20" t="s">
        <v>3575</v>
      </c>
      <c r="F15" s="20"/>
      <c r="G15" s="20"/>
      <c r="H15" s="20"/>
    </row>
    <row r="16" customFormat="false" ht="23.85" hidden="false" customHeight="false" outlineLevel="0" collapsed="false">
      <c r="A16" s="20" t="s">
        <v>3576</v>
      </c>
      <c r="B16" s="20" t="s">
        <v>26</v>
      </c>
      <c r="C16" s="20" t="s">
        <v>823</v>
      </c>
      <c r="D16" s="21" t="s">
        <v>3577</v>
      </c>
      <c r="E16" s="20" t="s">
        <v>3578</v>
      </c>
      <c r="F16" s="20"/>
      <c r="G16" s="20"/>
      <c r="H16" s="20"/>
    </row>
    <row r="17" customFormat="false" ht="15" hidden="false" customHeight="false" outlineLevel="0" collapsed="false">
      <c r="A17" s="20" t="s">
        <v>3579</v>
      </c>
      <c r="B17" s="20" t="s">
        <v>26</v>
      </c>
      <c r="C17" s="20" t="s">
        <v>3580</v>
      </c>
      <c r="D17" s="21" t="s">
        <v>3581</v>
      </c>
      <c r="E17" s="20"/>
      <c r="F17" s="20"/>
      <c r="G17" s="20"/>
      <c r="H17" s="20"/>
    </row>
    <row r="18" customFormat="false" ht="23.85" hidden="false" customHeight="false" outlineLevel="0" collapsed="false">
      <c r="A18" s="20" t="s">
        <v>3582</v>
      </c>
      <c r="B18" s="20" t="s">
        <v>28</v>
      </c>
      <c r="C18" s="20" t="s">
        <v>913</v>
      </c>
      <c r="D18" s="21" t="s">
        <v>3583</v>
      </c>
      <c r="E18" s="20" t="s">
        <v>3584</v>
      </c>
      <c r="F18" s="20"/>
      <c r="G18" s="20" t="n">
        <v>4</v>
      </c>
      <c r="H18" s="20" t="n">
        <v>1</v>
      </c>
    </row>
    <row r="19" customFormat="false" ht="15" hidden="false" customHeight="false" outlineLevel="0" collapsed="false">
      <c r="A19" s="20" t="s">
        <v>3585</v>
      </c>
      <c r="B19" s="20" t="s">
        <v>23</v>
      </c>
      <c r="C19" s="20" t="s">
        <v>2653</v>
      </c>
      <c r="D19" s="21" t="s">
        <v>3586</v>
      </c>
      <c r="E19" s="20"/>
      <c r="F19" s="20"/>
      <c r="G19" s="20"/>
      <c r="H19" s="20"/>
    </row>
    <row r="20" customFormat="false" ht="23.85" hidden="false" customHeight="false" outlineLevel="0" collapsed="false">
      <c r="A20" s="20" t="s">
        <v>3587</v>
      </c>
      <c r="B20" s="20" t="s">
        <v>32</v>
      </c>
      <c r="C20" s="20" t="s">
        <v>3588</v>
      </c>
      <c r="D20" s="21" t="s">
        <v>3589</v>
      </c>
      <c r="E20" s="20" t="s">
        <v>3590</v>
      </c>
      <c r="F20" s="20" t="s">
        <v>3591</v>
      </c>
      <c r="G20" s="20" t="n">
        <v>4.3</v>
      </c>
      <c r="H20" s="20" t="n">
        <v>55</v>
      </c>
    </row>
    <row r="21" customFormat="false" ht="15" hidden="false" customHeight="false" outlineLevel="0" collapsed="false">
      <c r="A21" s="20" t="s">
        <v>3592</v>
      </c>
      <c r="B21" s="20" t="s">
        <v>23</v>
      </c>
      <c r="C21" s="20" t="s">
        <v>597</v>
      </c>
      <c r="D21" s="21" t="s">
        <v>3593</v>
      </c>
      <c r="E21" s="20" t="s">
        <v>3594</v>
      </c>
      <c r="F21" s="20"/>
      <c r="G21" s="20" t="n">
        <v>4.5</v>
      </c>
      <c r="H21" s="20" t="n">
        <v>2</v>
      </c>
    </row>
    <row r="22" customFormat="false" ht="23.85" hidden="false" customHeight="false" outlineLevel="0" collapsed="false">
      <c r="A22" s="20" t="s">
        <v>3595</v>
      </c>
      <c r="B22" s="20" t="s">
        <v>32</v>
      </c>
      <c r="C22" s="20" t="s">
        <v>1734</v>
      </c>
      <c r="D22" s="21" t="s">
        <v>3596</v>
      </c>
      <c r="E22" s="20"/>
      <c r="F22" s="20"/>
      <c r="G22" s="20" t="n">
        <v>4</v>
      </c>
      <c r="H22" s="20" t="n">
        <v>1</v>
      </c>
    </row>
    <row r="23" customFormat="false" ht="23.85" hidden="false" customHeight="false" outlineLevel="0" collapsed="false">
      <c r="A23" s="20" t="s">
        <v>3597</v>
      </c>
      <c r="B23" s="20" t="s">
        <v>30</v>
      </c>
      <c r="C23" s="20" t="s">
        <v>1377</v>
      </c>
      <c r="D23" s="21" t="s">
        <v>3598</v>
      </c>
      <c r="E23" s="20" t="s">
        <v>3599</v>
      </c>
      <c r="F23" s="20"/>
      <c r="G23" s="20"/>
      <c r="H23" s="20"/>
    </row>
    <row r="24" customFormat="false" ht="15" hidden="false" customHeight="false" outlineLevel="0" collapsed="false">
      <c r="A24" s="20" t="s">
        <v>3600</v>
      </c>
      <c r="B24" s="20" t="s">
        <v>32</v>
      </c>
      <c r="C24" s="20" t="s">
        <v>1734</v>
      </c>
      <c r="D24" s="21" t="s">
        <v>3601</v>
      </c>
      <c r="E24" s="20"/>
      <c r="F24" s="20"/>
      <c r="G24" s="20" t="n">
        <v>5</v>
      </c>
      <c r="H24" s="20" t="n">
        <v>1</v>
      </c>
    </row>
    <row r="25" customFormat="false" ht="15" hidden="false" customHeight="false" outlineLevel="0" collapsed="false">
      <c r="A25" s="20" t="s">
        <v>3602</v>
      </c>
      <c r="B25" s="20" t="s">
        <v>33</v>
      </c>
      <c r="C25" s="20" t="s">
        <v>1986</v>
      </c>
      <c r="D25" s="21" t="s">
        <v>3603</v>
      </c>
      <c r="E25" s="20" t="s">
        <v>3604</v>
      </c>
      <c r="F25" s="20"/>
      <c r="G25" s="20"/>
      <c r="H25" s="20"/>
    </row>
    <row r="26" customFormat="false" ht="23.85" hidden="false" customHeight="false" outlineLevel="0" collapsed="false">
      <c r="A26" s="20" t="s">
        <v>3605</v>
      </c>
      <c r="B26" s="20" t="s">
        <v>28</v>
      </c>
      <c r="C26" s="20" t="s">
        <v>892</v>
      </c>
      <c r="D26" s="21" t="s">
        <v>3606</v>
      </c>
      <c r="E26" s="20" t="s">
        <v>3607</v>
      </c>
      <c r="F26" s="20" t="s">
        <v>3608</v>
      </c>
      <c r="G26" s="20" t="n">
        <v>3.8</v>
      </c>
      <c r="H26" s="20" t="n">
        <v>338</v>
      </c>
    </row>
    <row r="27" customFormat="false" ht="23.85" hidden="false" customHeight="false" outlineLevel="0" collapsed="false">
      <c r="A27" s="20" t="s">
        <v>3609</v>
      </c>
      <c r="B27" s="20" t="s">
        <v>28</v>
      </c>
      <c r="C27" s="20" t="s">
        <v>892</v>
      </c>
      <c r="D27" s="21" t="s">
        <v>3610</v>
      </c>
      <c r="E27" s="20"/>
      <c r="F27" s="20" t="s">
        <v>3608</v>
      </c>
      <c r="G27" s="20" t="n">
        <v>4.1</v>
      </c>
      <c r="H27" s="20" t="n">
        <v>595</v>
      </c>
    </row>
    <row r="28" customFormat="false" ht="23.85" hidden="false" customHeight="false" outlineLevel="0" collapsed="false">
      <c r="A28" s="20" t="s">
        <v>3611</v>
      </c>
      <c r="B28" s="20" t="s">
        <v>34</v>
      </c>
      <c r="C28" s="20" t="s">
        <v>2122</v>
      </c>
      <c r="D28" s="21" t="s">
        <v>3612</v>
      </c>
      <c r="E28" s="20" t="s">
        <v>3613</v>
      </c>
      <c r="F28" s="20"/>
      <c r="G28" s="20"/>
      <c r="H28" s="20"/>
    </row>
    <row r="29" customFormat="false" ht="15" hidden="false" customHeight="false" outlineLevel="0" collapsed="false">
      <c r="A29" s="20" t="s">
        <v>3614</v>
      </c>
      <c r="B29" s="20" t="s">
        <v>21</v>
      </c>
      <c r="C29" s="20" t="s">
        <v>2467</v>
      </c>
      <c r="D29" s="21" t="s">
        <v>3615</v>
      </c>
      <c r="E29" s="20" t="s">
        <v>3616</v>
      </c>
      <c r="F29" s="20"/>
      <c r="G29" s="20"/>
      <c r="H29" s="20"/>
    </row>
    <row r="30" customFormat="false" ht="15" hidden="false" customHeight="false" outlineLevel="0" collapsed="false">
      <c r="A30" s="20" t="s">
        <v>3617</v>
      </c>
      <c r="B30" s="20" t="s">
        <v>32</v>
      </c>
      <c r="C30" s="20" t="s">
        <v>1690</v>
      </c>
      <c r="D30" s="21" t="s">
        <v>3555</v>
      </c>
      <c r="E30" s="20" t="s">
        <v>3618</v>
      </c>
      <c r="F30" s="20" t="s">
        <v>3619</v>
      </c>
      <c r="G30" s="20" t="n">
        <v>3.5</v>
      </c>
      <c r="H30" s="20" t="n">
        <v>2</v>
      </c>
    </row>
    <row r="31" customFormat="false" ht="23.85" hidden="false" customHeight="false" outlineLevel="0" collapsed="false">
      <c r="A31" s="20" t="s">
        <v>3620</v>
      </c>
      <c r="B31" s="20" t="s">
        <v>32</v>
      </c>
      <c r="C31" s="20" t="s">
        <v>1879</v>
      </c>
      <c r="D31" s="21" t="s">
        <v>3621</v>
      </c>
      <c r="E31" s="20" t="s">
        <v>3622</v>
      </c>
      <c r="F31" s="20"/>
      <c r="G31" s="20"/>
      <c r="H31" s="20"/>
    </row>
    <row r="32" customFormat="false" ht="23.85" hidden="false" customHeight="false" outlineLevel="0" collapsed="false">
      <c r="A32" s="20" t="s">
        <v>3623</v>
      </c>
      <c r="B32" s="20" t="s">
        <v>30</v>
      </c>
      <c r="C32" s="20" t="s">
        <v>1377</v>
      </c>
      <c r="D32" s="21" t="s">
        <v>3624</v>
      </c>
      <c r="E32" s="20"/>
      <c r="F32" s="20"/>
      <c r="G32" s="20"/>
      <c r="H32" s="20"/>
    </row>
    <row r="33" customFormat="false" ht="15" hidden="false" customHeight="false" outlineLevel="0" collapsed="false">
      <c r="A33" s="20" t="s">
        <v>3625</v>
      </c>
      <c r="B33" s="20" t="s">
        <v>21</v>
      </c>
      <c r="C33" s="20" t="s">
        <v>356</v>
      </c>
      <c r="D33" s="21" t="s">
        <v>3626</v>
      </c>
      <c r="E33" s="20" t="s">
        <v>3627</v>
      </c>
      <c r="F33" s="20"/>
      <c r="G33" s="20"/>
      <c r="H33" s="20"/>
    </row>
    <row r="34" customFormat="false" ht="23.85" hidden="false" customHeight="false" outlineLevel="0" collapsed="false">
      <c r="A34" s="20" t="s">
        <v>3628</v>
      </c>
      <c r="B34" s="20" t="s">
        <v>33</v>
      </c>
      <c r="C34" s="20" t="s">
        <v>1986</v>
      </c>
      <c r="D34" s="21" t="s">
        <v>3629</v>
      </c>
      <c r="E34" s="20" t="s">
        <v>3630</v>
      </c>
      <c r="F34" s="20" t="s">
        <v>3631</v>
      </c>
      <c r="G34" s="20" t="n">
        <v>4</v>
      </c>
      <c r="H34" s="20" t="n">
        <v>2</v>
      </c>
    </row>
    <row r="35" customFormat="false" ht="23.85" hidden="false" customHeight="false" outlineLevel="0" collapsed="false">
      <c r="A35" s="20" t="s">
        <v>3632</v>
      </c>
      <c r="B35" s="20" t="s">
        <v>28</v>
      </c>
      <c r="C35" s="20" t="s">
        <v>3633</v>
      </c>
      <c r="D35" s="21" t="s">
        <v>3634</v>
      </c>
      <c r="E35" s="20" t="s">
        <v>3635</v>
      </c>
      <c r="F35" s="20"/>
      <c r="G35" s="20"/>
      <c r="H35" s="20"/>
    </row>
    <row r="36" customFormat="false" ht="15" hidden="false" customHeight="false" outlineLevel="0" collapsed="false">
      <c r="A36" s="20" t="s">
        <v>3636</v>
      </c>
      <c r="B36" s="20" t="s">
        <v>19</v>
      </c>
      <c r="C36" s="20" t="s">
        <v>3637</v>
      </c>
      <c r="D36" s="21" t="s">
        <v>3638</v>
      </c>
      <c r="E36" s="20"/>
      <c r="F36" s="20"/>
      <c r="G36" s="20"/>
      <c r="H36" s="20"/>
    </row>
    <row r="37" customFormat="false" ht="15" hidden="false" customHeight="false" outlineLevel="0" collapsed="false">
      <c r="A37" s="20" t="s">
        <v>3639</v>
      </c>
      <c r="B37" s="20" t="s">
        <v>31</v>
      </c>
      <c r="C37" s="20" t="s">
        <v>1522</v>
      </c>
      <c r="D37" s="21" t="s">
        <v>3640</v>
      </c>
      <c r="E37" s="20" t="s">
        <v>3641</v>
      </c>
      <c r="F37" s="20" t="s">
        <v>3642</v>
      </c>
      <c r="G37" s="20" t="n">
        <v>5</v>
      </c>
      <c r="H37" s="20" t="n">
        <v>1</v>
      </c>
    </row>
    <row r="38" customFormat="false" ht="15" hidden="false" customHeight="false" outlineLevel="0" collapsed="false">
      <c r="A38" s="20" t="s">
        <v>3643</v>
      </c>
      <c r="B38" s="20" t="s">
        <v>31</v>
      </c>
      <c r="C38" s="20" t="s">
        <v>1552</v>
      </c>
      <c r="D38" s="21" t="s">
        <v>3644</v>
      </c>
      <c r="E38" s="20" t="s">
        <v>3645</v>
      </c>
      <c r="F38" s="20"/>
      <c r="G38" s="20" t="n">
        <v>5</v>
      </c>
      <c r="H38" s="20" t="n">
        <v>4</v>
      </c>
    </row>
    <row r="39" customFormat="false" ht="23.85" hidden="false" customHeight="false" outlineLevel="0" collapsed="false">
      <c r="A39" s="20" t="s">
        <v>3646</v>
      </c>
      <c r="B39" s="20" t="s">
        <v>31</v>
      </c>
      <c r="C39" s="20" t="s">
        <v>1552</v>
      </c>
      <c r="D39" s="21" t="s">
        <v>3647</v>
      </c>
      <c r="E39" s="20" t="s">
        <v>3648</v>
      </c>
      <c r="F39" s="20"/>
      <c r="G39" s="20"/>
      <c r="H39" s="20"/>
    </row>
    <row r="40" customFormat="false" ht="23.85" hidden="false" customHeight="false" outlineLevel="0" collapsed="false">
      <c r="A40" s="20" t="s">
        <v>3649</v>
      </c>
      <c r="B40" s="20" t="s">
        <v>32</v>
      </c>
      <c r="C40" s="20" t="s">
        <v>3650</v>
      </c>
      <c r="D40" s="21" t="s">
        <v>3651</v>
      </c>
      <c r="E40" s="20" t="s">
        <v>3652</v>
      </c>
      <c r="F40" s="20" t="s">
        <v>3653</v>
      </c>
      <c r="G40" s="20" t="n">
        <v>4.7</v>
      </c>
      <c r="H40" s="20" t="n">
        <v>10</v>
      </c>
    </row>
    <row r="41" customFormat="false" ht="15" hidden="false" customHeight="false" outlineLevel="0" collapsed="false">
      <c r="A41" s="20" t="s">
        <v>3654</v>
      </c>
      <c r="B41" s="20" t="s">
        <v>25</v>
      </c>
      <c r="C41" s="20" t="s">
        <v>738</v>
      </c>
      <c r="D41" s="21" t="s">
        <v>3655</v>
      </c>
      <c r="E41" s="20"/>
      <c r="F41" s="20"/>
      <c r="G41" s="20" t="n">
        <v>4.3</v>
      </c>
      <c r="H41" s="20" t="n">
        <v>50</v>
      </c>
    </row>
    <row r="42" customFormat="false" ht="35.05" hidden="false" customHeight="false" outlineLevel="0" collapsed="false">
      <c r="A42" s="20" t="s">
        <v>3656</v>
      </c>
      <c r="B42" s="20" t="s">
        <v>19</v>
      </c>
      <c r="C42" s="20" t="s">
        <v>2372</v>
      </c>
      <c r="D42" s="21" t="s">
        <v>3657</v>
      </c>
      <c r="E42" s="20" t="s">
        <v>3658</v>
      </c>
      <c r="F42" s="20" t="s">
        <v>3659</v>
      </c>
      <c r="G42" s="20" t="n">
        <v>4.1</v>
      </c>
      <c r="H42" s="20" t="n">
        <v>692</v>
      </c>
    </row>
    <row r="43" customFormat="false" ht="15" hidden="false" customHeight="false" outlineLevel="0" collapsed="false">
      <c r="A43" s="20" t="s">
        <v>3660</v>
      </c>
      <c r="B43" s="20" t="s">
        <v>21</v>
      </c>
      <c r="C43" s="20" t="s">
        <v>356</v>
      </c>
      <c r="D43" s="21" t="s">
        <v>3661</v>
      </c>
      <c r="E43" s="20" t="s">
        <v>3662</v>
      </c>
      <c r="F43" s="20"/>
      <c r="G43" s="20" t="n">
        <v>4</v>
      </c>
      <c r="H43" s="20" t="n">
        <v>2</v>
      </c>
    </row>
    <row r="44" customFormat="false" ht="23.85" hidden="false" customHeight="false" outlineLevel="0" collapsed="false">
      <c r="A44" s="20" t="s">
        <v>3663</v>
      </c>
      <c r="B44" s="20" t="s">
        <v>31</v>
      </c>
      <c r="C44" s="20" t="s">
        <v>3664</v>
      </c>
      <c r="D44" s="21" t="s">
        <v>3665</v>
      </c>
      <c r="E44" s="20" t="s">
        <v>3666</v>
      </c>
      <c r="F44" s="20"/>
      <c r="G44" s="20" t="n">
        <v>5</v>
      </c>
      <c r="H44" s="20" t="n">
        <v>1</v>
      </c>
    </row>
    <row r="45" customFormat="false" ht="23.85" hidden="false" customHeight="false" outlineLevel="0" collapsed="false">
      <c r="A45" s="20" t="s">
        <v>3667</v>
      </c>
      <c r="B45" s="20" t="s">
        <v>30</v>
      </c>
      <c r="C45" s="20" t="s">
        <v>1330</v>
      </c>
      <c r="D45" s="21" t="s">
        <v>3668</v>
      </c>
      <c r="E45" s="20" t="s">
        <v>3669</v>
      </c>
      <c r="F45" s="20"/>
      <c r="G45" s="20"/>
      <c r="H45" s="20"/>
    </row>
    <row r="46" customFormat="false" ht="15" hidden="false" customHeight="false" outlineLevel="0" collapsed="false">
      <c r="A46" s="20" t="s">
        <v>3670</v>
      </c>
      <c r="B46" s="20" t="s">
        <v>33</v>
      </c>
      <c r="C46" s="20" t="s">
        <v>1986</v>
      </c>
      <c r="D46" s="21" t="s">
        <v>3671</v>
      </c>
      <c r="E46" s="20" t="s">
        <v>3672</v>
      </c>
      <c r="F46" s="20"/>
      <c r="G46" s="20"/>
      <c r="H46" s="20"/>
    </row>
    <row r="47" customFormat="false" ht="23.85" hidden="false" customHeight="false" outlineLevel="0" collapsed="false">
      <c r="A47" s="20" t="s">
        <v>3673</v>
      </c>
      <c r="B47" s="20" t="s">
        <v>34</v>
      </c>
      <c r="C47" s="20" t="s">
        <v>2122</v>
      </c>
      <c r="D47" s="21" t="s">
        <v>3674</v>
      </c>
      <c r="E47" s="20"/>
      <c r="F47" s="20"/>
      <c r="G47" s="20"/>
      <c r="H47" s="20"/>
    </row>
    <row r="48" customFormat="false" ht="15" hidden="false" customHeight="false" outlineLevel="0" collapsed="false">
      <c r="A48" s="20" t="s">
        <v>3675</v>
      </c>
      <c r="B48" s="20" t="s">
        <v>31</v>
      </c>
      <c r="C48" s="20" t="s">
        <v>1552</v>
      </c>
      <c r="D48" s="21" t="s">
        <v>3676</v>
      </c>
      <c r="E48" s="20" t="s">
        <v>3677</v>
      </c>
      <c r="F48" s="20" t="s">
        <v>3678</v>
      </c>
      <c r="G48" s="20" t="n">
        <v>5</v>
      </c>
      <c r="H48" s="20" t="n">
        <v>2</v>
      </c>
    </row>
    <row r="49" customFormat="false" ht="23.85" hidden="false" customHeight="false" outlineLevel="0" collapsed="false">
      <c r="A49" s="20" t="s">
        <v>3679</v>
      </c>
      <c r="B49" s="20" t="s">
        <v>32</v>
      </c>
      <c r="C49" s="20" t="s">
        <v>3680</v>
      </c>
      <c r="D49" s="21" t="s">
        <v>3681</v>
      </c>
      <c r="E49" s="20"/>
      <c r="F49" s="20" t="s">
        <v>3682</v>
      </c>
      <c r="G49" s="20" t="n">
        <v>4.4</v>
      </c>
      <c r="H49" s="20" t="n">
        <v>24</v>
      </c>
    </row>
    <row r="50" customFormat="false" ht="23.85" hidden="false" customHeight="false" outlineLevel="0" collapsed="false">
      <c r="A50" s="20" t="s">
        <v>3683</v>
      </c>
      <c r="B50" s="20" t="s">
        <v>28</v>
      </c>
      <c r="C50" s="20" t="s">
        <v>892</v>
      </c>
      <c r="D50" s="21" t="s">
        <v>3684</v>
      </c>
      <c r="E50" s="20" t="s">
        <v>3685</v>
      </c>
      <c r="F50" s="20"/>
      <c r="G50" s="20"/>
      <c r="H50" s="20"/>
    </row>
    <row r="51" customFormat="false" ht="15" hidden="false" customHeight="false" outlineLevel="0" collapsed="false">
      <c r="A51" s="20" t="s">
        <v>3686</v>
      </c>
      <c r="B51" s="20" t="s">
        <v>26</v>
      </c>
      <c r="C51" s="20" t="s">
        <v>811</v>
      </c>
      <c r="D51" s="21" t="s">
        <v>3687</v>
      </c>
      <c r="E51" s="20"/>
      <c r="F51" s="20"/>
      <c r="G51" s="20"/>
      <c r="H51" s="20"/>
    </row>
    <row r="52" customFormat="false" ht="15" hidden="false" customHeight="false" outlineLevel="0" collapsed="false">
      <c r="A52" s="20" t="s">
        <v>3688</v>
      </c>
      <c r="B52" s="20" t="s">
        <v>31</v>
      </c>
      <c r="C52" s="20" t="s">
        <v>1552</v>
      </c>
      <c r="D52" s="21" t="s">
        <v>3689</v>
      </c>
      <c r="E52" s="20" t="s">
        <v>3690</v>
      </c>
      <c r="F52" s="20" t="s">
        <v>3691</v>
      </c>
      <c r="G52" s="20" t="n">
        <v>5</v>
      </c>
      <c r="H52" s="20" t="n">
        <v>3</v>
      </c>
    </row>
    <row r="53" customFormat="false" ht="23.85" hidden="false" customHeight="false" outlineLevel="0" collapsed="false">
      <c r="A53" s="20" t="s">
        <v>3692</v>
      </c>
      <c r="B53" s="20" t="s">
        <v>19</v>
      </c>
      <c r="C53" s="20" t="s">
        <v>3693</v>
      </c>
      <c r="D53" s="21" t="s">
        <v>3694</v>
      </c>
      <c r="E53" s="20" t="s">
        <v>3695</v>
      </c>
      <c r="F53" s="20"/>
      <c r="G53" s="20" t="n">
        <v>2</v>
      </c>
      <c r="H53" s="20" t="n">
        <v>1</v>
      </c>
    </row>
    <row r="54" customFormat="false" ht="15" hidden="false" customHeight="false" outlineLevel="0" collapsed="false">
      <c r="A54" s="20" t="s">
        <v>3696</v>
      </c>
      <c r="B54" s="20" t="s">
        <v>21</v>
      </c>
      <c r="C54" s="20" t="s">
        <v>347</v>
      </c>
      <c r="D54" s="21" t="s">
        <v>3697</v>
      </c>
      <c r="E54" s="20" t="s">
        <v>3698</v>
      </c>
      <c r="F54" s="20"/>
      <c r="G54" s="20"/>
      <c r="H54" s="20"/>
    </row>
    <row r="55" customFormat="false" ht="15" hidden="false" customHeight="false" outlineLevel="0" collapsed="false">
      <c r="A55" s="20" t="s">
        <v>3699</v>
      </c>
      <c r="B55" s="20" t="s">
        <v>26</v>
      </c>
      <c r="C55" s="20" t="s">
        <v>3700</v>
      </c>
      <c r="D55" s="21" t="s">
        <v>3701</v>
      </c>
      <c r="E55" s="20" t="s">
        <v>3702</v>
      </c>
      <c r="F55" s="20"/>
      <c r="G55" s="20"/>
      <c r="H55" s="20"/>
    </row>
    <row r="56" customFormat="false" ht="23.85" hidden="false" customHeight="false" outlineLevel="0" collapsed="false">
      <c r="A56" s="20" t="s">
        <v>3703</v>
      </c>
      <c r="B56" s="20" t="s">
        <v>28</v>
      </c>
      <c r="C56" s="20" t="s">
        <v>3704</v>
      </c>
      <c r="D56" s="21" t="s">
        <v>3705</v>
      </c>
      <c r="E56" s="20" t="s">
        <v>3706</v>
      </c>
      <c r="F56" s="20"/>
      <c r="G56" s="20" t="n">
        <v>5</v>
      </c>
      <c r="H56" s="20" t="n">
        <v>2</v>
      </c>
    </row>
    <row r="57" customFormat="false" ht="23.85" hidden="false" customHeight="false" outlineLevel="0" collapsed="false">
      <c r="A57" s="20" t="s">
        <v>3707</v>
      </c>
      <c r="B57" s="20" t="s">
        <v>30</v>
      </c>
      <c r="C57" s="20" t="s">
        <v>1377</v>
      </c>
      <c r="D57" s="21" t="s">
        <v>3708</v>
      </c>
      <c r="E57" s="20" t="s">
        <v>3709</v>
      </c>
      <c r="F57" s="20"/>
      <c r="G57" s="20"/>
      <c r="H57" s="20"/>
    </row>
    <row r="58" customFormat="false" ht="15" hidden="false" customHeight="false" outlineLevel="0" collapsed="false">
      <c r="A58" s="20" t="s">
        <v>3710</v>
      </c>
      <c r="B58" s="20" t="s">
        <v>18</v>
      </c>
      <c r="C58" s="20" t="s">
        <v>82</v>
      </c>
      <c r="D58" s="21" t="s">
        <v>3711</v>
      </c>
      <c r="E58" s="20"/>
      <c r="F58" s="20"/>
      <c r="G58" s="20" t="n">
        <v>5</v>
      </c>
      <c r="H58" s="20" t="n">
        <v>3</v>
      </c>
    </row>
    <row r="59" customFormat="false" ht="15" hidden="false" customHeight="false" outlineLevel="0" collapsed="false">
      <c r="A59" s="20" t="s">
        <v>3712</v>
      </c>
      <c r="B59" s="20" t="s">
        <v>32</v>
      </c>
      <c r="C59" s="20" t="s">
        <v>3650</v>
      </c>
      <c r="D59" s="21" t="s">
        <v>3713</v>
      </c>
      <c r="E59" s="20" t="s">
        <v>3714</v>
      </c>
      <c r="F59" s="20"/>
      <c r="G59" s="20" t="n">
        <v>5</v>
      </c>
      <c r="H59" s="20" t="n">
        <v>19</v>
      </c>
    </row>
    <row r="60" customFormat="false" ht="23.85" hidden="false" customHeight="false" outlineLevel="0" collapsed="false">
      <c r="A60" s="20" t="s">
        <v>3715</v>
      </c>
      <c r="B60" s="20" t="s">
        <v>25</v>
      </c>
      <c r="C60" s="20" t="s">
        <v>738</v>
      </c>
      <c r="D60" s="21" t="s">
        <v>3716</v>
      </c>
      <c r="E60" s="20"/>
      <c r="F60" s="20"/>
      <c r="G60" s="20" t="n">
        <v>4.7</v>
      </c>
      <c r="H60" s="20" t="n">
        <v>3</v>
      </c>
    </row>
    <row r="61" customFormat="false" ht="23.85" hidden="false" customHeight="false" outlineLevel="0" collapsed="false">
      <c r="A61" s="20" t="s">
        <v>3717</v>
      </c>
      <c r="B61" s="20" t="s">
        <v>18</v>
      </c>
      <c r="C61" s="20" t="s">
        <v>2262</v>
      </c>
      <c r="D61" s="21" t="s">
        <v>3718</v>
      </c>
      <c r="E61" s="20"/>
      <c r="F61" s="20"/>
      <c r="G61" s="20" t="n">
        <v>3.9</v>
      </c>
      <c r="H61" s="20" t="n">
        <v>69</v>
      </c>
    </row>
    <row r="62" customFormat="false" ht="23.85" hidden="false" customHeight="false" outlineLevel="0" collapsed="false">
      <c r="A62" s="20" t="s">
        <v>3719</v>
      </c>
      <c r="B62" s="20" t="s">
        <v>32</v>
      </c>
      <c r="C62" s="20" t="s">
        <v>1706</v>
      </c>
      <c r="D62" s="21" t="s">
        <v>3720</v>
      </c>
      <c r="E62" s="20"/>
      <c r="F62" s="20" t="s">
        <v>3721</v>
      </c>
      <c r="G62" s="20" t="n">
        <v>5</v>
      </c>
      <c r="H62" s="20" t="n">
        <v>1</v>
      </c>
    </row>
    <row r="63" customFormat="false" ht="23.85" hidden="false" customHeight="false" outlineLevel="0" collapsed="false">
      <c r="A63" s="20" t="s">
        <v>3722</v>
      </c>
      <c r="B63" s="20" t="s">
        <v>32</v>
      </c>
      <c r="C63" s="20" t="s">
        <v>3650</v>
      </c>
      <c r="D63" s="21" t="s">
        <v>3723</v>
      </c>
      <c r="E63" s="20" t="s">
        <v>3724</v>
      </c>
      <c r="F63" s="20"/>
      <c r="G63" s="20" t="n">
        <v>4.8</v>
      </c>
      <c r="H63" s="20" t="n">
        <v>41</v>
      </c>
    </row>
    <row r="64" customFormat="false" ht="15" hidden="false" customHeight="false" outlineLevel="0" collapsed="false">
      <c r="A64" s="20" t="s">
        <v>3725</v>
      </c>
      <c r="B64" s="20" t="s">
        <v>31</v>
      </c>
      <c r="C64" s="20" t="s">
        <v>1552</v>
      </c>
      <c r="D64" s="21" t="s">
        <v>3726</v>
      </c>
      <c r="E64" s="20" t="s">
        <v>3727</v>
      </c>
      <c r="F64" s="20"/>
      <c r="G64" s="20" t="n">
        <v>3</v>
      </c>
      <c r="H64" s="20" t="n">
        <v>1</v>
      </c>
    </row>
    <row r="65" customFormat="false" ht="35.05" hidden="false" customHeight="false" outlineLevel="0" collapsed="false">
      <c r="A65" s="20" t="s">
        <v>3728</v>
      </c>
      <c r="B65" s="20" t="s">
        <v>29</v>
      </c>
      <c r="C65" s="20" t="s">
        <v>3729</v>
      </c>
      <c r="D65" s="21" t="s">
        <v>3730</v>
      </c>
      <c r="E65" s="20"/>
      <c r="F65" s="20"/>
      <c r="G65" s="20"/>
      <c r="H65" s="20"/>
    </row>
    <row r="66" customFormat="false" ht="23.85" hidden="false" customHeight="false" outlineLevel="0" collapsed="false">
      <c r="A66" s="20" t="s">
        <v>3731</v>
      </c>
      <c r="B66" s="20" t="s">
        <v>33</v>
      </c>
      <c r="C66" s="20" t="s">
        <v>3332</v>
      </c>
      <c r="D66" s="21" t="s">
        <v>3732</v>
      </c>
      <c r="E66" s="20" t="s">
        <v>3733</v>
      </c>
      <c r="F66" s="20"/>
      <c r="G66" s="20"/>
      <c r="H66" s="20"/>
    </row>
    <row r="67" customFormat="false" ht="23.85" hidden="false" customHeight="false" outlineLevel="0" collapsed="false">
      <c r="A67" s="20" t="s">
        <v>3734</v>
      </c>
      <c r="B67" s="20" t="s">
        <v>32</v>
      </c>
      <c r="C67" s="20" t="s">
        <v>1767</v>
      </c>
      <c r="D67" s="21" t="s">
        <v>3735</v>
      </c>
      <c r="E67" s="20" t="s">
        <v>3736</v>
      </c>
      <c r="F67" s="20"/>
      <c r="G67" s="20"/>
      <c r="H67" s="20"/>
    </row>
    <row r="68" customFormat="false" ht="15" hidden="false" customHeight="false" outlineLevel="0" collapsed="false">
      <c r="A68" s="20" t="s">
        <v>3737</v>
      </c>
      <c r="B68" s="20" t="s">
        <v>19</v>
      </c>
      <c r="C68" s="20" t="s">
        <v>3637</v>
      </c>
      <c r="D68" s="21" t="s">
        <v>3738</v>
      </c>
      <c r="E68" s="20"/>
      <c r="F68" s="20"/>
      <c r="G68" s="20"/>
      <c r="H68" s="20"/>
    </row>
    <row r="69" customFormat="false" ht="15" hidden="false" customHeight="false" outlineLevel="0" collapsed="false">
      <c r="A69" s="20" t="s">
        <v>3739</v>
      </c>
      <c r="B69" s="20" t="s">
        <v>21</v>
      </c>
      <c r="C69" s="20" t="s">
        <v>356</v>
      </c>
      <c r="D69" s="21" t="s">
        <v>3740</v>
      </c>
      <c r="E69" s="20" t="s">
        <v>3741</v>
      </c>
      <c r="F69" s="20"/>
      <c r="G69" s="20"/>
      <c r="H69" s="20"/>
    </row>
    <row r="70" customFormat="false" ht="23.85" hidden="false" customHeight="false" outlineLevel="0" collapsed="false">
      <c r="A70" s="20" t="s">
        <v>3742</v>
      </c>
      <c r="B70" s="20" t="s">
        <v>26</v>
      </c>
      <c r="C70" s="20" t="s">
        <v>3743</v>
      </c>
      <c r="D70" s="21" t="s">
        <v>3744</v>
      </c>
      <c r="E70" s="20" t="s">
        <v>3745</v>
      </c>
      <c r="F70" s="20"/>
      <c r="G70" s="20" t="n">
        <v>5</v>
      </c>
      <c r="H70" s="20" t="n">
        <v>3</v>
      </c>
    </row>
    <row r="71" customFormat="false" ht="15" hidden="false" customHeight="false" outlineLevel="0" collapsed="false">
      <c r="A71" s="20" t="s">
        <v>3746</v>
      </c>
      <c r="B71" s="20" t="s">
        <v>34</v>
      </c>
      <c r="C71" s="20" t="s">
        <v>2073</v>
      </c>
      <c r="D71" s="21" t="s">
        <v>3747</v>
      </c>
      <c r="E71" s="20" t="s">
        <v>3748</v>
      </c>
      <c r="F71" s="20"/>
      <c r="G71" s="20" t="n">
        <v>4</v>
      </c>
      <c r="H71" s="20" t="n">
        <v>1</v>
      </c>
    </row>
    <row r="72" customFormat="false" ht="23.85" hidden="false" customHeight="false" outlineLevel="0" collapsed="false">
      <c r="A72" s="20" t="s">
        <v>3749</v>
      </c>
      <c r="B72" s="20" t="s">
        <v>30</v>
      </c>
      <c r="C72" s="20" t="s">
        <v>1330</v>
      </c>
      <c r="D72" s="21" t="s">
        <v>3750</v>
      </c>
      <c r="E72" s="20" t="s">
        <v>3751</v>
      </c>
      <c r="F72" s="20"/>
      <c r="G72" s="20"/>
      <c r="H72" s="20"/>
    </row>
    <row r="73" customFormat="false" ht="15" hidden="false" customHeight="false" outlineLevel="0" collapsed="false">
      <c r="A73" s="20" t="s">
        <v>3752</v>
      </c>
      <c r="B73" s="20" t="s">
        <v>25</v>
      </c>
      <c r="C73" s="20" t="s">
        <v>738</v>
      </c>
      <c r="D73" s="21" t="s">
        <v>3753</v>
      </c>
      <c r="E73" s="20" t="s">
        <v>3754</v>
      </c>
      <c r="F73" s="20"/>
      <c r="G73" s="20"/>
      <c r="H73" s="20"/>
    </row>
    <row r="74" customFormat="false" ht="15" hidden="false" customHeight="false" outlineLevel="0" collapsed="false">
      <c r="A74" s="20" t="s">
        <v>3755</v>
      </c>
      <c r="B74" s="20" t="s">
        <v>21</v>
      </c>
      <c r="C74" s="20" t="s">
        <v>446</v>
      </c>
      <c r="D74" s="21" t="s">
        <v>3756</v>
      </c>
      <c r="E74" s="20" t="s">
        <v>3757</v>
      </c>
      <c r="F74" s="20"/>
      <c r="G74" s="20"/>
      <c r="H74" s="20"/>
    </row>
    <row r="75" customFormat="false" ht="35.05" hidden="false" customHeight="false" outlineLevel="0" collapsed="false">
      <c r="A75" s="20" t="s">
        <v>3758</v>
      </c>
      <c r="B75" s="20" t="s">
        <v>21</v>
      </c>
      <c r="C75" s="20" t="s">
        <v>356</v>
      </c>
      <c r="D75" s="21" t="s">
        <v>3759</v>
      </c>
      <c r="E75" s="20" t="s">
        <v>3760</v>
      </c>
      <c r="F75" s="20"/>
      <c r="G75" s="20" t="n">
        <v>4.9</v>
      </c>
      <c r="H75" s="20" t="n">
        <v>21</v>
      </c>
    </row>
    <row r="76" customFormat="false" ht="15" hidden="false" customHeight="false" outlineLevel="0" collapsed="false">
      <c r="A76" s="20" t="s">
        <v>3761</v>
      </c>
      <c r="B76" s="20" t="s">
        <v>35</v>
      </c>
      <c r="C76" s="20" t="s">
        <v>2202</v>
      </c>
      <c r="D76" s="21" t="s">
        <v>3762</v>
      </c>
      <c r="E76" s="20" t="s">
        <v>3763</v>
      </c>
      <c r="F76" s="20"/>
      <c r="G76" s="20"/>
      <c r="H76" s="20"/>
    </row>
    <row r="77" customFormat="false" ht="15" hidden="false" customHeight="false" outlineLevel="0" collapsed="false">
      <c r="A77" s="20" t="s">
        <v>3764</v>
      </c>
      <c r="B77" s="20"/>
      <c r="C77" s="20" t="s">
        <v>3765</v>
      </c>
      <c r="D77" s="21" t="s">
        <v>3766</v>
      </c>
      <c r="E77" s="20"/>
      <c r="F77" s="20"/>
      <c r="G77" s="20" t="n">
        <v>3</v>
      </c>
      <c r="H77" s="20" t="n">
        <v>2</v>
      </c>
    </row>
    <row r="78" customFormat="false" ht="23.85" hidden="false" customHeight="false" outlineLevel="0" collapsed="false">
      <c r="A78" s="20" t="s">
        <v>3767</v>
      </c>
      <c r="B78" s="20" t="s">
        <v>32</v>
      </c>
      <c r="C78" s="20" t="s">
        <v>3650</v>
      </c>
      <c r="D78" s="21" t="s">
        <v>3768</v>
      </c>
      <c r="E78" s="20" t="s">
        <v>3769</v>
      </c>
      <c r="F78" s="20" t="s">
        <v>3770</v>
      </c>
      <c r="G78" s="20" t="n">
        <v>5</v>
      </c>
      <c r="H78" s="20" t="n">
        <v>21</v>
      </c>
    </row>
    <row r="79" customFormat="false" ht="15" hidden="false" customHeight="false" outlineLevel="0" collapsed="false">
      <c r="A79" s="20" t="s">
        <v>3771</v>
      </c>
      <c r="B79" s="20" t="s">
        <v>27</v>
      </c>
      <c r="C79" s="20" t="s">
        <v>3772</v>
      </c>
      <c r="D79" s="21" t="s">
        <v>3773</v>
      </c>
      <c r="E79" s="20"/>
      <c r="F79" s="20"/>
      <c r="G79" s="20" t="n">
        <v>3.8</v>
      </c>
      <c r="H79" s="20" t="n">
        <v>4</v>
      </c>
    </row>
    <row r="80" customFormat="false" ht="23.85" hidden="false" customHeight="false" outlineLevel="0" collapsed="false">
      <c r="A80" s="20" t="s">
        <v>3774</v>
      </c>
      <c r="B80" s="20" t="s">
        <v>21</v>
      </c>
      <c r="C80" s="20" t="s">
        <v>2467</v>
      </c>
      <c r="D80" s="21" t="s">
        <v>3775</v>
      </c>
      <c r="E80" s="20" t="s">
        <v>3776</v>
      </c>
      <c r="F80" s="20"/>
      <c r="G80" s="20" t="n">
        <v>2</v>
      </c>
      <c r="H80" s="20" t="n">
        <v>2</v>
      </c>
    </row>
    <row r="81" customFormat="false" ht="23.85" hidden="false" customHeight="false" outlineLevel="0" collapsed="false">
      <c r="A81" s="20" t="s">
        <v>3777</v>
      </c>
      <c r="B81" s="20" t="s">
        <v>26</v>
      </c>
      <c r="C81" s="20" t="s">
        <v>2865</v>
      </c>
      <c r="D81" s="21" t="s">
        <v>3778</v>
      </c>
      <c r="E81" s="20" t="s">
        <v>3779</v>
      </c>
      <c r="F81" s="20"/>
      <c r="G81" s="20" t="n">
        <v>4.5</v>
      </c>
      <c r="H81" s="20" t="n">
        <v>15</v>
      </c>
    </row>
    <row r="82" customFormat="false" ht="15" hidden="false" customHeight="false" outlineLevel="0" collapsed="false">
      <c r="A82" s="20" t="s">
        <v>3780</v>
      </c>
      <c r="B82" s="20" t="s">
        <v>18</v>
      </c>
      <c r="C82" s="20" t="s">
        <v>82</v>
      </c>
      <c r="D82" s="21" t="s">
        <v>3781</v>
      </c>
      <c r="E82" s="20"/>
      <c r="F82" s="20"/>
      <c r="G82" s="20" t="n">
        <v>3.6</v>
      </c>
      <c r="H82" s="20" t="n">
        <v>109</v>
      </c>
    </row>
    <row r="83" customFormat="false" ht="23.85" hidden="false" customHeight="false" outlineLevel="0" collapsed="false">
      <c r="A83" s="20" t="s">
        <v>3782</v>
      </c>
      <c r="B83" s="20" t="s">
        <v>34</v>
      </c>
      <c r="C83" s="20" t="s">
        <v>2090</v>
      </c>
      <c r="D83" s="21" t="s">
        <v>3783</v>
      </c>
      <c r="E83" s="20" t="s">
        <v>3784</v>
      </c>
      <c r="F83" s="20"/>
      <c r="G83" s="20"/>
      <c r="H83" s="20"/>
    </row>
    <row r="84" customFormat="false" ht="23.85" hidden="false" customHeight="false" outlineLevel="0" collapsed="false">
      <c r="A84" s="20" t="s">
        <v>3785</v>
      </c>
      <c r="B84" s="20" t="s">
        <v>32</v>
      </c>
      <c r="C84" s="20" t="s">
        <v>1734</v>
      </c>
      <c r="D84" s="21" t="s">
        <v>3786</v>
      </c>
      <c r="E84" s="20" t="s">
        <v>3787</v>
      </c>
      <c r="F84" s="20"/>
      <c r="G84" s="20" t="n">
        <v>4.9</v>
      </c>
      <c r="H84" s="20" t="n">
        <v>26</v>
      </c>
    </row>
    <row r="85" customFormat="false" ht="15" hidden="false" customHeight="false" outlineLevel="0" collapsed="false">
      <c r="A85" s="20" t="s">
        <v>3788</v>
      </c>
      <c r="B85" s="20" t="s">
        <v>32</v>
      </c>
      <c r="C85" s="20" t="s">
        <v>1879</v>
      </c>
      <c r="D85" s="21" t="s">
        <v>3789</v>
      </c>
      <c r="E85" s="20" t="s">
        <v>3790</v>
      </c>
      <c r="F85" s="20"/>
      <c r="G85" s="20" t="n">
        <v>5</v>
      </c>
      <c r="H85" s="20" t="n">
        <v>2</v>
      </c>
    </row>
    <row r="86" customFormat="false" ht="23.85" hidden="false" customHeight="false" outlineLevel="0" collapsed="false">
      <c r="A86" s="20" t="s">
        <v>3791</v>
      </c>
      <c r="B86" s="20" t="s">
        <v>25</v>
      </c>
      <c r="C86" s="20" t="s">
        <v>738</v>
      </c>
      <c r="D86" s="21" t="s">
        <v>3792</v>
      </c>
      <c r="E86" s="20" t="s">
        <v>3793</v>
      </c>
      <c r="F86" s="20"/>
      <c r="G86" s="20" t="n">
        <v>4.4</v>
      </c>
      <c r="H86" s="20" t="n">
        <v>5</v>
      </c>
    </row>
    <row r="87" customFormat="false" ht="15" hidden="false" customHeight="false" outlineLevel="0" collapsed="false">
      <c r="A87" s="20" t="s">
        <v>3794</v>
      </c>
      <c r="B87" s="20" t="s">
        <v>32</v>
      </c>
      <c r="C87" s="20" t="s">
        <v>3650</v>
      </c>
      <c r="D87" s="21" t="s">
        <v>3795</v>
      </c>
      <c r="E87" s="20" t="s">
        <v>3796</v>
      </c>
      <c r="F87" s="20" t="s">
        <v>3797</v>
      </c>
      <c r="G87" s="20" t="n">
        <v>5</v>
      </c>
      <c r="H87" s="20" t="n">
        <v>1</v>
      </c>
    </row>
    <row r="88" customFormat="false" ht="23.85" hidden="false" customHeight="false" outlineLevel="0" collapsed="false">
      <c r="A88" s="20" t="s">
        <v>3798</v>
      </c>
      <c r="B88" s="20" t="s">
        <v>28</v>
      </c>
      <c r="C88" s="20" t="s">
        <v>1076</v>
      </c>
      <c r="D88" s="21" t="s">
        <v>3799</v>
      </c>
      <c r="E88" s="20" t="s">
        <v>3800</v>
      </c>
      <c r="F88" s="20"/>
      <c r="G88" s="20"/>
      <c r="H88" s="20"/>
    </row>
    <row r="89" customFormat="false" ht="23.85" hidden="false" customHeight="false" outlineLevel="0" collapsed="false">
      <c r="A89" s="20" t="s">
        <v>3801</v>
      </c>
      <c r="B89" s="20" t="s">
        <v>33</v>
      </c>
      <c r="C89" s="20" t="s">
        <v>3332</v>
      </c>
      <c r="D89" s="21" t="s">
        <v>3802</v>
      </c>
      <c r="E89" s="20"/>
      <c r="F89" s="20"/>
      <c r="G89" s="20" t="n">
        <v>5</v>
      </c>
      <c r="H89" s="20" t="n">
        <v>1</v>
      </c>
    </row>
    <row r="90" customFormat="false" ht="15" hidden="false" customHeight="false" outlineLevel="0" collapsed="false">
      <c r="A90" s="20" t="s">
        <v>901</v>
      </c>
      <c r="B90" s="20" t="s">
        <v>28</v>
      </c>
      <c r="C90" s="20" t="s">
        <v>901</v>
      </c>
      <c r="D90" s="21" t="s">
        <v>3803</v>
      </c>
      <c r="E90" s="20" t="s">
        <v>3804</v>
      </c>
      <c r="F90" s="20"/>
      <c r="G90" s="20" t="n">
        <v>4</v>
      </c>
      <c r="H90" s="20" t="n">
        <v>1</v>
      </c>
    </row>
    <row r="91" customFormat="false" ht="15" hidden="false" customHeight="false" outlineLevel="0" collapsed="false">
      <c r="A91" s="20" t="s">
        <v>3805</v>
      </c>
      <c r="B91" s="20" t="s">
        <v>33</v>
      </c>
      <c r="C91" s="20" t="s">
        <v>3806</v>
      </c>
      <c r="D91" s="21" t="s">
        <v>3807</v>
      </c>
      <c r="E91" s="20" t="s">
        <v>3808</v>
      </c>
      <c r="F91" s="20"/>
      <c r="G91" s="20"/>
      <c r="H91" s="20"/>
    </row>
    <row r="92" customFormat="false" ht="23.85" hidden="false" customHeight="false" outlineLevel="0" collapsed="false">
      <c r="A92" s="20" t="s">
        <v>3809</v>
      </c>
      <c r="B92" s="20" t="s">
        <v>33</v>
      </c>
      <c r="C92" s="20" t="s">
        <v>3810</v>
      </c>
      <c r="D92" s="21" t="s">
        <v>3811</v>
      </c>
      <c r="E92" s="20" t="s">
        <v>3812</v>
      </c>
      <c r="F92" s="20" t="s">
        <v>3813</v>
      </c>
      <c r="G92" s="20" t="n">
        <v>4.4</v>
      </c>
      <c r="H92" s="20" t="n">
        <v>11</v>
      </c>
    </row>
    <row r="93" customFormat="false" ht="15" hidden="false" customHeight="false" outlineLevel="0" collapsed="false">
      <c r="A93" s="20" t="s">
        <v>3814</v>
      </c>
      <c r="B93" s="20" t="s">
        <v>33</v>
      </c>
      <c r="C93" s="20" t="s">
        <v>719</v>
      </c>
      <c r="D93" s="21" t="s">
        <v>3815</v>
      </c>
      <c r="E93" s="20" t="s">
        <v>3816</v>
      </c>
      <c r="F93" s="20"/>
      <c r="G93" s="20"/>
      <c r="H93" s="20"/>
    </row>
    <row r="94" customFormat="false" ht="23.85" hidden="false" customHeight="false" outlineLevel="0" collapsed="false">
      <c r="A94" s="20" t="s">
        <v>3817</v>
      </c>
      <c r="B94" s="20" t="s">
        <v>33</v>
      </c>
      <c r="C94" s="20" t="s">
        <v>719</v>
      </c>
      <c r="D94" s="21" t="s">
        <v>3818</v>
      </c>
      <c r="E94" s="20" t="s">
        <v>3819</v>
      </c>
      <c r="F94" s="20"/>
      <c r="G94" s="20" t="n">
        <v>4.5</v>
      </c>
      <c r="H94" s="20" t="n">
        <v>68</v>
      </c>
    </row>
    <row r="95" customFormat="false" ht="15" hidden="false" customHeight="false" outlineLevel="0" collapsed="false">
      <c r="A95" s="20" t="s">
        <v>3820</v>
      </c>
      <c r="B95" s="20" t="s">
        <v>33</v>
      </c>
      <c r="C95" s="20" t="s">
        <v>2013</v>
      </c>
      <c r="D95" s="21" t="s">
        <v>3821</v>
      </c>
      <c r="E95" s="20" t="s">
        <v>3822</v>
      </c>
      <c r="F95" s="20" t="s">
        <v>3823</v>
      </c>
      <c r="G95" s="20" t="n">
        <v>4</v>
      </c>
      <c r="H95" s="20" t="n">
        <v>178</v>
      </c>
    </row>
    <row r="96" customFormat="false" ht="23.85" hidden="false" customHeight="false" outlineLevel="0" collapsed="false">
      <c r="A96" s="20" t="s">
        <v>3824</v>
      </c>
      <c r="B96" s="20" t="s">
        <v>33</v>
      </c>
      <c r="C96" s="20" t="s">
        <v>719</v>
      </c>
      <c r="D96" s="21" t="s">
        <v>3825</v>
      </c>
      <c r="E96" s="20" t="s">
        <v>3826</v>
      </c>
      <c r="F96" s="20"/>
      <c r="G96" s="20"/>
      <c r="H96" s="20"/>
    </row>
    <row r="97" customFormat="false" ht="23.85" hidden="false" customHeight="false" outlineLevel="0" collapsed="false">
      <c r="A97" s="20" t="s">
        <v>3827</v>
      </c>
      <c r="B97" s="20" t="s">
        <v>33</v>
      </c>
      <c r="C97" s="20" t="s">
        <v>719</v>
      </c>
      <c r="D97" s="21" t="s">
        <v>3828</v>
      </c>
      <c r="E97" s="20" t="s">
        <v>3829</v>
      </c>
      <c r="F97" s="20"/>
      <c r="G97" s="20"/>
      <c r="H97" s="20"/>
    </row>
    <row r="98" customFormat="false" ht="15" hidden="false" customHeight="false" outlineLevel="0" collapsed="false">
      <c r="A98" s="20" t="s">
        <v>3830</v>
      </c>
      <c r="B98" s="20" t="s">
        <v>34</v>
      </c>
      <c r="C98" s="20" t="s">
        <v>2122</v>
      </c>
      <c r="D98" s="21" t="s">
        <v>3831</v>
      </c>
      <c r="E98" s="20" t="s">
        <v>3832</v>
      </c>
      <c r="F98" s="20"/>
      <c r="G98" s="20"/>
      <c r="H98" s="20"/>
    </row>
    <row r="99" customFormat="false" ht="23.85" hidden="false" customHeight="false" outlineLevel="0" collapsed="false">
      <c r="A99" s="20" t="s">
        <v>3833</v>
      </c>
      <c r="B99" s="20" t="s">
        <v>34</v>
      </c>
      <c r="C99" s="20" t="s">
        <v>2062</v>
      </c>
      <c r="D99" s="21" t="s">
        <v>3834</v>
      </c>
      <c r="E99" s="20" t="s">
        <v>3835</v>
      </c>
      <c r="F99" s="20" t="s">
        <v>3836</v>
      </c>
      <c r="G99" s="20" t="n">
        <v>5</v>
      </c>
      <c r="H99" s="20" t="n">
        <v>1</v>
      </c>
    </row>
    <row r="100" customFormat="false" ht="15" hidden="false" customHeight="false" outlineLevel="0" collapsed="false">
      <c r="A100" s="20" t="s">
        <v>3837</v>
      </c>
      <c r="B100" s="20" t="s">
        <v>18</v>
      </c>
      <c r="C100" s="20" t="s">
        <v>82</v>
      </c>
      <c r="D100" s="21" t="s">
        <v>3838</v>
      </c>
      <c r="E100" s="20" t="s">
        <v>3839</v>
      </c>
      <c r="F100" s="20"/>
      <c r="G100" s="20" t="n">
        <v>4.3</v>
      </c>
      <c r="H100" s="20" t="n">
        <v>1405</v>
      </c>
    </row>
    <row r="101" customFormat="false" ht="15" hidden="false" customHeight="false" outlineLevel="0" collapsed="false">
      <c r="A101" s="20" t="s">
        <v>3840</v>
      </c>
      <c r="B101" s="20" t="s">
        <v>20</v>
      </c>
      <c r="C101" s="20" t="s">
        <v>2386</v>
      </c>
      <c r="D101" s="21" t="s">
        <v>3841</v>
      </c>
      <c r="E101" s="20" t="s">
        <v>3842</v>
      </c>
      <c r="F101" s="20"/>
      <c r="G101" s="20" t="n">
        <v>2.7</v>
      </c>
      <c r="H101" s="20" t="n">
        <v>6</v>
      </c>
    </row>
    <row r="102" customFormat="false" ht="23.85" hidden="false" customHeight="false" outlineLevel="0" collapsed="false">
      <c r="A102" s="20" t="s">
        <v>3843</v>
      </c>
      <c r="B102" s="20" t="s">
        <v>31</v>
      </c>
      <c r="C102" s="20" t="s">
        <v>1542</v>
      </c>
      <c r="D102" s="21" t="s">
        <v>3844</v>
      </c>
      <c r="E102" s="20" t="s">
        <v>3845</v>
      </c>
      <c r="F102" s="20" t="s">
        <v>3846</v>
      </c>
      <c r="G102" s="20" t="n">
        <v>4.8</v>
      </c>
      <c r="H102" s="20" t="n">
        <v>4</v>
      </c>
    </row>
    <row r="103" customFormat="false" ht="23.85" hidden="false" customHeight="false" outlineLevel="0" collapsed="false">
      <c r="A103" s="20" t="s">
        <v>3847</v>
      </c>
      <c r="B103" s="20" t="s">
        <v>29</v>
      </c>
      <c r="C103" s="20" t="s">
        <v>3848</v>
      </c>
      <c r="D103" s="21" t="s">
        <v>3849</v>
      </c>
      <c r="E103" s="20"/>
      <c r="F103" s="20" t="s">
        <v>3850</v>
      </c>
      <c r="G103" s="20" t="n">
        <v>5</v>
      </c>
      <c r="H103" s="20" t="n">
        <v>7</v>
      </c>
    </row>
    <row r="104" customFormat="false" ht="15" hidden="false" customHeight="false" outlineLevel="0" collapsed="false">
      <c r="A104" s="20" t="s">
        <v>3851</v>
      </c>
      <c r="B104" s="20" t="s">
        <v>32</v>
      </c>
      <c r="C104" s="20" t="s">
        <v>3650</v>
      </c>
      <c r="D104" s="21" t="s">
        <v>3852</v>
      </c>
      <c r="E104" s="20" t="s">
        <v>3853</v>
      </c>
      <c r="F104" s="20"/>
      <c r="G104" s="20"/>
      <c r="H104" s="20"/>
    </row>
    <row r="105" customFormat="false" ht="15" hidden="false" customHeight="false" outlineLevel="0" collapsed="false">
      <c r="A105" s="20" t="s">
        <v>3854</v>
      </c>
      <c r="B105" s="20" t="s">
        <v>21</v>
      </c>
      <c r="C105" s="20" t="s">
        <v>347</v>
      </c>
      <c r="D105" s="21" t="s">
        <v>3855</v>
      </c>
      <c r="E105" s="20" t="s">
        <v>3856</v>
      </c>
      <c r="F105" s="20"/>
      <c r="G105" s="20" t="n">
        <v>4.8</v>
      </c>
      <c r="H105" s="20" t="n">
        <v>106</v>
      </c>
    </row>
    <row r="106" customFormat="false" ht="23.85" hidden="false" customHeight="false" outlineLevel="0" collapsed="false">
      <c r="A106" s="20" t="s">
        <v>3857</v>
      </c>
      <c r="B106" s="20" t="s">
        <v>26</v>
      </c>
      <c r="C106" s="20" t="s">
        <v>3743</v>
      </c>
      <c r="D106" s="21" t="s">
        <v>3858</v>
      </c>
      <c r="E106" s="20"/>
      <c r="F106" s="20"/>
      <c r="G106" s="20"/>
      <c r="H106" s="20"/>
    </row>
    <row r="107" customFormat="false" ht="23.85" hidden="false" customHeight="false" outlineLevel="0" collapsed="false">
      <c r="A107" s="20" t="s">
        <v>3859</v>
      </c>
      <c r="B107" s="20" t="s">
        <v>33</v>
      </c>
      <c r="C107" s="20" t="s">
        <v>1986</v>
      </c>
      <c r="D107" s="21" t="s">
        <v>3860</v>
      </c>
      <c r="E107" s="20" t="s">
        <v>3861</v>
      </c>
      <c r="F107" s="20"/>
      <c r="G107" s="20"/>
      <c r="H107" s="20"/>
    </row>
    <row r="108" customFormat="false" ht="23.85" hidden="false" customHeight="false" outlineLevel="0" collapsed="false">
      <c r="A108" s="20" t="s">
        <v>3862</v>
      </c>
      <c r="B108" s="20" t="s">
        <v>32</v>
      </c>
      <c r="C108" s="20" t="s">
        <v>1706</v>
      </c>
      <c r="D108" s="21" t="s">
        <v>3863</v>
      </c>
      <c r="E108" s="20" t="s">
        <v>3864</v>
      </c>
      <c r="F108" s="20"/>
      <c r="G108" s="20" t="n">
        <v>2</v>
      </c>
      <c r="H108" s="20" t="n">
        <v>1</v>
      </c>
    </row>
    <row r="109" customFormat="false" ht="23.85" hidden="false" customHeight="false" outlineLevel="0" collapsed="false">
      <c r="A109" s="20" t="s">
        <v>3865</v>
      </c>
      <c r="B109" s="20" t="s">
        <v>28</v>
      </c>
      <c r="C109" s="20" t="s">
        <v>1076</v>
      </c>
      <c r="D109" s="21" t="s">
        <v>3866</v>
      </c>
      <c r="E109" s="20" t="s">
        <v>3867</v>
      </c>
      <c r="F109" s="20"/>
      <c r="G109" s="20"/>
      <c r="H109" s="20"/>
    </row>
    <row r="110" customFormat="false" ht="23.85" hidden="false" customHeight="false" outlineLevel="0" collapsed="false">
      <c r="A110" s="20" t="s">
        <v>3868</v>
      </c>
      <c r="B110" s="20" t="s">
        <v>19</v>
      </c>
      <c r="C110" s="20" t="s">
        <v>2372</v>
      </c>
      <c r="D110" s="21" t="s">
        <v>3869</v>
      </c>
      <c r="E110" s="20" t="s">
        <v>3870</v>
      </c>
      <c r="F110" s="20"/>
      <c r="G110" s="20" t="n">
        <v>3.3</v>
      </c>
      <c r="H110" s="20" t="n">
        <v>3</v>
      </c>
    </row>
    <row r="111" customFormat="false" ht="23.85" hidden="false" customHeight="false" outlineLevel="0" collapsed="false">
      <c r="A111" s="20" t="s">
        <v>3871</v>
      </c>
      <c r="B111" s="20" t="s">
        <v>34</v>
      </c>
      <c r="C111" s="20" t="s">
        <v>2122</v>
      </c>
      <c r="D111" s="21" t="s">
        <v>3872</v>
      </c>
      <c r="E111" s="20" t="s">
        <v>3873</v>
      </c>
      <c r="F111" s="20" t="s">
        <v>3874</v>
      </c>
      <c r="G111" s="20"/>
      <c r="H111" s="20"/>
    </row>
    <row r="112" customFormat="false" ht="15" hidden="false" customHeight="false" outlineLevel="0" collapsed="false">
      <c r="A112" s="20" t="s">
        <v>3875</v>
      </c>
      <c r="B112" s="20" t="s">
        <v>19</v>
      </c>
      <c r="C112" s="20" t="s">
        <v>3876</v>
      </c>
      <c r="D112" s="21" t="s">
        <v>3877</v>
      </c>
      <c r="E112" s="20"/>
      <c r="F112" s="20"/>
      <c r="G112" s="20" t="n">
        <v>3.9</v>
      </c>
      <c r="H112" s="20" t="n">
        <v>181</v>
      </c>
    </row>
    <row r="113" customFormat="false" ht="23.85" hidden="false" customHeight="false" outlineLevel="0" collapsed="false">
      <c r="A113" s="20" t="s">
        <v>3878</v>
      </c>
      <c r="B113" s="20" t="s">
        <v>28</v>
      </c>
      <c r="C113" s="20" t="s">
        <v>3879</v>
      </c>
      <c r="D113" s="21" t="s">
        <v>3880</v>
      </c>
      <c r="E113" s="20" t="s">
        <v>3881</v>
      </c>
      <c r="F113" s="20"/>
      <c r="G113" s="20" t="n">
        <v>5</v>
      </c>
      <c r="H113" s="20" t="n">
        <v>1</v>
      </c>
    </row>
    <row r="114" customFormat="false" ht="23.85" hidden="false" customHeight="false" outlineLevel="0" collapsed="false">
      <c r="A114" s="20" t="s">
        <v>3882</v>
      </c>
      <c r="B114" s="20" t="s">
        <v>28</v>
      </c>
      <c r="C114" s="20" t="s">
        <v>901</v>
      </c>
      <c r="D114" s="21" t="s">
        <v>3883</v>
      </c>
      <c r="E114" s="20"/>
      <c r="F114" s="20"/>
      <c r="G114" s="20"/>
      <c r="H114" s="20"/>
    </row>
    <row r="115" customFormat="false" ht="23.85" hidden="false" customHeight="false" outlineLevel="0" collapsed="false">
      <c r="A115" s="20" t="s">
        <v>3884</v>
      </c>
      <c r="B115" s="20" t="s">
        <v>32</v>
      </c>
      <c r="C115" s="20" t="s">
        <v>1767</v>
      </c>
      <c r="D115" s="21" t="s">
        <v>3885</v>
      </c>
      <c r="E115" s="20" t="s">
        <v>3886</v>
      </c>
      <c r="F115" s="20"/>
      <c r="G115" s="20" t="n">
        <v>3.8</v>
      </c>
      <c r="H115" s="20" t="n">
        <v>19</v>
      </c>
    </row>
    <row r="116" customFormat="false" ht="23.85" hidden="false" customHeight="false" outlineLevel="0" collapsed="false">
      <c r="A116" s="20" t="s">
        <v>3887</v>
      </c>
      <c r="B116" s="20" t="s">
        <v>19</v>
      </c>
      <c r="C116" s="20" t="s">
        <v>3765</v>
      </c>
      <c r="D116" s="21" t="s">
        <v>3888</v>
      </c>
      <c r="E116" s="20"/>
      <c r="F116" s="20"/>
      <c r="G116" s="20" t="n">
        <v>1</v>
      </c>
      <c r="H116" s="20" t="n">
        <v>1</v>
      </c>
    </row>
    <row r="117" customFormat="false" ht="23.85" hidden="false" customHeight="false" outlineLevel="0" collapsed="false">
      <c r="A117" s="20" t="s">
        <v>3889</v>
      </c>
      <c r="B117" s="20" t="s">
        <v>32</v>
      </c>
      <c r="C117" s="20" t="s">
        <v>3650</v>
      </c>
      <c r="D117" s="21" t="s">
        <v>3890</v>
      </c>
      <c r="E117" s="20" t="s">
        <v>3891</v>
      </c>
      <c r="F117" s="20" t="s">
        <v>3892</v>
      </c>
      <c r="G117" s="20" t="n">
        <v>5</v>
      </c>
      <c r="H117" s="20" t="n">
        <v>50</v>
      </c>
    </row>
    <row r="118" customFormat="false" ht="15" hidden="false" customHeight="false" outlineLevel="0" collapsed="false">
      <c r="A118" s="20" t="s">
        <v>3893</v>
      </c>
      <c r="B118" s="20" t="s">
        <v>18</v>
      </c>
      <c r="C118" s="20" t="s">
        <v>82</v>
      </c>
      <c r="D118" s="21" t="s">
        <v>3894</v>
      </c>
      <c r="E118" s="20" t="s">
        <v>3895</v>
      </c>
      <c r="F118" s="20"/>
      <c r="G118" s="20" t="n">
        <v>4.3</v>
      </c>
      <c r="H118" s="20" t="n">
        <v>308</v>
      </c>
    </row>
    <row r="119" customFormat="false" ht="15" hidden="false" customHeight="false" outlineLevel="0" collapsed="false">
      <c r="A119" s="20" t="s">
        <v>3896</v>
      </c>
      <c r="B119" s="20" t="s">
        <v>34</v>
      </c>
      <c r="C119" s="20" t="s">
        <v>2090</v>
      </c>
      <c r="D119" s="21" t="s">
        <v>3897</v>
      </c>
      <c r="E119" s="20" t="s">
        <v>3898</v>
      </c>
      <c r="F119" s="20"/>
      <c r="G119" s="20"/>
      <c r="H119" s="20"/>
    </row>
    <row r="120" customFormat="false" ht="23.85" hidden="false" customHeight="false" outlineLevel="0" collapsed="false">
      <c r="A120" s="20" t="s">
        <v>3899</v>
      </c>
      <c r="B120" s="20" t="s">
        <v>21</v>
      </c>
      <c r="C120" s="20" t="s">
        <v>3900</v>
      </c>
      <c r="D120" s="21" t="s">
        <v>3901</v>
      </c>
      <c r="E120" s="20" t="s">
        <v>3902</v>
      </c>
      <c r="F120" s="20"/>
      <c r="G120" s="20" t="n">
        <v>4.8</v>
      </c>
      <c r="H120" s="20" t="n">
        <v>171</v>
      </c>
    </row>
    <row r="121" customFormat="false" ht="15" hidden="false" customHeight="false" outlineLevel="0" collapsed="false">
      <c r="A121" s="20" t="s">
        <v>3903</v>
      </c>
      <c r="B121" s="20" t="s">
        <v>23</v>
      </c>
      <c r="C121" s="20" t="s">
        <v>563</v>
      </c>
      <c r="D121" s="21" t="s">
        <v>3904</v>
      </c>
      <c r="E121" s="20" t="s">
        <v>3905</v>
      </c>
      <c r="F121" s="20"/>
      <c r="G121" s="20"/>
      <c r="H121" s="20"/>
    </row>
    <row r="122" customFormat="false" ht="15" hidden="false" customHeight="false" outlineLevel="0" collapsed="false">
      <c r="A122" s="20" t="s">
        <v>3906</v>
      </c>
      <c r="B122" s="20" t="s">
        <v>23</v>
      </c>
      <c r="C122" s="20" t="s">
        <v>3907</v>
      </c>
      <c r="D122" s="21" t="s">
        <v>3908</v>
      </c>
      <c r="E122" s="20" t="s">
        <v>3909</v>
      </c>
      <c r="F122" s="20"/>
      <c r="G122" s="20" t="n">
        <v>5</v>
      </c>
      <c r="H122" s="20" t="n">
        <v>5</v>
      </c>
    </row>
    <row r="123" customFormat="false" ht="23.85" hidden="false" customHeight="false" outlineLevel="0" collapsed="false">
      <c r="A123" s="20" t="s">
        <v>3910</v>
      </c>
      <c r="B123" s="20" t="s">
        <v>35</v>
      </c>
      <c r="C123" s="20" t="s">
        <v>2202</v>
      </c>
      <c r="D123" s="21" t="s">
        <v>3911</v>
      </c>
      <c r="E123" s="20" t="s">
        <v>3912</v>
      </c>
      <c r="F123" s="20"/>
      <c r="G123" s="20" t="n">
        <v>4.5</v>
      </c>
      <c r="H123" s="20" t="n">
        <v>2</v>
      </c>
    </row>
    <row r="124" customFormat="false" ht="15" hidden="false" customHeight="false" outlineLevel="0" collapsed="false">
      <c r="A124" s="20" t="s">
        <v>3913</v>
      </c>
      <c r="B124" s="20" t="s">
        <v>31</v>
      </c>
      <c r="C124" s="20" t="s">
        <v>1542</v>
      </c>
      <c r="D124" s="21" t="s">
        <v>3914</v>
      </c>
      <c r="E124" s="20" t="s">
        <v>3915</v>
      </c>
      <c r="F124" s="20" t="s">
        <v>3916</v>
      </c>
      <c r="G124" s="20" t="n">
        <v>5</v>
      </c>
      <c r="H124" s="20" t="n">
        <v>5</v>
      </c>
    </row>
    <row r="125" customFormat="false" ht="23.85" hidden="false" customHeight="false" outlineLevel="0" collapsed="false">
      <c r="A125" s="20" t="s">
        <v>3917</v>
      </c>
      <c r="B125" s="20" t="s">
        <v>29</v>
      </c>
      <c r="C125" s="20" t="s">
        <v>1188</v>
      </c>
      <c r="D125" s="21" t="s">
        <v>3918</v>
      </c>
      <c r="E125" s="20" t="s">
        <v>3919</v>
      </c>
      <c r="F125" s="20"/>
      <c r="G125" s="20"/>
      <c r="H125" s="20"/>
    </row>
    <row r="126" customFormat="false" ht="23.85" hidden="false" customHeight="false" outlineLevel="0" collapsed="false">
      <c r="A126" s="20" t="s">
        <v>3920</v>
      </c>
      <c r="B126" s="20" t="s">
        <v>34</v>
      </c>
      <c r="C126" s="20" t="s">
        <v>2090</v>
      </c>
      <c r="D126" s="21" t="s">
        <v>3921</v>
      </c>
      <c r="E126" s="20" t="s">
        <v>3922</v>
      </c>
      <c r="F126" s="20"/>
      <c r="G126" s="20"/>
      <c r="H126" s="20"/>
    </row>
    <row r="127" customFormat="false" ht="23.85" hidden="false" customHeight="false" outlineLevel="0" collapsed="false">
      <c r="A127" s="20" t="s">
        <v>3923</v>
      </c>
      <c r="B127" s="20" t="s">
        <v>33</v>
      </c>
      <c r="C127" s="20" t="s">
        <v>1986</v>
      </c>
      <c r="D127" s="21" t="s">
        <v>3924</v>
      </c>
      <c r="E127" s="20" t="s">
        <v>3925</v>
      </c>
      <c r="F127" s="20"/>
      <c r="G127" s="20" t="n">
        <v>1</v>
      </c>
      <c r="H127" s="20" t="n">
        <v>1</v>
      </c>
    </row>
    <row r="128" customFormat="false" ht="15" hidden="false" customHeight="false" outlineLevel="0" collapsed="false">
      <c r="A128" s="20" t="s">
        <v>3926</v>
      </c>
      <c r="B128" s="20" t="s">
        <v>32</v>
      </c>
      <c r="C128" s="20" t="s">
        <v>1776</v>
      </c>
      <c r="D128" s="21" t="s">
        <v>3927</v>
      </c>
      <c r="E128" s="20" t="s">
        <v>3928</v>
      </c>
      <c r="F128" s="20"/>
      <c r="G128" s="20"/>
      <c r="H128" s="20"/>
    </row>
    <row r="129" customFormat="false" ht="23.85" hidden="false" customHeight="false" outlineLevel="0" collapsed="false">
      <c r="A129" s="20" t="s">
        <v>3929</v>
      </c>
      <c r="B129" s="20" t="s">
        <v>32</v>
      </c>
      <c r="C129" s="20" t="s">
        <v>1776</v>
      </c>
      <c r="D129" s="21" t="s">
        <v>3930</v>
      </c>
      <c r="E129" s="20" t="s">
        <v>3931</v>
      </c>
      <c r="F129" s="20"/>
      <c r="G129" s="20" t="n">
        <v>5</v>
      </c>
      <c r="H129" s="20" t="n">
        <v>1</v>
      </c>
    </row>
    <row r="130" customFormat="false" ht="15" hidden="false" customHeight="false" outlineLevel="0" collapsed="false">
      <c r="A130" s="20" t="s">
        <v>3932</v>
      </c>
      <c r="B130" s="20" t="s">
        <v>29</v>
      </c>
      <c r="C130" s="20" t="s">
        <v>3933</v>
      </c>
      <c r="D130" s="21" t="s">
        <v>3934</v>
      </c>
      <c r="E130" s="20"/>
      <c r="F130" s="20"/>
      <c r="G130" s="20"/>
      <c r="H130" s="20"/>
    </row>
    <row r="131" customFormat="false" ht="23.85" hidden="false" customHeight="false" outlineLevel="0" collapsed="false">
      <c r="A131" s="20" t="s">
        <v>3935</v>
      </c>
      <c r="B131" s="20" t="s">
        <v>32</v>
      </c>
      <c r="C131" s="20" t="s">
        <v>1776</v>
      </c>
      <c r="D131" s="21" t="s">
        <v>3936</v>
      </c>
      <c r="E131" s="20" t="s">
        <v>3937</v>
      </c>
      <c r="F131" s="20" t="s">
        <v>3938</v>
      </c>
      <c r="G131" s="20" t="n">
        <v>2.2</v>
      </c>
      <c r="H131" s="20" t="n">
        <v>6</v>
      </c>
    </row>
    <row r="132" customFormat="false" ht="15" hidden="false" customHeight="false" outlineLevel="0" collapsed="false">
      <c r="A132" s="20" t="s">
        <v>3939</v>
      </c>
      <c r="B132" s="20" t="s">
        <v>18</v>
      </c>
      <c r="C132" s="20" t="s">
        <v>232</v>
      </c>
      <c r="D132" s="21" t="s">
        <v>3940</v>
      </c>
      <c r="E132" s="20" t="s">
        <v>3941</v>
      </c>
      <c r="F132" s="20"/>
      <c r="G132" s="20" t="n">
        <v>5</v>
      </c>
      <c r="H132" s="20" t="n">
        <v>3</v>
      </c>
    </row>
    <row r="133" customFormat="false" ht="23.85" hidden="false" customHeight="false" outlineLevel="0" collapsed="false">
      <c r="A133" s="20" t="s">
        <v>3942</v>
      </c>
      <c r="B133" s="20" t="s">
        <v>24</v>
      </c>
      <c r="C133" s="20" t="s">
        <v>3943</v>
      </c>
      <c r="D133" s="21" t="s">
        <v>3944</v>
      </c>
      <c r="E133" s="20" t="s">
        <v>3945</v>
      </c>
      <c r="F133" s="20" t="s">
        <v>3946</v>
      </c>
      <c r="G133" s="20" t="n">
        <v>4.9</v>
      </c>
      <c r="H133" s="20" t="n">
        <v>189</v>
      </c>
    </row>
    <row r="134" customFormat="false" ht="23.85" hidden="false" customHeight="false" outlineLevel="0" collapsed="false">
      <c r="A134" s="20" t="s">
        <v>3947</v>
      </c>
      <c r="B134" s="20" t="s">
        <v>19</v>
      </c>
      <c r="C134" s="20" t="s">
        <v>3637</v>
      </c>
      <c r="D134" s="21" t="s">
        <v>3948</v>
      </c>
      <c r="E134" s="20" t="s">
        <v>3949</v>
      </c>
      <c r="F134" s="20"/>
      <c r="G134" s="20" t="n">
        <v>4.2</v>
      </c>
      <c r="H134" s="20" t="n">
        <v>670</v>
      </c>
    </row>
    <row r="135" customFormat="false" ht="23.85" hidden="false" customHeight="false" outlineLevel="0" collapsed="false">
      <c r="A135" s="20" t="s">
        <v>3950</v>
      </c>
      <c r="B135" s="20" t="s">
        <v>33</v>
      </c>
      <c r="C135" s="20" t="s">
        <v>1991</v>
      </c>
      <c r="D135" s="21" t="s">
        <v>3951</v>
      </c>
      <c r="E135" s="20" t="s">
        <v>3952</v>
      </c>
      <c r="F135" s="20"/>
      <c r="G135" s="20"/>
      <c r="H135" s="20"/>
    </row>
    <row r="136" customFormat="false" ht="23.85" hidden="false" customHeight="false" outlineLevel="0" collapsed="false">
      <c r="A136" s="20" t="s">
        <v>3953</v>
      </c>
      <c r="B136" s="20" t="s">
        <v>28</v>
      </c>
      <c r="C136" s="20" t="s">
        <v>892</v>
      </c>
      <c r="D136" s="21" t="s">
        <v>3954</v>
      </c>
      <c r="E136" s="20"/>
      <c r="F136" s="20"/>
      <c r="G136" s="20"/>
      <c r="H136" s="20"/>
    </row>
    <row r="137" customFormat="false" ht="23.85" hidden="false" customHeight="false" outlineLevel="0" collapsed="false">
      <c r="A137" s="20" t="s">
        <v>3955</v>
      </c>
      <c r="B137" s="20" t="s">
        <v>19</v>
      </c>
      <c r="C137" s="20" t="s">
        <v>2372</v>
      </c>
      <c r="D137" s="21" t="s">
        <v>3956</v>
      </c>
      <c r="E137" s="20"/>
      <c r="F137" s="20"/>
      <c r="G137" s="20" t="n">
        <v>5</v>
      </c>
      <c r="H137" s="20" t="n">
        <v>1</v>
      </c>
    </row>
    <row r="138" customFormat="false" ht="23.85" hidden="false" customHeight="false" outlineLevel="0" collapsed="false">
      <c r="A138" s="20" t="s">
        <v>3957</v>
      </c>
      <c r="B138" s="20" t="s">
        <v>23</v>
      </c>
      <c r="C138" s="20" t="s">
        <v>3958</v>
      </c>
      <c r="D138" s="21" t="s">
        <v>3959</v>
      </c>
      <c r="E138" s="20" t="s">
        <v>3960</v>
      </c>
      <c r="F138" s="20" t="s">
        <v>3961</v>
      </c>
      <c r="G138" s="20" t="n">
        <v>4.2</v>
      </c>
      <c r="H138" s="20" t="n">
        <v>35</v>
      </c>
    </row>
    <row r="139" customFormat="false" ht="23.85" hidden="false" customHeight="false" outlineLevel="0" collapsed="false">
      <c r="A139" s="20" t="s">
        <v>3962</v>
      </c>
      <c r="B139" s="20" t="s">
        <v>28</v>
      </c>
      <c r="C139" s="20" t="s">
        <v>901</v>
      </c>
      <c r="D139" s="21" t="s">
        <v>3963</v>
      </c>
      <c r="E139" s="20" t="s">
        <v>3964</v>
      </c>
      <c r="F139" s="20"/>
      <c r="G139" s="20"/>
      <c r="H139" s="20"/>
    </row>
    <row r="140" customFormat="false" ht="23.85" hidden="false" customHeight="false" outlineLevel="0" collapsed="false">
      <c r="A140" s="20" t="s">
        <v>3965</v>
      </c>
      <c r="B140" s="20" t="s">
        <v>21</v>
      </c>
      <c r="C140" s="20" t="s">
        <v>347</v>
      </c>
      <c r="D140" s="21" t="s">
        <v>3966</v>
      </c>
      <c r="E140" s="20"/>
      <c r="F140" s="20"/>
      <c r="G140" s="20"/>
      <c r="H140" s="20"/>
    </row>
    <row r="141" customFormat="false" ht="23.85" hidden="false" customHeight="false" outlineLevel="0" collapsed="false">
      <c r="A141" s="20" t="s">
        <v>3967</v>
      </c>
      <c r="B141" s="20" t="s">
        <v>33</v>
      </c>
      <c r="C141" s="20" t="s">
        <v>719</v>
      </c>
      <c r="D141" s="21" t="s">
        <v>3968</v>
      </c>
      <c r="E141" s="20" t="s">
        <v>3969</v>
      </c>
      <c r="F141" s="20"/>
      <c r="G141" s="20" t="n">
        <v>5</v>
      </c>
      <c r="H141" s="20" t="n">
        <v>1</v>
      </c>
    </row>
    <row r="142" customFormat="false" ht="23.85" hidden="false" customHeight="false" outlineLevel="0" collapsed="false">
      <c r="A142" s="20" t="s">
        <v>3970</v>
      </c>
      <c r="B142" s="20" t="s">
        <v>28</v>
      </c>
      <c r="C142" s="20" t="s">
        <v>901</v>
      </c>
      <c r="D142" s="21" t="s">
        <v>3971</v>
      </c>
      <c r="E142" s="20" t="s">
        <v>3972</v>
      </c>
      <c r="F142" s="20"/>
      <c r="G142" s="20" t="n">
        <v>5</v>
      </c>
      <c r="H142" s="20" t="n">
        <v>1</v>
      </c>
    </row>
    <row r="143" customFormat="false" ht="23.85" hidden="false" customHeight="false" outlineLevel="0" collapsed="false">
      <c r="A143" s="20" t="s">
        <v>3973</v>
      </c>
      <c r="B143" s="20" t="s">
        <v>28</v>
      </c>
      <c r="C143" s="20" t="s">
        <v>3974</v>
      </c>
      <c r="D143" s="21" t="s">
        <v>3975</v>
      </c>
      <c r="E143" s="20"/>
      <c r="F143" s="20"/>
      <c r="G143" s="20"/>
      <c r="H143" s="20"/>
    </row>
    <row r="144" customFormat="false" ht="23.85" hidden="false" customHeight="false" outlineLevel="0" collapsed="false">
      <c r="A144" s="20" t="s">
        <v>3976</v>
      </c>
      <c r="B144" s="20" t="s">
        <v>28</v>
      </c>
      <c r="C144" s="20" t="s">
        <v>934</v>
      </c>
      <c r="D144" s="21" t="s">
        <v>3977</v>
      </c>
      <c r="E144" s="20" t="s">
        <v>3978</v>
      </c>
      <c r="F144" s="20"/>
      <c r="G144" s="20"/>
      <c r="H144" s="20"/>
    </row>
    <row r="145" customFormat="false" ht="23.85" hidden="false" customHeight="false" outlineLevel="0" collapsed="false">
      <c r="A145" s="20" t="s">
        <v>3979</v>
      </c>
      <c r="B145" s="20" t="s">
        <v>23</v>
      </c>
      <c r="C145" s="20" t="s">
        <v>578</v>
      </c>
      <c r="D145" s="21" t="s">
        <v>3980</v>
      </c>
      <c r="E145" s="20" t="s">
        <v>3981</v>
      </c>
      <c r="F145" s="20"/>
      <c r="G145" s="20"/>
      <c r="H145" s="20"/>
    </row>
    <row r="146" customFormat="false" ht="23.85" hidden="false" customHeight="false" outlineLevel="0" collapsed="false">
      <c r="A146" s="20" t="s">
        <v>3982</v>
      </c>
      <c r="B146" s="20" t="s">
        <v>28</v>
      </c>
      <c r="C146" s="20" t="s">
        <v>892</v>
      </c>
      <c r="D146" s="21" t="s">
        <v>3983</v>
      </c>
      <c r="E146" s="20" t="s">
        <v>3984</v>
      </c>
      <c r="F146" s="20"/>
      <c r="G146" s="20"/>
      <c r="H146" s="20"/>
    </row>
    <row r="147" customFormat="false" ht="15" hidden="false" customHeight="false" outlineLevel="0" collapsed="false">
      <c r="A147" s="20" t="s">
        <v>3985</v>
      </c>
      <c r="B147" s="20" t="s">
        <v>28</v>
      </c>
      <c r="C147" s="20" t="s">
        <v>1076</v>
      </c>
      <c r="D147" s="21" t="s">
        <v>3986</v>
      </c>
      <c r="E147" s="20" t="s">
        <v>3987</v>
      </c>
      <c r="F147" s="20"/>
      <c r="G147" s="20"/>
      <c r="H147" s="20"/>
    </row>
    <row r="148" customFormat="false" ht="23.85" hidden="false" customHeight="false" outlineLevel="0" collapsed="false">
      <c r="A148" s="20" t="s">
        <v>3988</v>
      </c>
      <c r="B148" s="20" t="s">
        <v>34</v>
      </c>
      <c r="C148" s="20" t="s">
        <v>2090</v>
      </c>
      <c r="D148" s="21" t="s">
        <v>3989</v>
      </c>
      <c r="E148" s="20" t="s">
        <v>3990</v>
      </c>
      <c r="F148" s="20"/>
      <c r="G148" s="20"/>
      <c r="H148" s="20"/>
    </row>
    <row r="149" customFormat="false" ht="35.05" hidden="false" customHeight="false" outlineLevel="0" collapsed="false">
      <c r="A149" s="20" t="s">
        <v>3991</v>
      </c>
      <c r="B149" s="20" t="s">
        <v>30</v>
      </c>
      <c r="C149" s="20" t="s">
        <v>3992</v>
      </c>
      <c r="D149" s="21" t="s">
        <v>3993</v>
      </c>
      <c r="E149" s="20" t="s">
        <v>3994</v>
      </c>
      <c r="F149" s="20" t="s">
        <v>3995</v>
      </c>
      <c r="G149" s="20" t="n">
        <v>4.9</v>
      </c>
      <c r="H149" s="20" t="n">
        <v>17</v>
      </c>
    </row>
    <row r="150" customFormat="false" ht="15" hidden="false" customHeight="false" outlineLevel="0" collapsed="false">
      <c r="A150" s="20" t="s">
        <v>3996</v>
      </c>
      <c r="B150" s="20" t="s">
        <v>32</v>
      </c>
      <c r="C150" s="20" t="s">
        <v>1767</v>
      </c>
      <c r="D150" s="21" t="s">
        <v>3997</v>
      </c>
      <c r="E150" s="20" t="s">
        <v>3998</v>
      </c>
      <c r="F150" s="20"/>
      <c r="G150" s="20"/>
      <c r="H150" s="20"/>
    </row>
    <row r="151" customFormat="false" ht="23.85" hidden="false" customHeight="false" outlineLevel="0" collapsed="false">
      <c r="A151" s="20" t="s">
        <v>3999</v>
      </c>
      <c r="B151" s="20" t="s">
        <v>28</v>
      </c>
      <c r="C151" s="20" t="s">
        <v>913</v>
      </c>
      <c r="D151" s="21" t="s">
        <v>4000</v>
      </c>
      <c r="E151" s="20" t="s">
        <v>4001</v>
      </c>
      <c r="F151" s="20"/>
      <c r="G151" s="20" t="n">
        <v>4</v>
      </c>
      <c r="H151" s="20" t="n">
        <v>3</v>
      </c>
    </row>
    <row r="152" customFormat="false" ht="23.85" hidden="false" customHeight="false" outlineLevel="0" collapsed="false">
      <c r="A152" s="20" t="s">
        <v>4002</v>
      </c>
      <c r="B152" s="20" t="s">
        <v>28</v>
      </c>
      <c r="C152" s="20" t="s">
        <v>892</v>
      </c>
      <c r="D152" s="21" t="s">
        <v>4003</v>
      </c>
      <c r="E152" s="20" t="s">
        <v>4004</v>
      </c>
      <c r="F152" s="20" t="s">
        <v>4005</v>
      </c>
      <c r="G152" s="20" t="n">
        <v>4</v>
      </c>
      <c r="H152" s="20" t="n">
        <v>89</v>
      </c>
    </row>
    <row r="153" customFormat="false" ht="15" hidden="false" customHeight="false" outlineLevel="0" collapsed="false">
      <c r="A153" s="20" t="s">
        <v>4006</v>
      </c>
      <c r="B153" s="20" t="s">
        <v>28</v>
      </c>
      <c r="C153" s="20" t="s">
        <v>892</v>
      </c>
      <c r="D153" s="21" t="s">
        <v>4007</v>
      </c>
      <c r="E153" s="20" t="s">
        <v>4008</v>
      </c>
      <c r="F153" s="20"/>
      <c r="G153" s="20" t="n">
        <v>4</v>
      </c>
      <c r="H153" s="20" t="n">
        <v>79</v>
      </c>
    </row>
    <row r="154" customFormat="false" ht="15" hidden="false" customHeight="false" outlineLevel="0" collapsed="false">
      <c r="A154" s="20" t="s">
        <v>4009</v>
      </c>
      <c r="B154" s="20" t="s">
        <v>28</v>
      </c>
      <c r="C154" s="20" t="s">
        <v>1118</v>
      </c>
      <c r="D154" s="21" t="s">
        <v>4010</v>
      </c>
      <c r="E154" s="20" t="s">
        <v>4011</v>
      </c>
      <c r="F154" s="20"/>
      <c r="G154" s="20" t="n">
        <v>4</v>
      </c>
      <c r="H154" s="20" t="n">
        <v>1</v>
      </c>
    </row>
    <row r="155" customFormat="false" ht="15" hidden="false" customHeight="false" outlineLevel="0" collapsed="false">
      <c r="A155" s="20" t="s">
        <v>4012</v>
      </c>
      <c r="B155" s="20" t="s">
        <v>28</v>
      </c>
      <c r="C155" s="20" t="s">
        <v>1076</v>
      </c>
      <c r="D155" s="21" t="s">
        <v>4013</v>
      </c>
      <c r="E155" s="20" t="s">
        <v>4014</v>
      </c>
      <c r="F155" s="20"/>
      <c r="G155" s="20"/>
      <c r="H155" s="20"/>
    </row>
    <row r="156" customFormat="false" ht="23.85" hidden="false" customHeight="false" outlineLevel="0" collapsed="false">
      <c r="A156" s="20" t="s">
        <v>4015</v>
      </c>
      <c r="B156" s="20" t="s">
        <v>35</v>
      </c>
      <c r="C156" s="20" t="s">
        <v>2202</v>
      </c>
      <c r="D156" s="21" t="s">
        <v>4016</v>
      </c>
      <c r="E156" s="20" t="s">
        <v>4017</v>
      </c>
      <c r="F156" s="20"/>
      <c r="G156" s="20"/>
      <c r="H156" s="20"/>
    </row>
    <row r="157" customFormat="false" ht="15" hidden="false" customHeight="false" outlineLevel="0" collapsed="false">
      <c r="A157" s="20" t="s">
        <v>4018</v>
      </c>
      <c r="B157" s="20" t="s">
        <v>21</v>
      </c>
      <c r="C157" s="20" t="s">
        <v>356</v>
      </c>
      <c r="D157" s="21" t="s">
        <v>4019</v>
      </c>
      <c r="E157" s="20" t="s">
        <v>4020</v>
      </c>
      <c r="F157" s="20"/>
      <c r="G157" s="20"/>
      <c r="H157" s="20"/>
    </row>
    <row r="158" customFormat="false" ht="35.05" hidden="false" customHeight="false" outlineLevel="0" collapsed="false">
      <c r="A158" s="20" t="s">
        <v>4021</v>
      </c>
      <c r="B158" s="20" t="s">
        <v>21</v>
      </c>
      <c r="C158" s="20" t="s">
        <v>356</v>
      </c>
      <c r="D158" s="21" t="s">
        <v>4022</v>
      </c>
      <c r="E158" s="20" t="s">
        <v>4023</v>
      </c>
      <c r="F158" s="20"/>
      <c r="G158" s="20"/>
      <c r="H158" s="20"/>
    </row>
    <row r="159" customFormat="false" ht="23.85" hidden="false" customHeight="false" outlineLevel="0" collapsed="false">
      <c r="A159" s="20" t="s">
        <v>4024</v>
      </c>
      <c r="B159" s="20" t="s">
        <v>34</v>
      </c>
      <c r="C159" s="20" t="s">
        <v>2090</v>
      </c>
      <c r="D159" s="21" t="s">
        <v>4025</v>
      </c>
      <c r="E159" s="20"/>
      <c r="F159" s="20"/>
      <c r="G159" s="20"/>
      <c r="H159" s="20"/>
    </row>
    <row r="160" customFormat="false" ht="15" hidden="false" customHeight="false" outlineLevel="0" collapsed="false">
      <c r="A160" s="20" t="s">
        <v>4026</v>
      </c>
      <c r="B160" s="20" t="s">
        <v>32</v>
      </c>
      <c r="C160" s="20" t="s">
        <v>3650</v>
      </c>
      <c r="D160" s="21" t="s">
        <v>4027</v>
      </c>
      <c r="E160" s="20"/>
      <c r="F160" s="20"/>
      <c r="G160" s="20" t="n">
        <v>4</v>
      </c>
      <c r="H160" s="20" t="n">
        <v>1</v>
      </c>
    </row>
    <row r="161" customFormat="false" ht="23.85" hidden="false" customHeight="false" outlineLevel="0" collapsed="false">
      <c r="A161" s="20" t="s">
        <v>4028</v>
      </c>
      <c r="B161" s="20" t="s">
        <v>28</v>
      </c>
      <c r="C161" s="20" t="s">
        <v>907</v>
      </c>
      <c r="D161" s="21" t="s">
        <v>4029</v>
      </c>
      <c r="E161" s="20" t="s">
        <v>4030</v>
      </c>
      <c r="F161" s="20"/>
      <c r="G161" s="20" t="n">
        <v>5</v>
      </c>
      <c r="H161" s="20" t="n">
        <v>1</v>
      </c>
    </row>
    <row r="162" customFormat="false" ht="15" hidden="false" customHeight="false" outlineLevel="0" collapsed="false">
      <c r="A162" s="20" t="s">
        <v>4031</v>
      </c>
      <c r="B162" s="20" t="s">
        <v>28</v>
      </c>
      <c r="C162" s="20" t="s">
        <v>4032</v>
      </c>
      <c r="D162" s="21" t="s">
        <v>4033</v>
      </c>
      <c r="E162" s="20" t="s">
        <v>4034</v>
      </c>
      <c r="F162" s="20"/>
      <c r="G162" s="20"/>
      <c r="H162" s="20"/>
    </row>
    <row r="163" customFormat="false" ht="23.85" hidden="false" customHeight="false" outlineLevel="0" collapsed="false">
      <c r="A163" s="20" t="s">
        <v>4035</v>
      </c>
      <c r="B163" s="20" t="s">
        <v>30</v>
      </c>
      <c r="C163" s="20" t="s">
        <v>1389</v>
      </c>
      <c r="D163" s="21" t="s">
        <v>4036</v>
      </c>
      <c r="E163" s="20"/>
      <c r="F163" s="20"/>
      <c r="G163" s="20"/>
      <c r="H163" s="20"/>
    </row>
    <row r="164" customFormat="false" ht="15" hidden="false" customHeight="false" outlineLevel="0" collapsed="false">
      <c r="A164" s="20" t="s">
        <v>4037</v>
      </c>
      <c r="B164" s="20" t="s">
        <v>31</v>
      </c>
      <c r="C164" s="20" t="s">
        <v>1542</v>
      </c>
      <c r="D164" s="21" t="s">
        <v>4038</v>
      </c>
      <c r="E164" s="20" t="s">
        <v>4039</v>
      </c>
      <c r="F164" s="20" t="s">
        <v>4040</v>
      </c>
      <c r="G164" s="20" t="n">
        <v>4.8</v>
      </c>
      <c r="H164" s="20" t="n">
        <v>13</v>
      </c>
    </row>
    <row r="165" customFormat="false" ht="23.85" hidden="false" customHeight="false" outlineLevel="0" collapsed="false">
      <c r="A165" s="20" t="s">
        <v>4041</v>
      </c>
      <c r="B165" s="20" t="s">
        <v>24</v>
      </c>
      <c r="C165" s="20" t="s">
        <v>715</v>
      </c>
      <c r="D165" s="21" t="s">
        <v>4042</v>
      </c>
      <c r="E165" s="20" t="s">
        <v>4043</v>
      </c>
      <c r="F165" s="20"/>
      <c r="G165" s="20" t="n">
        <v>4</v>
      </c>
      <c r="H165" s="20" t="n">
        <v>5</v>
      </c>
    </row>
    <row r="166" customFormat="false" ht="23.85" hidden="false" customHeight="false" outlineLevel="0" collapsed="false">
      <c r="A166" s="20" t="s">
        <v>4044</v>
      </c>
      <c r="B166" s="20" t="s">
        <v>32</v>
      </c>
      <c r="C166" s="20" t="s">
        <v>1767</v>
      </c>
      <c r="D166" s="21" t="s">
        <v>4045</v>
      </c>
      <c r="E166" s="20" t="s">
        <v>4046</v>
      </c>
      <c r="F166" s="20"/>
      <c r="G166" s="20"/>
      <c r="H166" s="20"/>
    </row>
    <row r="167" customFormat="false" ht="23.85" hidden="false" customHeight="false" outlineLevel="0" collapsed="false">
      <c r="A167" s="20" t="s">
        <v>4047</v>
      </c>
      <c r="B167" s="20" t="s">
        <v>34</v>
      </c>
      <c r="C167" s="20" t="s">
        <v>2090</v>
      </c>
      <c r="D167" s="21" t="s">
        <v>4048</v>
      </c>
      <c r="E167" s="20" t="s">
        <v>4049</v>
      </c>
      <c r="F167" s="20"/>
      <c r="G167" s="20"/>
      <c r="H167" s="20"/>
    </row>
    <row r="168" customFormat="false" ht="15" hidden="false" customHeight="false" outlineLevel="0" collapsed="false">
      <c r="A168" s="20" t="s">
        <v>4050</v>
      </c>
      <c r="B168" s="20" t="s">
        <v>29</v>
      </c>
      <c r="C168" s="20" t="s">
        <v>1188</v>
      </c>
      <c r="D168" s="21" t="s">
        <v>4051</v>
      </c>
      <c r="E168" s="20" t="s">
        <v>4052</v>
      </c>
      <c r="F168" s="20"/>
      <c r="G168" s="20"/>
      <c r="H168" s="20"/>
    </row>
    <row r="169" customFormat="false" ht="23.85" hidden="false" customHeight="false" outlineLevel="0" collapsed="false">
      <c r="A169" s="20" t="s">
        <v>4053</v>
      </c>
      <c r="B169" s="20" t="s">
        <v>34</v>
      </c>
      <c r="C169" s="20" t="s">
        <v>2090</v>
      </c>
      <c r="D169" s="21" t="s">
        <v>4054</v>
      </c>
      <c r="E169" s="20" t="s">
        <v>4055</v>
      </c>
      <c r="F169" s="20" t="s">
        <v>4056</v>
      </c>
      <c r="G169" s="20" t="n">
        <v>4.9</v>
      </c>
      <c r="H169" s="20" t="n">
        <v>43</v>
      </c>
    </row>
    <row r="170" customFormat="false" ht="23.85" hidden="false" customHeight="false" outlineLevel="0" collapsed="false">
      <c r="A170" s="20" t="s">
        <v>4057</v>
      </c>
      <c r="B170" s="20" t="s">
        <v>33</v>
      </c>
      <c r="C170" s="20" t="s">
        <v>719</v>
      </c>
      <c r="D170" s="21" t="s">
        <v>4058</v>
      </c>
      <c r="E170" s="20" t="s">
        <v>4059</v>
      </c>
      <c r="F170" s="20"/>
      <c r="G170" s="20" t="n">
        <v>4</v>
      </c>
      <c r="H170" s="20" t="n">
        <v>2</v>
      </c>
    </row>
    <row r="171" customFormat="false" ht="15" hidden="false" customHeight="false" outlineLevel="0" collapsed="false">
      <c r="A171" s="20" t="s">
        <v>4060</v>
      </c>
      <c r="B171" s="20" t="s">
        <v>18</v>
      </c>
      <c r="C171" s="20" t="s">
        <v>4061</v>
      </c>
      <c r="D171" s="21" t="s">
        <v>4062</v>
      </c>
      <c r="E171" s="20" t="s">
        <v>4063</v>
      </c>
      <c r="F171" s="20"/>
      <c r="G171" s="20" t="n">
        <v>4.4</v>
      </c>
      <c r="H171" s="20" t="n">
        <v>345</v>
      </c>
    </row>
    <row r="172" customFormat="false" ht="15" hidden="false" customHeight="false" outlineLevel="0" collapsed="false">
      <c r="A172" s="20" t="s">
        <v>4064</v>
      </c>
      <c r="B172" s="20" t="s">
        <v>18</v>
      </c>
      <c r="C172" s="20" t="s">
        <v>4061</v>
      </c>
      <c r="D172" s="21" t="s">
        <v>4065</v>
      </c>
      <c r="E172" s="20" t="s">
        <v>4066</v>
      </c>
      <c r="F172" s="20" t="s">
        <v>4067</v>
      </c>
      <c r="G172" s="20" t="n">
        <v>4.8</v>
      </c>
      <c r="H172" s="20" t="n">
        <v>86</v>
      </c>
    </row>
    <row r="173" customFormat="false" ht="23.85" hidden="false" customHeight="false" outlineLevel="0" collapsed="false">
      <c r="A173" s="20" t="s">
        <v>4068</v>
      </c>
      <c r="B173" s="20" t="s">
        <v>28</v>
      </c>
      <c r="C173" s="20" t="s">
        <v>901</v>
      </c>
      <c r="D173" s="21" t="s">
        <v>4069</v>
      </c>
      <c r="E173" s="20" t="s">
        <v>4070</v>
      </c>
      <c r="F173" s="20"/>
      <c r="G173" s="20" t="n">
        <v>4</v>
      </c>
      <c r="H173" s="20" t="n">
        <v>2</v>
      </c>
    </row>
    <row r="174" customFormat="false" ht="23.85" hidden="false" customHeight="false" outlineLevel="0" collapsed="false">
      <c r="A174" s="20" t="s">
        <v>4071</v>
      </c>
      <c r="B174" s="20" t="s">
        <v>35</v>
      </c>
      <c r="C174" s="20" t="s">
        <v>2202</v>
      </c>
      <c r="D174" s="21" t="s">
        <v>4072</v>
      </c>
      <c r="E174" s="20" t="s">
        <v>4073</v>
      </c>
      <c r="F174" s="20"/>
      <c r="G174" s="20"/>
      <c r="H174" s="20"/>
    </row>
    <row r="175" customFormat="false" ht="23.85" hidden="false" customHeight="false" outlineLevel="0" collapsed="false">
      <c r="A175" s="20" t="s">
        <v>4074</v>
      </c>
      <c r="B175" s="20" t="s">
        <v>21</v>
      </c>
      <c r="C175" s="20"/>
      <c r="D175" s="21" t="s">
        <v>4075</v>
      </c>
      <c r="E175" s="20"/>
      <c r="F175" s="20"/>
      <c r="G175" s="20"/>
      <c r="H175" s="20"/>
    </row>
    <row r="176" customFormat="false" ht="15" hidden="false" customHeight="false" outlineLevel="0" collapsed="false">
      <c r="A176" s="20" t="s">
        <v>4076</v>
      </c>
      <c r="B176" s="20" t="s">
        <v>23</v>
      </c>
      <c r="C176" s="20" t="s">
        <v>563</v>
      </c>
      <c r="D176" s="21" t="s">
        <v>4077</v>
      </c>
      <c r="E176" s="20"/>
      <c r="F176" s="20"/>
      <c r="G176" s="20"/>
      <c r="H176" s="20"/>
    </row>
    <row r="177" customFormat="false" ht="23.85" hidden="false" customHeight="false" outlineLevel="0" collapsed="false">
      <c r="A177" s="20" t="s">
        <v>4078</v>
      </c>
      <c r="B177" s="20" t="s">
        <v>31</v>
      </c>
      <c r="C177" s="20" t="s">
        <v>1522</v>
      </c>
      <c r="D177" s="21" t="s">
        <v>4079</v>
      </c>
      <c r="E177" s="20" t="s">
        <v>4080</v>
      </c>
      <c r="F177" s="20"/>
      <c r="G177" s="20" t="n">
        <v>5</v>
      </c>
      <c r="H177" s="20" t="n">
        <v>2</v>
      </c>
    </row>
    <row r="178" customFormat="false" ht="23.85" hidden="false" customHeight="false" outlineLevel="0" collapsed="false">
      <c r="A178" s="20" t="s">
        <v>4081</v>
      </c>
      <c r="B178" s="20" t="s">
        <v>24</v>
      </c>
      <c r="C178" s="20" t="s">
        <v>715</v>
      </c>
      <c r="D178" s="21" t="s">
        <v>4082</v>
      </c>
      <c r="E178" s="20" t="s">
        <v>4083</v>
      </c>
      <c r="F178" s="20"/>
      <c r="G178" s="20" t="n">
        <v>4.9</v>
      </c>
      <c r="H178" s="20" t="n">
        <v>75</v>
      </c>
    </row>
    <row r="179" customFormat="false" ht="15" hidden="false" customHeight="false" outlineLevel="0" collapsed="false">
      <c r="A179" s="20" t="s">
        <v>4084</v>
      </c>
      <c r="B179" s="20" t="s">
        <v>33</v>
      </c>
      <c r="C179" s="20" t="s">
        <v>1991</v>
      </c>
      <c r="D179" s="21" t="s">
        <v>4085</v>
      </c>
      <c r="E179" s="20"/>
      <c r="F179" s="20"/>
      <c r="G179" s="20"/>
      <c r="H179" s="20"/>
    </row>
    <row r="180" customFormat="false" ht="15" hidden="false" customHeight="false" outlineLevel="0" collapsed="false">
      <c r="A180" s="20" t="s">
        <v>4086</v>
      </c>
      <c r="B180" s="20" t="s">
        <v>28</v>
      </c>
      <c r="C180" s="20" t="s">
        <v>3633</v>
      </c>
      <c r="D180" s="21" t="s">
        <v>4087</v>
      </c>
      <c r="E180" s="20" t="s">
        <v>4088</v>
      </c>
      <c r="F180" s="20"/>
      <c r="G180" s="20"/>
      <c r="H180" s="20"/>
    </row>
    <row r="181" customFormat="false" ht="23.85" hidden="false" customHeight="false" outlineLevel="0" collapsed="false">
      <c r="A181" s="20" t="s">
        <v>4089</v>
      </c>
      <c r="B181" s="20" t="s">
        <v>26</v>
      </c>
      <c r="C181" s="20" t="s">
        <v>4090</v>
      </c>
      <c r="D181" s="21" t="s">
        <v>4091</v>
      </c>
      <c r="E181" s="20" t="s">
        <v>4092</v>
      </c>
      <c r="F181" s="20"/>
      <c r="G181" s="20"/>
      <c r="H181" s="20"/>
    </row>
    <row r="182" customFormat="false" ht="15" hidden="false" customHeight="false" outlineLevel="0" collapsed="false">
      <c r="A182" s="20" t="s">
        <v>4093</v>
      </c>
      <c r="B182" s="20" t="s">
        <v>30</v>
      </c>
      <c r="C182" s="20" t="s">
        <v>4094</v>
      </c>
      <c r="D182" s="21" t="s">
        <v>4095</v>
      </c>
      <c r="E182" s="20" t="s">
        <v>4096</v>
      </c>
      <c r="F182" s="20"/>
      <c r="G182" s="20"/>
      <c r="H182" s="20"/>
    </row>
    <row r="183" customFormat="false" ht="23.85" hidden="false" customHeight="false" outlineLevel="0" collapsed="false">
      <c r="A183" s="20" t="s">
        <v>4097</v>
      </c>
      <c r="B183" s="20" t="s">
        <v>33</v>
      </c>
      <c r="C183" s="20" t="s">
        <v>1991</v>
      </c>
      <c r="D183" s="21" t="s">
        <v>4098</v>
      </c>
      <c r="E183" s="20"/>
      <c r="F183" s="20"/>
      <c r="G183" s="20" t="n">
        <v>5</v>
      </c>
      <c r="H183" s="20" t="n">
        <v>1</v>
      </c>
    </row>
    <row r="184" customFormat="false" ht="15" hidden="false" customHeight="false" outlineLevel="0" collapsed="false">
      <c r="A184" s="20" t="s">
        <v>4099</v>
      </c>
      <c r="B184" s="20" t="s">
        <v>21</v>
      </c>
      <c r="C184" s="20" t="s">
        <v>2467</v>
      </c>
      <c r="D184" s="21" t="s">
        <v>4100</v>
      </c>
      <c r="E184" s="20" t="s">
        <v>4101</v>
      </c>
      <c r="F184" s="20" t="s">
        <v>4102</v>
      </c>
      <c r="G184" s="20" t="n">
        <v>4.5</v>
      </c>
      <c r="H184" s="20" t="n">
        <v>6</v>
      </c>
    </row>
    <row r="185" customFormat="false" ht="15" hidden="false" customHeight="false" outlineLevel="0" collapsed="false">
      <c r="A185" s="20" t="s">
        <v>4103</v>
      </c>
      <c r="B185" s="20" t="s">
        <v>25</v>
      </c>
      <c r="C185" s="20" t="s">
        <v>738</v>
      </c>
      <c r="D185" s="21" t="s">
        <v>4104</v>
      </c>
      <c r="E185" s="20" t="s">
        <v>4105</v>
      </c>
      <c r="F185" s="20"/>
      <c r="G185" s="20"/>
      <c r="H185" s="20"/>
    </row>
    <row r="186" customFormat="false" ht="15" hidden="false" customHeight="false" outlineLevel="0" collapsed="false">
      <c r="A186" s="20" t="s">
        <v>4106</v>
      </c>
      <c r="B186" s="20" t="s">
        <v>30</v>
      </c>
      <c r="C186" s="20" t="s">
        <v>1503</v>
      </c>
      <c r="D186" s="21" t="s">
        <v>4107</v>
      </c>
      <c r="E186" s="20"/>
      <c r="F186" s="20"/>
      <c r="G186" s="20"/>
      <c r="H186" s="20"/>
    </row>
    <row r="187" customFormat="false" ht="23.85" hidden="false" customHeight="false" outlineLevel="0" collapsed="false">
      <c r="A187" s="20" t="s">
        <v>4108</v>
      </c>
      <c r="B187" s="20" t="s">
        <v>28</v>
      </c>
      <c r="C187" s="20" t="s">
        <v>934</v>
      </c>
      <c r="D187" s="21" t="s">
        <v>4109</v>
      </c>
      <c r="E187" s="20" t="s">
        <v>4110</v>
      </c>
      <c r="F187" s="20"/>
      <c r="G187" s="20"/>
      <c r="H187" s="20"/>
    </row>
    <row r="188" customFormat="false" ht="15" hidden="false" customHeight="false" outlineLevel="0" collapsed="false">
      <c r="A188" s="20" t="s">
        <v>4111</v>
      </c>
      <c r="B188" s="20" t="s">
        <v>31</v>
      </c>
      <c r="C188" s="20" t="s">
        <v>1558</v>
      </c>
      <c r="D188" s="21" t="s">
        <v>4112</v>
      </c>
      <c r="E188" s="20"/>
      <c r="F188" s="20"/>
      <c r="G188" s="20"/>
      <c r="H188" s="20"/>
    </row>
    <row r="189" customFormat="false" ht="23.85" hidden="false" customHeight="false" outlineLevel="0" collapsed="false">
      <c r="A189" s="20" t="s">
        <v>4113</v>
      </c>
      <c r="B189" s="20" t="s">
        <v>23</v>
      </c>
      <c r="C189" s="20" t="s">
        <v>655</v>
      </c>
      <c r="D189" s="21" t="s">
        <v>4114</v>
      </c>
      <c r="E189" s="20"/>
      <c r="F189" s="20"/>
      <c r="G189" s="20"/>
      <c r="H189" s="20"/>
    </row>
    <row r="190" customFormat="false" ht="23.85" hidden="false" customHeight="false" outlineLevel="0" collapsed="false">
      <c r="A190" s="20" t="s">
        <v>4115</v>
      </c>
      <c r="B190" s="20" t="s">
        <v>28</v>
      </c>
      <c r="C190" s="20" t="s">
        <v>901</v>
      </c>
      <c r="D190" s="21" t="s">
        <v>4116</v>
      </c>
      <c r="E190" s="20" t="s">
        <v>4117</v>
      </c>
      <c r="F190" s="20"/>
      <c r="G190" s="20" t="n">
        <v>4.5</v>
      </c>
      <c r="H190" s="20" t="n">
        <v>2</v>
      </c>
    </row>
    <row r="191" customFormat="false" ht="15" hidden="false" customHeight="false" outlineLevel="0" collapsed="false">
      <c r="A191" s="20" t="s">
        <v>4118</v>
      </c>
      <c r="B191" s="20" t="s">
        <v>31</v>
      </c>
      <c r="C191" s="20" t="s">
        <v>1522</v>
      </c>
      <c r="D191" s="21" t="s">
        <v>4119</v>
      </c>
      <c r="E191" s="20" t="s">
        <v>4120</v>
      </c>
      <c r="F191" s="20"/>
      <c r="G191" s="20"/>
      <c r="H191" s="20"/>
    </row>
    <row r="192" customFormat="false" ht="23.85" hidden="false" customHeight="false" outlineLevel="0" collapsed="false">
      <c r="A192" s="20" t="s">
        <v>4121</v>
      </c>
      <c r="B192" s="20" t="s">
        <v>23</v>
      </c>
      <c r="C192" s="20" t="s">
        <v>563</v>
      </c>
      <c r="D192" s="21" t="s">
        <v>4122</v>
      </c>
      <c r="E192" s="20" t="s">
        <v>4123</v>
      </c>
      <c r="F192" s="20"/>
      <c r="G192" s="20"/>
      <c r="H192" s="20"/>
    </row>
    <row r="193" customFormat="false" ht="23.85" hidden="false" customHeight="false" outlineLevel="0" collapsed="false">
      <c r="A193" s="20" t="s">
        <v>4124</v>
      </c>
      <c r="B193" s="20" t="s">
        <v>28</v>
      </c>
      <c r="C193" s="20" t="s">
        <v>1076</v>
      </c>
      <c r="D193" s="21" t="s">
        <v>4125</v>
      </c>
      <c r="E193" s="20" t="s">
        <v>4126</v>
      </c>
      <c r="F193" s="20"/>
      <c r="G193" s="20"/>
      <c r="H193" s="20"/>
    </row>
    <row r="194" customFormat="false" ht="15" hidden="false" customHeight="false" outlineLevel="0" collapsed="false">
      <c r="A194" s="20" t="s">
        <v>4127</v>
      </c>
      <c r="B194" s="20" t="s">
        <v>18</v>
      </c>
      <c r="C194" s="20" t="s">
        <v>232</v>
      </c>
      <c r="D194" s="21" t="s">
        <v>4128</v>
      </c>
      <c r="E194" s="20" t="s">
        <v>4129</v>
      </c>
      <c r="F194" s="20" t="s">
        <v>4130</v>
      </c>
      <c r="G194" s="20" t="n">
        <v>4.1</v>
      </c>
      <c r="H194" s="20" t="n">
        <v>3130</v>
      </c>
    </row>
    <row r="195" customFormat="false" ht="15" hidden="false" customHeight="false" outlineLevel="0" collapsed="false">
      <c r="A195" s="20" t="s">
        <v>4131</v>
      </c>
      <c r="B195" s="20" t="s">
        <v>18</v>
      </c>
      <c r="C195" s="20" t="s">
        <v>232</v>
      </c>
      <c r="D195" s="21" t="s">
        <v>4100</v>
      </c>
      <c r="E195" s="20" t="s">
        <v>4132</v>
      </c>
      <c r="F195" s="20" t="s">
        <v>4133</v>
      </c>
      <c r="G195" s="20" t="n">
        <v>4</v>
      </c>
      <c r="H195" s="20" t="n">
        <v>540</v>
      </c>
    </row>
    <row r="196" customFormat="false" ht="15" hidden="false" customHeight="false" outlineLevel="0" collapsed="false">
      <c r="A196" s="20" t="s">
        <v>4134</v>
      </c>
      <c r="B196" s="20" t="s">
        <v>28</v>
      </c>
      <c r="C196" s="20" t="s">
        <v>892</v>
      </c>
      <c r="D196" s="21" t="s">
        <v>4135</v>
      </c>
      <c r="E196" s="20" t="s">
        <v>4136</v>
      </c>
      <c r="F196" s="20"/>
      <c r="G196" s="20"/>
      <c r="H196" s="20"/>
    </row>
    <row r="197" customFormat="false" ht="15" hidden="false" customHeight="false" outlineLevel="0" collapsed="false">
      <c r="A197" s="20" t="s">
        <v>4137</v>
      </c>
      <c r="B197" s="20" t="s">
        <v>29</v>
      </c>
      <c r="C197" s="20" t="s">
        <v>1188</v>
      </c>
      <c r="D197" s="21" t="s">
        <v>4138</v>
      </c>
      <c r="E197" s="20" t="s">
        <v>4139</v>
      </c>
      <c r="F197" s="20"/>
      <c r="G197" s="20"/>
      <c r="H197" s="20"/>
    </row>
    <row r="198" customFormat="false" ht="15" hidden="false" customHeight="false" outlineLevel="0" collapsed="false">
      <c r="A198" s="20" t="s">
        <v>4140</v>
      </c>
      <c r="B198" s="20" t="s">
        <v>32</v>
      </c>
      <c r="C198" s="20" t="s">
        <v>1767</v>
      </c>
      <c r="D198" s="21" t="s">
        <v>3997</v>
      </c>
      <c r="E198" s="20"/>
      <c r="F198" s="20" t="s">
        <v>4141</v>
      </c>
      <c r="G198" s="20" t="n">
        <v>4.4</v>
      </c>
      <c r="H198" s="20" t="n">
        <v>16</v>
      </c>
    </row>
    <row r="199" customFormat="false" ht="15" hidden="false" customHeight="false" outlineLevel="0" collapsed="false">
      <c r="A199" s="20" t="s">
        <v>4142</v>
      </c>
      <c r="B199" s="20" t="s">
        <v>18</v>
      </c>
      <c r="C199" s="20" t="s">
        <v>4143</v>
      </c>
      <c r="D199" s="21" t="s">
        <v>4144</v>
      </c>
      <c r="E199" s="20" t="s">
        <v>4145</v>
      </c>
      <c r="F199" s="20"/>
      <c r="G199" s="20" t="n">
        <v>4.3</v>
      </c>
      <c r="H199" s="20" t="n">
        <v>26</v>
      </c>
    </row>
    <row r="200" customFormat="false" ht="15" hidden="false" customHeight="false" outlineLevel="0" collapsed="false">
      <c r="A200" s="20" t="s">
        <v>4146</v>
      </c>
      <c r="B200" s="20" t="s">
        <v>25</v>
      </c>
      <c r="C200" s="20" t="s">
        <v>738</v>
      </c>
      <c r="D200" s="21" t="s">
        <v>4147</v>
      </c>
      <c r="E200" s="20" t="s">
        <v>4148</v>
      </c>
      <c r="F200" s="20"/>
      <c r="G200" s="20"/>
      <c r="H200" s="20"/>
    </row>
    <row r="201" customFormat="false" ht="23.85" hidden="false" customHeight="false" outlineLevel="0" collapsed="false">
      <c r="A201" s="20" t="s">
        <v>4149</v>
      </c>
      <c r="B201" s="20" t="s">
        <v>20</v>
      </c>
      <c r="C201" s="20" t="s">
        <v>313</v>
      </c>
      <c r="D201" s="21" t="s">
        <v>4150</v>
      </c>
      <c r="E201" s="20" t="s">
        <v>4151</v>
      </c>
      <c r="F201" s="20"/>
      <c r="G201" s="20"/>
      <c r="H201" s="20"/>
    </row>
    <row r="202" customFormat="false" ht="15" hidden="false" customHeight="false" outlineLevel="0" collapsed="false">
      <c r="A202" s="20" t="s">
        <v>4152</v>
      </c>
      <c r="B202" s="20" t="s">
        <v>28</v>
      </c>
      <c r="C202" s="20" t="s">
        <v>3633</v>
      </c>
      <c r="D202" s="21" t="s">
        <v>4153</v>
      </c>
      <c r="E202" s="20" t="s">
        <v>4154</v>
      </c>
      <c r="F202" s="20"/>
      <c r="G202" s="20"/>
      <c r="H202" s="20"/>
    </row>
    <row r="203" customFormat="false" ht="15" hidden="false" customHeight="false" outlineLevel="0" collapsed="false">
      <c r="A203" s="20" t="s">
        <v>4155</v>
      </c>
      <c r="B203" s="20" t="s">
        <v>21</v>
      </c>
      <c r="C203" s="20" t="s">
        <v>356</v>
      </c>
      <c r="D203" s="21" t="s">
        <v>4156</v>
      </c>
      <c r="E203" s="20" t="s">
        <v>4157</v>
      </c>
      <c r="F203" s="20"/>
      <c r="G203" s="20"/>
      <c r="H203" s="20"/>
    </row>
    <row r="204" customFormat="false" ht="15" hidden="false" customHeight="false" outlineLevel="0" collapsed="false">
      <c r="A204" s="20" t="s">
        <v>4158</v>
      </c>
      <c r="B204" s="20" t="s">
        <v>18</v>
      </c>
      <c r="C204" s="20" t="s">
        <v>232</v>
      </c>
      <c r="D204" s="21" t="s">
        <v>4159</v>
      </c>
      <c r="E204" s="20" t="s">
        <v>4160</v>
      </c>
      <c r="F204" s="20"/>
      <c r="G204" s="20"/>
      <c r="H204" s="20"/>
    </row>
    <row r="205" customFormat="false" ht="23.85" hidden="false" customHeight="false" outlineLevel="0" collapsed="false">
      <c r="A205" s="20" t="s">
        <v>4161</v>
      </c>
      <c r="B205" s="20" t="s">
        <v>28</v>
      </c>
      <c r="C205" s="20" t="s">
        <v>4162</v>
      </c>
      <c r="D205" s="21" t="s">
        <v>4163</v>
      </c>
      <c r="E205" s="20" t="s">
        <v>4164</v>
      </c>
      <c r="F205" s="20"/>
      <c r="G205" s="20"/>
      <c r="H205" s="20"/>
    </row>
    <row r="206" customFormat="false" ht="15" hidden="false" customHeight="false" outlineLevel="0" collapsed="false">
      <c r="A206" s="20" t="s">
        <v>4165</v>
      </c>
      <c r="B206" s="20" t="s">
        <v>29</v>
      </c>
      <c r="C206" s="20" t="s">
        <v>1312</v>
      </c>
      <c r="D206" s="21" t="s">
        <v>4166</v>
      </c>
      <c r="E206" s="20" t="s">
        <v>4167</v>
      </c>
      <c r="F206" s="20"/>
      <c r="G206" s="20"/>
      <c r="H206" s="20"/>
    </row>
    <row r="207" customFormat="false" ht="15" hidden="false" customHeight="false" outlineLevel="0" collapsed="false">
      <c r="A207" s="20" t="s">
        <v>4168</v>
      </c>
      <c r="B207" s="20" t="s">
        <v>27</v>
      </c>
      <c r="C207" s="20" t="s">
        <v>2890</v>
      </c>
      <c r="D207" s="21" t="s">
        <v>4169</v>
      </c>
      <c r="E207" s="20" t="s">
        <v>4170</v>
      </c>
      <c r="F207" s="20"/>
      <c r="G207" s="20" t="n">
        <v>5</v>
      </c>
      <c r="H207" s="20" t="n">
        <v>2</v>
      </c>
    </row>
    <row r="208" customFormat="false" ht="23.85" hidden="false" customHeight="false" outlineLevel="0" collapsed="false">
      <c r="A208" s="20" t="s">
        <v>4171</v>
      </c>
      <c r="B208" s="20" t="s">
        <v>27</v>
      </c>
      <c r="C208" s="20" t="s">
        <v>850</v>
      </c>
      <c r="D208" s="21" t="s">
        <v>4172</v>
      </c>
      <c r="E208" s="20"/>
      <c r="F208" s="20"/>
      <c r="G208" s="20" t="n">
        <v>4.9</v>
      </c>
      <c r="H208" s="20" t="n">
        <v>16</v>
      </c>
    </row>
    <row r="209" customFormat="false" ht="15" hidden="false" customHeight="false" outlineLevel="0" collapsed="false">
      <c r="A209" s="20" t="s">
        <v>4173</v>
      </c>
      <c r="B209" s="20" t="s">
        <v>26</v>
      </c>
      <c r="C209" s="20" t="s">
        <v>4174</v>
      </c>
      <c r="D209" s="21" t="s">
        <v>4175</v>
      </c>
      <c r="E209" s="20" t="s">
        <v>4176</v>
      </c>
      <c r="F209" s="20" t="s">
        <v>4177</v>
      </c>
      <c r="G209" s="20"/>
      <c r="H209" s="20"/>
    </row>
    <row r="210" customFormat="false" ht="15" hidden="false" customHeight="false" outlineLevel="0" collapsed="false">
      <c r="A210" s="20" t="s">
        <v>4178</v>
      </c>
      <c r="B210" s="20" t="s">
        <v>26</v>
      </c>
      <c r="C210" s="20" t="s">
        <v>4179</v>
      </c>
      <c r="D210" s="21" t="s">
        <v>4180</v>
      </c>
      <c r="E210" s="20" t="s">
        <v>4181</v>
      </c>
      <c r="F210" s="20"/>
      <c r="G210" s="20"/>
      <c r="H210" s="20"/>
    </row>
    <row r="211" customFormat="false" ht="15" hidden="false" customHeight="false" outlineLevel="0" collapsed="false">
      <c r="A211" s="20" t="s">
        <v>4182</v>
      </c>
      <c r="B211" s="20" t="s">
        <v>27</v>
      </c>
      <c r="C211" s="20" t="s">
        <v>4183</v>
      </c>
      <c r="D211" s="21" t="s">
        <v>4184</v>
      </c>
      <c r="E211" s="20" t="s">
        <v>4185</v>
      </c>
      <c r="F211" s="20"/>
      <c r="G211" s="20" t="n">
        <v>3.5</v>
      </c>
      <c r="H211" s="20" t="n">
        <v>4</v>
      </c>
    </row>
    <row r="212" customFormat="false" ht="23.85" hidden="false" customHeight="false" outlineLevel="0" collapsed="false">
      <c r="A212" s="20" t="s">
        <v>4186</v>
      </c>
      <c r="B212" s="20" t="s">
        <v>28</v>
      </c>
      <c r="C212" s="20" t="s">
        <v>901</v>
      </c>
      <c r="D212" s="21" t="s">
        <v>4187</v>
      </c>
      <c r="E212" s="20" t="s">
        <v>4188</v>
      </c>
      <c r="F212" s="20" t="s">
        <v>4189</v>
      </c>
      <c r="G212" s="20"/>
      <c r="H212" s="20"/>
    </row>
    <row r="213" customFormat="false" ht="23.85" hidden="false" customHeight="false" outlineLevel="0" collapsed="false">
      <c r="A213" s="20" t="s">
        <v>4190</v>
      </c>
      <c r="B213" s="20" t="s">
        <v>30</v>
      </c>
      <c r="C213" s="20" t="s">
        <v>1417</v>
      </c>
      <c r="D213" s="21" t="s">
        <v>4191</v>
      </c>
      <c r="E213" s="20" t="s">
        <v>4192</v>
      </c>
      <c r="F213" s="20"/>
      <c r="G213" s="20"/>
      <c r="H213" s="20"/>
    </row>
    <row r="214" customFormat="false" ht="23.85" hidden="false" customHeight="false" outlineLevel="0" collapsed="false">
      <c r="A214" s="20" t="s">
        <v>4193</v>
      </c>
      <c r="B214" s="20" t="s">
        <v>29</v>
      </c>
      <c r="C214" s="20" t="s">
        <v>1312</v>
      </c>
      <c r="D214" s="21" t="s">
        <v>4194</v>
      </c>
      <c r="E214" s="20" t="s">
        <v>4195</v>
      </c>
      <c r="F214" s="20" t="s">
        <v>4196</v>
      </c>
      <c r="G214" s="20" t="n">
        <v>4.9</v>
      </c>
      <c r="H214" s="20" t="n">
        <v>13</v>
      </c>
    </row>
    <row r="215" customFormat="false" ht="23.85" hidden="false" customHeight="false" outlineLevel="0" collapsed="false">
      <c r="A215" s="20" t="s">
        <v>4197</v>
      </c>
      <c r="B215" s="20" t="s">
        <v>30</v>
      </c>
      <c r="C215" s="20" t="s">
        <v>1322</v>
      </c>
      <c r="D215" s="21" t="s">
        <v>4198</v>
      </c>
      <c r="E215" s="20" t="s">
        <v>4199</v>
      </c>
      <c r="F215" s="20"/>
      <c r="G215" s="20"/>
      <c r="H215" s="20"/>
    </row>
    <row r="216" customFormat="false" ht="23.85" hidden="false" customHeight="false" outlineLevel="0" collapsed="false">
      <c r="A216" s="20" t="s">
        <v>4200</v>
      </c>
      <c r="B216" s="20" t="s">
        <v>28</v>
      </c>
      <c r="C216" s="20" t="s">
        <v>913</v>
      </c>
      <c r="D216" s="21" t="s">
        <v>4201</v>
      </c>
      <c r="E216" s="20" t="s">
        <v>4202</v>
      </c>
      <c r="F216" s="20"/>
      <c r="G216" s="20"/>
      <c r="H216" s="20"/>
    </row>
    <row r="217" customFormat="false" ht="15" hidden="false" customHeight="false" outlineLevel="0" collapsed="false">
      <c r="A217" s="20" t="s">
        <v>4203</v>
      </c>
      <c r="B217" s="20" t="s">
        <v>34</v>
      </c>
      <c r="C217" s="20" t="s">
        <v>2122</v>
      </c>
      <c r="D217" s="21" t="s">
        <v>4204</v>
      </c>
      <c r="E217" s="20" t="s">
        <v>4205</v>
      </c>
      <c r="F217" s="20"/>
      <c r="G217" s="20"/>
      <c r="H217" s="20"/>
    </row>
    <row r="218" customFormat="false" ht="23.85" hidden="false" customHeight="false" outlineLevel="0" collapsed="false">
      <c r="A218" s="20" t="s">
        <v>4206</v>
      </c>
      <c r="B218" s="20" t="s">
        <v>30</v>
      </c>
      <c r="C218" s="20" t="s">
        <v>4207</v>
      </c>
      <c r="D218" s="21" t="s">
        <v>4208</v>
      </c>
      <c r="E218" s="20" t="s">
        <v>4209</v>
      </c>
      <c r="F218" s="20"/>
      <c r="G218" s="20" t="n">
        <v>5</v>
      </c>
      <c r="H218" s="20" t="n">
        <v>27</v>
      </c>
    </row>
    <row r="219" customFormat="false" ht="23.85" hidden="false" customHeight="false" outlineLevel="0" collapsed="false">
      <c r="A219" s="20" t="s">
        <v>4210</v>
      </c>
      <c r="B219" s="20" t="s">
        <v>28</v>
      </c>
      <c r="C219" s="20" t="s">
        <v>934</v>
      </c>
      <c r="D219" s="21" t="s">
        <v>4211</v>
      </c>
      <c r="E219" s="20" t="s">
        <v>4212</v>
      </c>
      <c r="F219" s="20"/>
      <c r="G219" s="20" t="n">
        <v>3.9</v>
      </c>
      <c r="H219" s="20" t="n">
        <v>66</v>
      </c>
    </row>
    <row r="220" customFormat="false" ht="15" hidden="false" customHeight="false" outlineLevel="0" collapsed="false">
      <c r="A220" s="20" t="s">
        <v>4213</v>
      </c>
      <c r="B220" s="20" t="s">
        <v>33</v>
      </c>
      <c r="C220" s="20" t="s">
        <v>4214</v>
      </c>
      <c r="D220" s="21" t="s">
        <v>4215</v>
      </c>
      <c r="E220" s="20"/>
      <c r="F220" s="20" t="s">
        <v>4216</v>
      </c>
      <c r="G220" s="20" t="n">
        <v>4.1</v>
      </c>
      <c r="H220" s="20" t="n">
        <v>296</v>
      </c>
    </row>
    <row r="221" customFormat="false" ht="15" hidden="false" customHeight="false" outlineLevel="0" collapsed="false">
      <c r="A221" s="20" t="s">
        <v>4217</v>
      </c>
      <c r="B221" s="20" t="s">
        <v>34</v>
      </c>
      <c r="C221" s="20" t="s">
        <v>2073</v>
      </c>
      <c r="D221" s="21" t="s">
        <v>3795</v>
      </c>
      <c r="E221" s="20" t="s">
        <v>3796</v>
      </c>
      <c r="F221" s="20" t="s">
        <v>4218</v>
      </c>
      <c r="G221" s="20"/>
      <c r="H221" s="20"/>
    </row>
    <row r="222" customFormat="false" ht="35.05" hidden="false" customHeight="false" outlineLevel="0" collapsed="false">
      <c r="A222" s="20" t="s">
        <v>4219</v>
      </c>
      <c r="B222" s="20" t="s">
        <v>26</v>
      </c>
      <c r="C222" s="20" t="s">
        <v>3743</v>
      </c>
      <c r="D222" s="21" t="s">
        <v>4220</v>
      </c>
      <c r="E222" s="20" t="s">
        <v>4221</v>
      </c>
      <c r="F222" s="20"/>
      <c r="G222" s="20" t="n">
        <v>5</v>
      </c>
      <c r="H222" s="20" t="n">
        <v>2</v>
      </c>
    </row>
    <row r="223" customFormat="false" ht="15" hidden="false" customHeight="false" outlineLevel="0" collapsed="false">
      <c r="A223" s="20" t="s">
        <v>4222</v>
      </c>
      <c r="B223" s="20" t="s">
        <v>25</v>
      </c>
      <c r="C223" s="20" t="s">
        <v>738</v>
      </c>
      <c r="D223" s="21" t="s">
        <v>4223</v>
      </c>
      <c r="E223" s="20"/>
      <c r="F223" s="20"/>
      <c r="G223" s="20" t="n">
        <v>5</v>
      </c>
      <c r="H223" s="20" t="n">
        <v>1</v>
      </c>
    </row>
    <row r="224" customFormat="false" ht="15" hidden="false" customHeight="false" outlineLevel="0" collapsed="false">
      <c r="A224" s="20" t="s">
        <v>4224</v>
      </c>
      <c r="B224" s="20" t="s">
        <v>26</v>
      </c>
      <c r="C224" s="20" t="s">
        <v>3743</v>
      </c>
      <c r="D224" s="21" t="s">
        <v>4225</v>
      </c>
      <c r="E224" s="20"/>
      <c r="F224" s="20"/>
      <c r="G224" s="20"/>
      <c r="H224" s="20"/>
    </row>
    <row r="225" customFormat="false" ht="23.85" hidden="false" customHeight="false" outlineLevel="0" collapsed="false">
      <c r="A225" s="20" t="s">
        <v>4226</v>
      </c>
      <c r="B225" s="20" t="s">
        <v>25</v>
      </c>
      <c r="C225" s="20" t="s">
        <v>738</v>
      </c>
      <c r="D225" s="21" t="s">
        <v>4227</v>
      </c>
      <c r="E225" s="20"/>
      <c r="F225" s="20"/>
      <c r="G225" s="20" t="n">
        <v>4.3</v>
      </c>
      <c r="H225" s="20" t="n">
        <v>3</v>
      </c>
    </row>
    <row r="226" customFormat="false" ht="23.85" hidden="false" customHeight="false" outlineLevel="0" collapsed="false">
      <c r="A226" s="20" t="s">
        <v>4228</v>
      </c>
      <c r="B226" s="20" t="s">
        <v>23</v>
      </c>
      <c r="C226" s="20" t="s">
        <v>4229</v>
      </c>
      <c r="D226" s="21" t="s">
        <v>4230</v>
      </c>
      <c r="E226" s="20" t="s">
        <v>4231</v>
      </c>
      <c r="F226" s="20"/>
      <c r="G226" s="20" t="n">
        <v>4.7</v>
      </c>
      <c r="H226" s="20" t="n">
        <v>3</v>
      </c>
    </row>
    <row r="227" customFormat="false" ht="23.85" hidden="false" customHeight="false" outlineLevel="0" collapsed="false">
      <c r="A227" s="20" t="s">
        <v>4232</v>
      </c>
      <c r="B227" s="20" t="s">
        <v>28</v>
      </c>
      <c r="C227" s="20" t="s">
        <v>901</v>
      </c>
      <c r="D227" s="21" t="s">
        <v>4233</v>
      </c>
      <c r="E227" s="20" t="s">
        <v>4234</v>
      </c>
      <c r="F227" s="20"/>
      <c r="G227" s="20"/>
      <c r="H227" s="20"/>
    </row>
    <row r="228" customFormat="false" ht="15" hidden="false" customHeight="false" outlineLevel="0" collapsed="false">
      <c r="A228" s="20" t="s">
        <v>4235</v>
      </c>
      <c r="B228" s="20" t="s">
        <v>27</v>
      </c>
      <c r="C228" s="20" t="s">
        <v>850</v>
      </c>
      <c r="D228" s="21" t="s">
        <v>4236</v>
      </c>
      <c r="E228" s="20" t="s">
        <v>4237</v>
      </c>
      <c r="F228" s="20"/>
      <c r="G228" s="20" t="n">
        <v>5</v>
      </c>
      <c r="H228" s="20" t="n">
        <v>1</v>
      </c>
    </row>
    <row r="229" customFormat="false" ht="23.85" hidden="false" customHeight="false" outlineLevel="0" collapsed="false">
      <c r="A229" s="20" t="s">
        <v>4238</v>
      </c>
      <c r="B229" s="20" t="s">
        <v>21</v>
      </c>
      <c r="C229" s="20" t="s">
        <v>4239</v>
      </c>
      <c r="D229" s="21" t="s">
        <v>4240</v>
      </c>
      <c r="E229" s="20" t="s">
        <v>4241</v>
      </c>
      <c r="F229" s="20" t="s">
        <v>4242</v>
      </c>
      <c r="G229" s="20" t="n">
        <v>4.8</v>
      </c>
      <c r="H229" s="20" t="n">
        <v>30</v>
      </c>
    </row>
    <row r="230" customFormat="false" ht="15" hidden="false" customHeight="false" outlineLevel="0" collapsed="false">
      <c r="A230" s="20" t="s">
        <v>4243</v>
      </c>
      <c r="B230" s="20" t="s">
        <v>32</v>
      </c>
      <c r="C230" s="20" t="s">
        <v>1729</v>
      </c>
      <c r="D230" s="21" t="s">
        <v>4244</v>
      </c>
      <c r="E230" s="20" t="s">
        <v>4245</v>
      </c>
      <c r="F230" s="20"/>
      <c r="G230" s="20"/>
      <c r="H230" s="20"/>
    </row>
    <row r="231" customFormat="false" ht="15" hidden="false" customHeight="false" outlineLevel="0" collapsed="false">
      <c r="A231" s="20" t="s">
        <v>4246</v>
      </c>
      <c r="B231" s="20" t="s">
        <v>26</v>
      </c>
      <c r="C231" s="20" t="s">
        <v>4247</v>
      </c>
      <c r="D231" s="21" t="s">
        <v>4248</v>
      </c>
      <c r="E231" s="20" t="s">
        <v>4249</v>
      </c>
      <c r="F231" s="20"/>
      <c r="G231" s="20" t="n">
        <v>5</v>
      </c>
      <c r="H231" s="20" t="n">
        <v>3</v>
      </c>
    </row>
    <row r="232" customFormat="false" ht="23.85" hidden="false" customHeight="false" outlineLevel="0" collapsed="false">
      <c r="A232" s="20" t="s">
        <v>4250</v>
      </c>
      <c r="B232" s="20" t="s">
        <v>21</v>
      </c>
      <c r="C232" s="20" t="s">
        <v>2467</v>
      </c>
      <c r="D232" s="21" t="s">
        <v>4251</v>
      </c>
      <c r="E232" s="20" t="s">
        <v>4252</v>
      </c>
      <c r="F232" s="20" t="s">
        <v>4253</v>
      </c>
      <c r="G232" s="20" t="n">
        <v>4.5</v>
      </c>
      <c r="H232" s="20" t="n">
        <v>105</v>
      </c>
    </row>
    <row r="233" customFormat="false" ht="15" hidden="false" customHeight="false" outlineLevel="0" collapsed="false">
      <c r="A233" s="20" t="s">
        <v>4254</v>
      </c>
      <c r="B233" s="20" t="s">
        <v>30</v>
      </c>
      <c r="C233" s="20" t="s">
        <v>1322</v>
      </c>
      <c r="D233" s="21" t="s">
        <v>4255</v>
      </c>
      <c r="E233" s="20"/>
      <c r="F233" s="20"/>
      <c r="G233" s="20"/>
      <c r="H233" s="20"/>
    </row>
    <row r="234" customFormat="false" ht="15" hidden="false" customHeight="false" outlineLevel="0" collapsed="false">
      <c r="A234" s="20" t="s">
        <v>4256</v>
      </c>
      <c r="B234" s="20" t="s">
        <v>30</v>
      </c>
      <c r="C234" s="20" t="s">
        <v>4257</v>
      </c>
      <c r="D234" s="21" t="s">
        <v>4258</v>
      </c>
      <c r="E234" s="20" t="s">
        <v>4259</v>
      </c>
      <c r="F234" s="20" t="s">
        <v>4260</v>
      </c>
      <c r="G234" s="20"/>
      <c r="H234" s="20"/>
    </row>
    <row r="235" customFormat="false" ht="15" hidden="false" customHeight="false" outlineLevel="0" collapsed="false">
      <c r="A235" s="20" t="s">
        <v>4261</v>
      </c>
      <c r="B235" s="20" t="s">
        <v>30</v>
      </c>
      <c r="C235" s="20" t="s">
        <v>1377</v>
      </c>
      <c r="D235" s="21" t="s">
        <v>4262</v>
      </c>
      <c r="E235" s="20" t="s">
        <v>4263</v>
      </c>
      <c r="F235" s="20"/>
      <c r="G235" s="20"/>
      <c r="H235" s="20"/>
    </row>
    <row r="236" customFormat="false" ht="23.85" hidden="false" customHeight="false" outlineLevel="0" collapsed="false">
      <c r="A236" s="20" t="s">
        <v>4264</v>
      </c>
      <c r="B236" s="20" t="s">
        <v>24</v>
      </c>
      <c r="C236" s="20" t="s">
        <v>715</v>
      </c>
      <c r="D236" s="21" t="s">
        <v>4265</v>
      </c>
      <c r="E236" s="20" t="s">
        <v>4266</v>
      </c>
      <c r="F236" s="20" t="s">
        <v>4267</v>
      </c>
      <c r="G236" s="20" t="n">
        <v>4.9</v>
      </c>
      <c r="H236" s="20" t="n">
        <v>30</v>
      </c>
    </row>
    <row r="237" customFormat="false" ht="23.85" hidden="false" customHeight="false" outlineLevel="0" collapsed="false">
      <c r="A237" s="20" t="s">
        <v>4268</v>
      </c>
      <c r="B237" s="20" t="s">
        <v>18</v>
      </c>
      <c r="C237" s="20" t="s">
        <v>232</v>
      </c>
      <c r="D237" s="21" t="s">
        <v>4269</v>
      </c>
      <c r="E237" s="20" t="s">
        <v>4270</v>
      </c>
      <c r="F237" s="20"/>
      <c r="G237" s="20" t="n">
        <v>5</v>
      </c>
      <c r="H237" s="20" t="n">
        <v>1</v>
      </c>
    </row>
    <row r="238" customFormat="false" ht="15" hidden="false" customHeight="false" outlineLevel="0" collapsed="false">
      <c r="A238" s="20" t="s">
        <v>4271</v>
      </c>
      <c r="B238" s="20" t="s">
        <v>34</v>
      </c>
      <c r="C238" s="20" t="s">
        <v>2073</v>
      </c>
      <c r="D238" s="21" t="s">
        <v>4272</v>
      </c>
      <c r="E238" s="20" t="s">
        <v>4273</v>
      </c>
      <c r="F238" s="20" t="s">
        <v>4274</v>
      </c>
      <c r="G238" s="20" t="n">
        <v>4.6</v>
      </c>
      <c r="H238" s="20" t="n">
        <v>64</v>
      </c>
    </row>
    <row r="239" customFormat="false" ht="23.85" hidden="false" customHeight="false" outlineLevel="0" collapsed="false">
      <c r="A239" s="20" t="s">
        <v>4275</v>
      </c>
      <c r="B239" s="20" t="s">
        <v>21</v>
      </c>
      <c r="C239" s="20" t="s">
        <v>433</v>
      </c>
      <c r="D239" s="21" t="s">
        <v>4276</v>
      </c>
      <c r="E239" s="20" t="s">
        <v>4277</v>
      </c>
      <c r="F239" s="20"/>
      <c r="G239" s="20"/>
      <c r="H239" s="20"/>
    </row>
    <row r="240" customFormat="false" ht="15" hidden="false" customHeight="false" outlineLevel="0" collapsed="false">
      <c r="A240" s="20" t="s">
        <v>4278</v>
      </c>
      <c r="B240" s="20" t="s">
        <v>31</v>
      </c>
      <c r="C240" s="20" t="s">
        <v>1542</v>
      </c>
      <c r="D240" s="21" t="s">
        <v>4279</v>
      </c>
      <c r="E240" s="20"/>
      <c r="F240" s="20"/>
      <c r="G240" s="20"/>
      <c r="H240" s="20"/>
    </row>
    <row r="241" customFormat="false" ht="23.85" hidden="false" customHeight="false" outlineLevel="0" collapsed="false">
      <c r="A241" s="20" t="s">
        <v>4280</v>
      </c>
      <c r="B241" s="20" t="s">
        <v>21</v>
      </c>
      <c r="C241" s="20" t="s">
        <v>347</v>
      </c>
      <c r="D241" s="21" t="s">
        <v>4281</v>
      </c>
      <c r="E241" s="20" t="s">
        <v>4282</v>
      </c>
      <c r="F241" s="20"/>
      <c r="G241" s="20"/>
      <c r="H241" s="20"/>
    </row>
    <row r="242" customFormat="false" ht="23.85" hidden="false" customHeight="false" outlineLevel="0" collapsed="false">
      <c r="A242" s="20" t="s">
        <v>4283</v>
      </c>
      <c r="B242" s="20" t="s">
        <v>29</v>
      </c>
      <c r="C242" s="20" t="s">
        <v>1312</v>
      </c>
      <c r="D242" s="21" t="s">
        <v>4284</v>
      </c>
      <c r="E242" s="20" t="s">
        <v>4285</v>
      </c>
      <c r="F242" s="20"/>
      <c r="G242" s="20"/>
      <c r="H242" s="20"/>
    </row>
    <row r="243" customFormat="false" ht="23.85" hidden="false" customHeight="false" outlineLevel="0" collapsed="false">
      <c r="A243" s="20" t="s">
        <v>4286</v>
      </c>
      <c r="B243" s="20" t="s">
        <v>23</v>
      </c>
      <c r="C243" s="20" t="s">
        <v>563</v>
      </c>
      <c r="D243" s="21" t="s">
        <v>4287</v>
      </c>
      <c r="E243" s="20"/>
      <c r="F243" s="20"/>
      <c r="G243" s="20"/>
      <c r="H243" s="20"/>
    </row>
    <row r="244" customFormat="false" ht="15" hidden="false" customHeight="false" outlineLevel="0" collapsed="false">
      <c r="A244" s="20" t="s">
        <v>4288</v>
      </c>
      <c r="B244" s="20" t="s">
        <v>32</v>
      </c>
      <c r="C244" s="20" t="s">
        <v>1729</v>
      </c>
      <c r="D244" s="21" t="s">
        <v>4289</v>
      </c>
      <c r="E244" s="20" t="s">
        <v>4290</v>
      </c>
      <c r="F244" s="20"/>
      <c r="G244" s="20"/>
      <c r="H244" s="20"/>
    </row>
    <row r="245" customFormat="false" ht="23.85" hidden="false" customHeight="false" outlineLevel="0" collapsed="false">
      <c r="A245" s="20" t="s">
        <v>4291</v>
      </c>
      <c r="B245" s="20" t="s">
        <v>30</v>
      </c>
      <c r="C245" s="20" t="s">
        <v>1322</v>
      </c>
      <c r="D245" s="21" t="s">
        <v>4292</v>
      </c>
      <c r="E245" s="20" t="s">
        <v>4293</v>
      </c>
      <c r="F245" s="20"/>
      <c r="G245" s="20"/>
      <c r="H245" s="20"/>
    </row>
    <row r="246" customFormat="false" ht="15" hidden="false" customHeight="false" outlineLevel="0" collapsed="false">
      <c r="A246" s="20" t="s">
        <v>4294</v>
      </c>
      <c r="B246" s="20" t="s">
        <v>33</v>
      </c>
      <c r="C246" s="20" t="s">
        <v>4295</v>
      </c>
      <c r="D246" s="21" t="s">
        <v>4296</v>
      </c>
      <c r="E246" s="20" t="s">
        <v>4297</v>
      </c>
      <c r="F246" s="20" t="s">
        <v>4298</v>
      </c>
      <c r="G246" s="20" t="n">
        <v>5</v>
      </c>
      <c r="H246" s="20" t="n">
        <v>8</v>
      </c>
    </row>
    <row r="247" customFormat="false" ht="23.85" hidden="false" customHeight="false" outlineLevel="0" collapsed="false">
      <c r="A247" s="20" t="s">
        <v>4299</v>
      </c>
      <c r="B247" s="20" t="s">
        <v>34</v>
      </c>
      <c r="C247" s="20" t="s">
        <v>2157</v>
      </c>
      <c r="D247" s="21" t="s">
        <v>4300</v>
      </c>
      <c r="E247" s="20" t="s">
        <v>4301</v>
      </c>
      <c r="F247" s="20" t="s">
        <v>4302</v>
      </c>
      <c r="G247" s="20" t="n">
        <v>4.2</v>
      </c>
      <c r="H247" s="20" t="n">
        <v>1232</v>
      </c>
    </row>
    <row r="248" customFormat="false" ht="23.85" hidden="false" customHeight="false" outlineLevel="0" collapsed="false">
      <c r="A248" s="20" t="s">
        <v>4303</v>
      </c>
      <c r="B248" s="20" t="s">
        <v>30</v>
      </c>
      <c r="C248" s="20" t="s">
        <v>1322</v>
      </c>
      <c r="D248" s="21" t="s">
        <v>4304</v>
      </c>
      <c r="E248" s="20" t="s">
        <v>4305</v>
      </c>
      <c r="F248" s="20"/>
      <c r="G248" s="20" t="n">
        <v>5</v>
      </c>
      <c r="H248" s="20" t="n">
        <v>1</v>
      </c>
    </row>
    <row r="249" customFormat="false" ht="23.85" hidden="false" customHeight="false" outlineLevel="0" collapsed="false">
      <c r="A249" s="20" t="s">
        <v>4306</v>
      </c>
      <c r="B249" s="20" t="s">
        <v>33</v>
      </c>
      <c r="C249" s="20" t="s">
        <v>1986</v>
      </c>
      <c r="D249" s="21" t="s">
        <v>4307</v>
      </c>
      <c r="E249" s="20" t="s">
        <v>4308</v>
      </c>
      <c r="F249" s="20" t="s">
        <v>4309</v>
      </c>
      <c r="G249" s="20" t="n">
        <v>1</v>
      </c>
      <c r="H249" s="20" t="n">
        <v>1</v>
      </c>
    </row>
    <row r="250" customFormat="false" ht="23.85" hidden="false" customHeight="false" outlineLevel="0" collapsed="false">
      <c r="A250" s="20" t="s">
        <v>4310</v>
      </c>
      <c r="B250" s="20" t="s">
        <v>23</v>
      </c>
      <c r="C250" s="20" t="s">
        <v>663</v>
      </c>
      <c r="D250" s="21" t="s">
        <v>4311</v>
      </c>
      <c r="E250" s="20" t="s">
        <v>4312</v>
      </c>
      <c r="F250" s="20"/>
      <c r="G250" s="20"/>
      <c r="H250" s="20"/>
    </row>
    <row r="251" customFormat="false" ht="23.85" hidden="false" customHeight="false" outlineLevel="0" collapsed="false">
      <c r="A251" s="20" t="s">
        <v>4313</v>
      </c>
      <c r="B251" s="20" t="s">
        <v>19</v>
      </c>
      <c r="C251" s="20" t="s">
        <v>2372</v>
      </c>
      <c r="D251" s="21" t="s">
        <v>4314</v>
      </c>
      <c r="E251" s="20" t="s">
        <v>4315</v>
      </c>
      <c r="F251" s="20"/>
      <c r="G251" s="20" t="n">
        <v>3.5</v>
      </c>
      <c r="H251" s="20" t="n">
        <v>10</v>
      </c>
    </row>
    <row r="252" customFormat="false" ht="15" hidden="false" customHeight="false" outlineLevel="0" collapsed="false">
      <c r="A252" s="20" t="s">
        <v>4316</v>
      </c>
      <c r="B252" s="20" t="s">
        <v>20</v>
      </c>
      <c r="C252" s="20" t="s">
        <v>287</v>
      </c>
      <c r="D252" s="21" t="s">
        <v>4317</v>
      </c>
      <c r="E252" s="20" t="s">
        <v>4318</v>
      </c>
      <c r="F252" s="20"/>
      <c r="G252" s="20"/>
      <c r="H252" s="20"/>
    </row>
    <row r="253" customFormat="false" ht="15" hidden="false" customHeight="false" outlineLevel="0" collapsed="false">
      <c r="A253" s="20" t="s">
        <v>4319</v>
      </c>
      <c r="B253" s="20" t="s">
        <v>30</v>
      </c>
      <c r="C253" s="20" t="s">
        <v>1322</v>
      </c>
      <c r="D253" s="21" t="s">
        <v>4320</v>
      </c>
      <c r="E253" s="20" t="s">
        <v>4321</v>
      </c>
      <c r="F253" s="20"/>
      <c r="G253" s="20"/>
      <c r="H253" s="20"/>
    </row>
    <row r="254" customFormat="false" ht="23.85" hidden="false" customHeight="false" outlineLevel="0" collapsed="false">
      <c r="A254" s="20" t="s">
        <v>4322</v>
      </c>
      <c r="B254" s="20" t="s">
        <v>23</v>
      </c>
      <c r="C254" s="20" t="s">
        <v>4323</v>
      </c>
      <c r="D254" s="21" t="s">
        <v>4324</v>
      </c>
      <c r="E254" s="20" t="s">
        <v>4325</v>
      </c>
      <c r="F254" s="20" t="s">
        <v>4326</v>
      </c>
      <c r="G254" s="20"/>
      <c r="H254" s="20"/>
    </row>
    <row r="255" customFormat="false" ht="23.85" hidden="false" customHeight="false" outlineLevel="0" collapsed="false">
      <c r="A255" s="20" t="s">
        <v>4327</v>
      </c>
      <c r="B255" s="20" t="s">
        <v>28</v>
      </c>
      <c r="C255" s="20" t="s">
        <v>901</v>
      </c>
      <c r="D255" s="21" t="s">
        <v>4328</v>
      </c>
      <c r="E255" s="20" t="s">
        <v>4329</v>
      </c>
      <c r="F255" s="20" t="s">
        <v>4330</v>
      </c>
      <c r="G255" s="20"/>
      <c r="H255" s="20"/>
    </row>
    <row r="256" customFormat="false" ht="23.85" hidden="false" customHeight="false" outlineLevel="0" collapsed="false">
      <c r="A256" s="20" t="s">
        <v>4331</v>
      </c>
      <c r="B256" s="20" t="s">
        <v>32</v>
      </c>
      <c r="C256" s="20" t="s">
        <v>3650</v>
      </c>
      <c r="D256" s="21" t="s">
        <v>4332</v>
      </c>
      <c r="E256" s="20" t="s">
        <v>4333</v>
      </c>
      <c r="F256" s="20" t="s">
        <v>4334</v>
      </c>
      <c r="G256" s="20" t="n">
        <v>5</v>
      </c>
      <c r="H256" s="20" t="n">
        <v>72</v>
      </c>
    </row>
    <row r="257" customFormat="false" ht="23.85" hidden="false" customHeight="false" outlineLevel="0" collapsed="false">
      <c r="A257" s="20" t="s">
        <v>4335</v>
      </c>
      <c r="B257" s="20" t="s">
        <v>19</v>
      </c>
      <c r="C257" s="20" t="s">
        <v>4336</v>
      </c>
      <c r="D257" s="21" t="s">
        <v>4337</v>
      </c>
      <c r="E257" s="20"/>
      <c r="F257" s="20"/>
      <c r="G257" s="20" t="n">
        <v>5</v>
      </c>
      <c r="H257" s="20" t="n">
        <v>1</v>
      </c>
    </row>
    <row r="258" customFormat="false" ht="23.85" hidden="false" customHeight="false" outlineLevel="0" collapsed="false">
      <c r="A258" s="20" t="s">
        <v>4338</v>
      </c>
      <c r="B258" s="20" t="s">
        <v>23</v>
      </c>
      <c r="C258" s="20" t="s">
        <v>655</v>
      </c>
      <c r="D258" s="21" t="s">
        <v>4339</v>
      </c>
      <c r="E258" s="20"/>
      <c r="F258" s="20"/>
      <c r="G258" s="20"/>
      <c r="H258" s="20"/>
    </row>
    <row r="259" customFormat="false" ht="15" hidden="false" customHeight="false" outlineLevel="0" collapsed="false">
      <c r="A259" s="20" t="s">
        <v>4340</v>
      </c>
      <c r="B259" s="20" t="s">
        <v>31</v>
      </c>
      <c r="C259" s="20" t="s">
        <v>1542</v>
      </c>
      <c r="D259" s="21" t="s">
        <v>4341</v>
      </c>
      <c r="E259" s="20" t="s">
        <v>4342</v>
      </c>
      <c r="F259" s="20" t="s">
        <v>4343</v>
      </c>
      <c r="G259" s="20" t="n">
        <v>4</v>
      </c>
      <c r="H259" s="20" t="n">
        <v>3</v>
      </c>
    </row>
    <row r="260" customFormat="false" ht="23.85" hidden="false" customHeight="false" outlineLevel="0" collapsed="false">
      <c r="A260" s="20" t="s">
        <v>4344</v>
      </c>
      <c r="B260" s="20" t="s">
        <v>27</v>
      </c>
      <c r="C260" s="20" t="s">
        <v>4345</v>
      </c>
      <c r="D260" s="21" t="s">
        <v>4346</v>
      </c>
      <c r="E260" s="20"/>
      <c r="F260" s="20"/>
      <c r="G260" s="20" t="n">
        <v>4.3</v>
      </c>
      <c r="H260" s="20" t="n">
        <v>239</v>
      </c>
    </row>
    <row r="261" customFormat="false" ht="23.85" hidden="false" customHeight="false" outlineLevel="0" collapsed="false">
      <c r="A261" s="20" t="s">
        <v>4347</v>
      </c>
      <c r="B261" s="20" t="s">
        <v>27</v>
      </c>
      <c r="C261" s="20" t="s">
        <v>850</v>
      </c>
      <c r="D261" s="21" t="s">
        <v>4348</v>
      </c>
      <c r="E261" s="20"/>
      <c r="F261" s="20" t="s">
        <v>4349</v>
      </c>
      <c r="G261" s="20" t="n">
        <v>4.3</v>
      </c>
      <c r="H261" s="20" t="n">
        <v>125</v>
      </c>
    </row>
    <row r="262" customFormat="false" ht="23.85" hidden="false" customHeight="false" outlineLevel="0" collapsed="false">
      <c r="A262" s="20" t="s">
        <v>4350</v>
      </c>
      <c r="B262" s="20" t="s">
        <v>21</v>
      </c>
      <c r="C262" s="20" t="s">
        <v>4351</v>
      </c>
      <c r="D262" s="21" t="s">
        <v>4352</v>
      </c>
      <c r="E262" s="20" t="s">
        <v>4353</v>
      </c>
      <c r="F262" s="20"/>
      <c r="G262" s="20" t="n">
        <v>5</v>
      </c>
      <c r="H262" s="20" t="n">
        <v>10</v>
      </c>
    </row>
    <row r="263" customFormat="false" ht="15" hidden="false" customHeight="false" outlineLevel="0" collapsed="false">
      <c r="A263" s="20" t="s">
        <v>4354</v>
      </c>
      <c r="B263" s="20" t="s">
        <v>33</v>
      </c>
      <c r="C263" s="20" t="s">
        <v>1986</v>
      </c>
      <c r="D263" s="21" t="s">
        <v>4355</v>
      </c>
      <c r="E263" s="20" t="s">
        <v>4356</v>
      </c>
      <c r="F263" s="20"/>
      <c r="G263" s="20"/>
      <c r="H263" s="20"/>
    </row>
    <row r="264" customFormat="false" ht="15" hidden="false" customHeight="false" outlineLevel="0" collapsed="false">
      <c r="A264" s="20" t="s">
        <v>4357</v>
      </c>
      <c r="B264" s="20" t="s">
        <v>24</v>
      </c>
      <c r="C264" s="20" t="s">
        <v>3943</v>
      </c>
      <c r="D264" s="21" t="s">
        <v>4358</v>
      </c>
      <c r="E264" s="20" t="s">
        <v>4359</v>
      </c>
      <c r="F264" s="20" t="s">
        <v>4360</v>
      </c>
      <c r="G264" s="20" t="n">
        <v>4.6</v>
      </c>
      <c r="H264" s="20" t="n">
        <v>28</v>
      </c>
    </row>
    <row r="265" customFormat="false" ht="23.85" hidden="false" customHeight="false" outlineLevel="0" collapsed="false">
      <c r="A265" s="20" t="s">
        <v>4361</v>
      </c>
      <c r="B265" s="20" t="s">
        <v>31</v>
      </c>
      <c r="C265" s="20" t="s">
        <v>1542</v>
      </c>
      <c r="D265" s="21" t="s">
        <v>4362</v>
      </c>
      <c r="E265" s="20" t="s">
        <v>4363</v>
      </c>
      <c r="F265" s="20"/>
      <c r="G265" s="20" t="n">
        <v>5</v>
      </c>
      <c r="H265" s="20" t="n">
        <v>2</v>
      </c>
    </row>
    <row r="266" customFormat="false" ht="23.85" hidden="false" customHeight="false" outlineLevel="0" collapsed="false">
      <c r="A266" s="20" t="s">
        <v>4364</v>
      </c>
      <c r="B266" s="20" t="s">
        <v>32</v>
      </c>
      <c r="C266" s="20" t="s">
        <v>1776</v>
      </c>
      <c r="D266" s="21" t="s">
        <v>4365</v>
      </c>
      <c r="E266" s="20" t="s">
        <v>4366</v>
      </c>
      <c r="F266" s="20"/>
      <c r="G266" s="20" t="n">
        <v>3</v>
      </c>
      <c r="H266" s="20" t="n">
        <v>1</v>
      </c>
    </row>
    <row r="267" customFormat="false" ht="23.85" hidden="false" customHeight="false" outlineLevel="0" collapsed="false">
      <c r="A267" s="20" t="s">
        <v>4367</v>
      </c>
      <c r="B267" s="20" t="s">
        <v>24</v>
      </c>
      <c r="C267" s="20" t="s">
        <v>715</v>
      </c>
      <c r="D267" s="21" t="s">
        <v>4368</v>
      </c>
      <c r="E267" s="20" t="s">
        <v>4369</v>
      </c>
      <c r="F267" s="20"/>
      <c r="G267" s="20" t="n">
        <v>3.6</v>
      </c>
      <c r="H267" s="20" t="n">
        <v>12</v>
      </c>
    </row>
    <row r="268" customFormat="false" ht="23.85" hidden="false" customHeight="false" outlineLevel="0" collapsed="false">
      <c r="A268" s="20" t="s">
        <v>4370</v>
      </c>
      <c r="B268" s="20" t="s">
        <v>24</v>
      </c>
      <c r="C268" s="20" t="s">
        <v>715</v>
      </c>
      <c r="D268" s="21" t="s">
        <v>4371</v>
      </c>
      <c r="E268" s="20" t="s">
        <v>4372</v>
      </c>
      <c r="F268" s="20" t="s">
        <v>4373</v>
      </c>
      <c r="G268" s="20" t="n">
        <v>5</v>
      </c>
      <c r="H268" s="20" t="n">
        <v>52</v>
      </c>
    </row>
    <row r="269" customFormat="false" ht="23.85" hidden="false" customHeight="false" outlineLevel="0" collapsed="false">
      <c r="A269" s="20" t="s">
        <v>4374</v>
      </c>
      <c r="B269" s="20" t="s">
        <v>35</v>
      </c>
      <c r="C269" s="20" t="s">
        <v>2202</v>
      </c>
      <c r="D269" s="21" t="s">
        <v>4375</v>
      </c>
      <c r="E269" s="20" t="s">
        <v>4376</v>
      </c>
      <c r="F269" s="20"/>
      <c r="G269" s="20" t="n">
        <v>5</v>
      </c>
      <c r="H269" s="20" t="n">
        <v>1</v>
      </c>
    </row>
    <row r="270" customFormat="false" ht="23.85" hidden="false" customHeight="false" outlineLevel="0" collapsed="false">
      <c r="A270" s="20" t="s">
        <v>4377</v>
      </c>
      <c r="B270" s="20" t="s">
        <v>23</v>
      </c>
      <c r="C270" s="20" t="s">
        <v>4378</v>
      </c>
      <c r="D270" s="21" t="s">
        <v>4379</v>
      </c>
      <c r="E270" s="20"/>
      <c r="F270" s="20"/>
      <c r="G270" s="20" t="n">
        <v>3.7</v>
      </c>
      <c r="H270" s="20" t="n">
        <v>10</v>
      </c>
    </row>
    <row r="271" customFormat="false" ht="15" hidden="false" customHeight="false" outlineLevel="0" collapsed="false">
      <c r="A271" s="20" t="s">
        <v>4380</v>
      </c>
      <c r="B271" s="20" t="s">
        <v>34</v>
      </c>
      <c r="C271" s="20" t="s">
        <v>2090</v>
      </c>
      <c r="D271" s="21" t="s">
        <v>4381</v>
      </c>
      <c r="E271" s="20" t="s">
        <v>4382</v>
      </c>
      <c r="F271" s="20"/>
      <c r="G271" s="20"/>
      <c r="H271" s="20"/>
    </row>
    <row r="272" customFormat="false" ht="23.85" hidden="false" customHeight="false" outlineLevel="0" collapsed="false">
      <c r="A272" s="20" t="s">
        <v>4383</v>
      </c>
      <c r="B272" s="20" t="s">
        <v>28</v>
      </c>
      <c r="C272" s="20" t="s">
        <v>901</v>
      </c>
      <c r="D272" s="21" t="s">
        <v>4384</v>
      </c>
      <c r="E272" s="20" t="s">
        <v>4385</v>
      </c>
      <c r="F272" s="20"/>
      <c r="G272" s="20" t="n">
        <v>5</v>
      </c>
      <c r="H272" s="20" t="n">
        <v>6</v>
      </c>
    </row>
    <row r="273" customFormat="false" ht="15" hidden="false" customHeight="false" outlineLevel="0" collapsed="false">
      <c r="A273" s="20" t="s">
        <v>4386</v>
      </c>
      <c r="B273" s="20" t="s">
        <v>28</v>
      </c>
      <c r="C273" s="20" t="s">
        <v>3633</v>
      </c>
      <c r="D273" s="21" t="s">
        <v>4387</v>
      </c>
      <c r="E273" s="20" t="s">
        <v>4388</v>
      </c>
      <c r="F273" s="20"/>
      <c r="G273" s="20"/>
      <c r="H273" s="20"/>
    </row>
    <row r="274" customFormat="false" ht="23.85" hidden="false" customHeight="false" outlineLevel="0" collapsed="false">
      <c r="A274" s="20" t="s">
        <v>4389</v>
      </c>
      <c r="B274" s="20" t="s">
        <v>30</v>
      </c>
      <c r="C274" s="20" t="s">
        <v>1389</v>
      </c>
      <c r="D274" s="21" t="s">
        <v>4390</v>
      </c>
      <c r="E274" s="20" t="s">
        <v>4391</v>
      </c>
      <c r="F274" s="20"/>
      <c r="G274" s="20"/>
      <c r="H274" s="20"/>
    </row>
    <row r="275" customFormat="false" ht="23.85" hidden="false" customHeight="false" outlineLevel="0" collapsed="false">
      <c r="A275" s="20" t="s">
        <v>4392</v>
      </c>
      <c r="B275" s="20" t="s">
        <v>34</v>
      </c>
      <c r="C275" s="20" t="s">
        <v>2157</v>
      </c>
      <c r="D275" s="21" t="s">
        <v>4393</v>
      </c>
      <c r="E275" s="20" t="s">
        <v>4394</v>
      </c>
      <c r="F275" s="20"/>
      <c r="G275" s="20" t="n">
        <v>3.9</v>
      </c>
      <c r="H275" s="20" t="n">
        <v>34</v>
      </c>
    </row>
    <row r="276" customFormat="false" ht="23.85" hidden="false" customHeight="false" outlineLevel="0" collapsed="false">
      <c r="A276" s="20" t="s">
        <v>4395</v>
      </c>
      <c r="B276" s="20" t="s">
        <v>30</v>
      </c>
      <c r="C276" s="20" t="s">
        <v>1322</v>
      </c>
      <c r="D276" s="21" t="s">
        <v>4396</v>
      </c>
      <c r="E276" s="20"/>
      <c r="F276" s="20"/>
      <c r="G276" s="20" t="n">
        <v>5</v>
      </c>
      <c r="H276" s="20" t="n">
        <v>2</v>
      </c>
    </row>
    <row r="277" customFormat="false" ht="23.85" hidden="false" customHeight="false" outlineLevel="0" collapsed="false">
      <c r="A277" s="20" t="s">
        <v>4397</v>
      </c>
      <c r="B277" s="20" t="s">
        <v>28</v>
      </c>
      <c r="C277" s="20" t="s">
        <v>2965</v>
      </c>
      <c r="D277" s="21" t="s">
        <v>4398</v>
      </c>
      <c r="E277" s="20" t="s">
        <v>4399</v>
      </c>
      <c r="F277" s="20"/>
      <c r="G277" s="20"/>
      <c r="H277" s="20"/>
    </row>
    <row r="278" customFormat="false" ht="23.85" hidden="false" customHeight="false" outlineLevel="0" collapsed="false">
      <c r="A278" s="20" t="s">
        <v>4400</v>
      </c>
      <c r="B278" s="20" t="s">
        <v>34</v>
      </c>
      <c r="C278" s="20" t="s">
        <v>2157</v>
      </c>
      <c r="D278" s="21" t="s">
        <v>4401</v>
      </c>
      <c r="E278" s="20" t="s">
        <v>4402</v>
      </c>
      <c r="F278" s="20" t="s">
        <v>4403</v>
      </c>
      <c r="G278" s="20" t="n">
        <v>4.2</v>
      </c>
      <c r="H278" s="20" t="n">
        <v>442</v>
      </c>
    </row>
    <row r="279" customFormat="false" ht="15" hidden="false" customHeight="false" outlineLevel="0" collapsed="false">
      <c r="A279" s="20" t="s">
        <v>4404</v>
      </c>
      <c r="B279" s="20" t="s">
        <v>32</v>
      </c>
      <c r="C279" s="20" t="s">
        <v>4405</v>
      </c>
      <c r="D279" s="21" t="s">
        <v>4406</v>
      </c>
      <c r="E279" s="20" t="s">
        <v>4407</v>
      </c>
      <c r="F279" s="20" t="s">
        <v>4408</v>
      </c>
      <c r="G279" s="20"/>
      <c r="H279" s="20"/>
    </row>
    <row r="280" customFormat="false" ht="15" hidden="false" customHeight="false" outlineLevel="0" collapsed="false">
      <c r="A280" s="20" t="s">
        <v>4409</v>
      </c>
      <c r="B280" s="20" t="s">
        <v>35</v>
      </c>
      <c r="C280" s="20" t="s">
        <v>2202</v>
      </c>
      <c r="D280" s="21" t="s">
        <v>4410</v>
      </c>
      <c r="E280" s="20" t="s">
        <v>4411</v>
      </c>
      <c r="F280" s="20"/>
      <c r="G280" s="20" t="n">
        <v>5</v>
      </c>
      <c r="H280" s="20" t="n">
        <v>2</v>
      </c>
    </row>
    <row r="281" customFormat="false" ht="15" hidden="false" customHeight="false" outlineLevel="0" collapsed="false">
      <c r="A281" s="20" t="s">
        <v>4412</v>
      </c>
      <c r="B281" s="20" t="s">
        <v>30</v>
      </c>
      <c r="C281" s="20" t="s">
        <v>1322</v>
      </c>
      <c r="D281" s="21" t="s">
        <v>4413</v>
      </c>
      <c r="E281" s="20" t="s">
        <v>4414</v>
      </c>
      <c r="F281" s="20"/>
      <c r="G281" s="20" t="n">
        <v>5</v>
      </c>
      <c r="H281" s="20" t="n">
        <v>1</v>
      </c>
    </row>
    <row r="282" customFormat="false" ht="23.85" hidden="false" customHeight="false" outlineLevel="0" collapsed="false">
      <c r="A282" s="20" t="s">
        <v>4415</v>
      </c>
      <c r="B282" s="20" t="s">
        <v>22</v>
      </c>
      <c r="C282" s="20"/>
      <c r="D282" s="21" t="s">
        <v>4416</v>
      </c>
      <c r="E282" s="20"/>
      <c r="F282" s="20"/>
      <c r="G282" s="20"/>
      <c r="H282" s="20"/>
    </row>
    <row r="283" customFormat="false" ht="23.85" hidden="false" customHeight="false" outlineLevel="0" collapsed="false">
      <c r="A283" s="20" t="s">
        <v>4417</v>
      </c>
      <c r="B283" s="20" t="s">
        <v>18</v>
      </c>
      <c r="C283" s="20" t="s">
        <v>4418</v>
      </c>
      <c r="D283" s="21" t="s">
        <v>4419</v>
      </c>
      <c r="E283" s="20" t="s">
        <v>4420</v>
      </c>
      <c r="F283" s="20" t="s">
        <v>4421</v>
      </c>
      <c r="G283" s="20"/>
      <c r="H283" s="20"/>
    </row>
    <row r="284" customFormat="false" ht="23.85" hidden="false" customHeight="false" outlineLevel="0" collapsed="false">
      <c r="A284" s="20" t="s">
        <v>4422</v>
      </c>
      <c r="B284" s="20" t="s">
        <v>28</v>
      </c>
      <c r="C284" s="20" t="s">
        <v>913</v>
      </c>
      <c r="D284" s="21" t="s">
        <v>4423</v>
      </c>
      <c r="E284" s="20" t="s">
        <v>4424</v>
      </c>
      <c r="F284" s="20"/>
      <c r="G284" s="20"/>
      <c r="H284" s="20"/>
    </row>
    <row r="285" customFormat="false" ht="23.85" hidden="false" customHeight="false" outlineLevel="0" collapsed="false">
      <c r="A285" s="20" t="s">
        <v>4425</v>
      </c>
      <c r="B285" s="20" t="s">
        <v>22</v>
      </c>
      <c r="C285" s="20" t="s">
        <v>540</v>
      </c>
      <c r="D285" s="21" t="s">
        <v>4426</v>
      </c>
      <c r="E285" s="20"/>
      <c r="F285" s="20"/>
      <c r="G285" s="20"/>
      <c r="H285" s="20"/>
    </row>
    <row r="286" customFormat="false" ht="23.85" hidden="false" customHeight="false" outlineLevel="0" collapsed="false">
      <c r="A286" s="20" t="s">
        <v>4427</v>
      </c>
      <c r="B286" s="20" t="s">
        <v>35</v>
      </c>
      <c r="C286" s="20"/>
      <c r="D286" s="21" t="s">
        <v>4428</v>
      </c>
      <c r="E286" s="20"/>
      <c r="F286" s="20"/>
      <c r="G286" s="20"/>
      <c r="H286" s="20"/>
    </row>
    <row r="287" customFormat="false" ht="15" hidden="false" customHeight="false" outlineLevel="0" collapsed="false">
      <c r="A287" s="20" t="s">
        <v>4429</v>
      </c>
      <c r="B287" s="20" t="s">
        <v>28</v>
      </c>
      <c r="C287" s="20" t="s">
        <v>4430</v>
      </c>
      <c r="D287" s="21" t="s">
        <v>4431</v>
      </c>
      <c r="E287" s="20" t="s">
        <v>4432</v>
      </c>
      <c r="F287" s="20"/>
      <c r="G287" s="20"/>
      <c r="H287" s="20"/>
    </row>
    <row r="288" customFormat="false" ht="23.85" hidden="false" customHeight="false" outlineLevel="0" collapsed="false">
      <c r="A288" s="20" t="s">
        <v>4433</v>
      </c>
      <c r="B288" s="20" t="s">
        <v>28</v>
      </c>
      <c r="C288" s="20" t="s">
        <v>907</v>
      </c>
      <c r="D288" s="21" t="s">
        <v>4434</v>
      </c>
      <c r="E288" s="20" t="s">
        <v>4435</v>
      </c>
      <c r="F288" s="20" t="s">
        <v>4436</v>
      </c>
      <c r="G288" s="20" t="n">
        <v>4.6</v>
      </c>
      <c r="H288" s="20" t="n">
        <v>16</v>
      </c>
    </row>
    <row r="289" customFormat="false" ht="23.85" hidden="false" customHeight="false" outlineLevel="0" collapsed="false">
      <c r="A289" s="20" t="s">
        <v>4437</v>
      </c>
      <c r="B289" s="20" t="s">
        <v>34</v>
      </c>
      <c r="C289" s="20" t="s">
        <v>2071</v>
      </c>
      <c r="D289" s="21" t="s">
        <v>4438</v>
      </c>
      <c r="E289" s="20" t="s">
        <v>4439</v>
      </c>
      <c r="F289" s="20"/>
      <c r="G289" s="20" t="n">
        <v>4</v>
      </c>
      <c r="H289" s="20" t="n">
        <v>1</v>
      </c>
    </row>
    <row r="290" customFormat="false" ht="15" hidden="false" customHeight="false" outlineLevel="0" collapsed="false">
      <c r="A290" s="20" t="s">
        <v>4440</v>
      </c>
      <c r="B290" s="20" t="s">
        <v>28</v>
      </c>
      <c r="C290" s="20" t="s">
        <v>934</v>
      </c>
      <c r="D290" s="21" t="s">
        <v>4441</v>
      </c>
      <c r="E290" s="20" t="s">
        <v>4442</v>
      </c>
      <c r="F290" s="20"/>
      <c r="G290" s="20"/>
      <c r="H290" s="20"/>
    </row>
    <row r="291" customFormat="false" ht="23.85" hidden="false" customHeight="false" outlineLevel="0" collapsed="false">
      <c r="A291" s="20" t="s">
        <v>4443</v>
      </c>
      <c r="B291" s="20" t="s">
        <v>31</v>
      </c>
      <c r="C291" s="20" t="s">
        <v>1522</v>
      </c>
      <c r="D291" s="21" t="s">
        <v>4444</v>
      </c>
      <c r="E291" s="20" t="s">
        <v>4445</v>
      </c>
      <c r="F291" s="20" t="s">
        <v>4446</v>
      </c>
      <c r="G291" s="20"/>
      <c r="H291" s="20"/>
    </row>
    <row r="292" customFormat="false" ht="15" hidden="false" customHeight="false" outlineLevel="0" collapsed="false">
      <c r="A292" s="20" t="s">
        <v>4447</v>
      </c>
      <c r="B292" s="20" t="s">
        <v>33</v>
      </c>
      <c r="C292" s="20" t="s">
        <v>1986</v>
      </c>
      <c r="D292" s="21" t="s">
        <v>4448</v>
      </c>
      <c r="E292" s="20" t="s">
        <v>4449</v>
      </c>
      <c r="F292" s="20"/>
      <c r="G292" s="20"/>
      <c r="H292" s="20"/>
    </row>
    <row r="293" customFormat="false" ht="23.85" hidden="false" customHeight="false" outlineLevel="0" collapsed="false">
      <c r="A293" s="20" t="s">
        <v>4450</v>
      </c>
      <c r="B293" s="20" t="s">
        <v>28</v>
      </c>
      <c r="C293" s="20" t="s">
        <v>892</v>
      </c>
      <c r="D293" s="21" t="s">
        <v>4451</v>
      </c>
      <c r="E293" s="20" t="s">
        <v>4452</v>
      </c>
      <c r="F293" s="20"/>
      <c r="G293" s="20" t="n">
        <v>5</v>
      </c>
      <c r="H293" s="20" t="n">
        <v>2</v>
      </c>
    </row>
    <row r="294" customFormat="false" ht="15" hidden="false" customHeight="false" outlineLevel="0" collapsed="false">
      <c r="A294" s="20" t="s">
        <v>4453</v>
      </c>
      <c r="B294" s="20" t="s">
        <v>23</v>
      </c>
      <c r="C294" s="20" t="s">
        <v>4454</v>
      </c>
      <c r="D294" s="21" t="s">
        <v>4455</v>
      </c>
      <c r="E294" s="20"/>
      <c r="F294" s="20"/>
      <c r="G294" s="20" t="n">
        <v>5</v>
      </c>
      <c r="H294" s="20" t="n">
        <v>3</v>
      </c>
    </row>
    <row r="295" customFormat="false" ht="15" hidden="false" customHeight="false" outlineLevel="0" collapsed="false">
      <c r="A295" s="20" t="s">
        <v>4456</v>
      </c>
      <c r="B295" s="20" t="s">
        <v>34</v>
      </c>
      <c r="C295" s="20" t="s">
        <v>2090</v>
      </c>
      <c r="D295" s="21" t="s">
        <v>4457</v>
      </c>
      <c r="E295" s="20" t="s">
        <v>4458</v>
      </c>
      <c r="F295" s="20"/>
      <c r="G295" s="20"/>
      <c r="H295" s="20"/>
    </row>
    <row r="296" customFormat="false" ht="15" hidden="false" customHeight="false" outlineLevel="0" collapsed="false">
      <c r="A296" s="20" t="s">
        <v>4459</v>
      </c>
      <c r="B296" s="20" t="s">
        <v>29</v>
      </c>
      <c r="C296" s="20" t="s">
        <v>1312</v>
      </c>
      <c r="D296" s="21" t="s">
        <v>4460</v>
      </c>
      <c r="E296" s="20" t="s">
        <v>4461</v>
      </c>
      <c r="F296" s="20"/>
      <c r="G296" s="20"/>
      <c r="H296" s="20"/>
    </row>
    <row r="297" customFormat="false" ht="23.85" hidden="false" customHeight="false" outlineLevel="0" collapsed="false">
      <c r="A297" s="20" t="s">
        <v>4462</v>
      </c>
      <c r="B297" s="20" t="s">
        <v>21</v>
      </c>
      <c r="C297" s="20" t="s">
        <v>347</v>
      </c>
      <c r="D297" s="21" t="s">
        <v>4463</v>
      </c>
      <c r="E297" s="20"/>
      <c r="F297" s="20"/>
      <c r="G297" s="20"/>
      <c r="H297" s="20"/>
    </row>
    <row r="298" customFormat="false" ht="23.85" hidden="false" customHeight="false" outlineLevel="0" collapsed="false">
      <c r="A298" s="20" t="s">
        <v>4464</v>
      </c>
      <c r="B298" s="20" t="s">
        <v>27</v>
      </c>
      <c r="C298" s="20" t="s">
        <v>4465</v>
      </c>
      <c r="D298" s="21" t="s">
        <v>4466</v>
      </c>
      <c r="E298" s="20"/>
      <c r="F298" s="20"/>
      <c r="G298" s="20" t="n">
        <v>4.4</v>
      </c>
      <c r="H298" s="20" t="n">
        <v>122</v>
      </c>
    </row>
    <row r="299" customFormat="false" ht="23.85" hidden="false" customHeight="false" outlineLevel="0" collapsed="false">
      <c r="A299" s="20" t="s">
        <v>4467</v>
      </c>
      <c r="B299" s="20" t="s">
        <v>19</v>
      </c>
      <c r="C299" s="20" t="s">
        <v>3637</v>
      </c>
      <c r="D299" s="21" t="s">
        <v>4466</v>
      </c>
      <c r="E299" s="20"/>
      <c r="F299" s="20"/>
      <c r="G299" s="20" t="n">
        <v>3.8</v>
      </c>
      <c r="H299" s="20" t="n">
        <v>53</v>
      </c>
    </row>
    <row r="300" customFormat="false" ht="23.85" hidden="false" customHeight="false" outlineLevel="0" collapsed="false">
      <c r="A300" s="20" t="s">
        <v>4468</v>
      </c>
      <c r="B300" s="20" t="s">
        <v>33</v>
      </c>
      <c r="C300" s="20" t="s">
        <v>719</v>
      </c>
      <c r="D300" s="21" t="s">
        <v>4469</v>
      </c>
      <c r="E300" s="20" t="s">
        <v>4470</v>
      </c>
      <c r="F300" s="20"/>
      <c r="G300" s="20" t="n">
        <v>5</v>
      </c>
      <c r="H300" s="20" t="n">
        <v>1</v>
      </c>
    </row>
    <row r="301" customFormat="false" ht="23.85" hidden="false" customHeight="false" outlineLevel="0" collapsed="false">
      <c r="A301" s="20" t="s">
        <v>4471</v>
      </c>
      <c r="B301" s="20" t="s">
        <v>31</v>
      </c>
      <c r="C301" s="20" t="s">
        <v>1552</v>
      </c>
      <c r="D301" s="21" t="s">
        <v>4472</v>
      </c>
      <c r="E301" s="20" t="s">
        <v>4473</v>
      </c>
      <c r="F301" s="20"/>
      <c r="G301" s="20"/>
      <c r="H301" s="20"/>
    </row>
    <row r="302" customFormat="false" ht="15" hidden="false" customHeight="false" outlineLevel="0" collapsed="false">
      <c r="A302" s="20" t="s">
        <v>4474</v>
      </c>
      <c r="B302" s="20" t="s">
        <v>33</v>
      </c>
      <c r="C302" s="20" t="s">
        <v>719</v>
      </c>
      <c r="D302" s="21" t="s">
        <v>4475</v>
      </c>
      <c r="E302" s="20"/>
      <c r="F302" s="20"/>
      <c r="G302" s="20" t="n">
        <v>4.5</v>
      </c>
      <c r="H302" s="20" t="n">
        <v>24</v>
      </c>
    </row>
    <row r="303" customFormat="false" ht="15" hidden="false" customHeight="false" outlineLevel="0" collapsed="false">
      <c r="A303" s="20" t="s">
        <v>4476</v>
      </c>
      <c r="B303" s="20" t="s">
        <v>29</v>
      </c>
      <c r="C303" s="20" t="s">
        <v>1188</v>
      </c>
      <c r="D303" s="21" t="s">
        <v>4477</v>
      </c>
      <c r="E303" s="20" t="s">
        <v>4478</v>
      </c>
      <c r="F303" s="20"/>
      <c r="G303" s="20"/>
      <c r="H303" s="20"/>
    </row>
    <row r="304" customFormat="false" ht="15" hidden="false" customHeight="false" outlineLevel="0" collapsed="false">
      <c r="A304" s="20" t="s">
        <v>4479</v>
      </c>
      <c r="B304" s="20" t="s">
        <v>18</v>
      </c>
      <c r="C304" s="20" t="s">
        <v>121</v>
      </c>
      <c r="D304" s="21" t="s">
        <v>4480</v>
      </c>
      <c r="E304" s="20"/>
      <c r="F304" s="20"/>
      <c r="G304" s="20" t="n">
        <v>3.5</v>
      </c>
      <c r="H304" s="20" t="n">
        <v>20</v>
      </c>
    </row>
    <row r="305" customFormat="false" ht="15" hidden="false" customHeight="false" outlineLevel="0" collapsed="false">
      <c r="A305" s="20" t="s">
        <v>4481</v>
      </c>
      <c r="B305" s="20" t="s">
        <v>23</v>
      </c>
      <c r="C305" s="20" t="s">
        <v>3958</v>
      </c>
      <c r="D305" s="21" t="s">
        <v>4482</v>
      </c>
      <c r="E305" s="20"/>
      <c r="F305" s="20"/>
      <c r="G305" s="20" t="n">
        <v>5</v>
      </c>
      <c r="H305" s="20" t="n">
        <v>1</v>
      </c>
    </row>
    <row r="306" customFormat="false" ht="23.85" hidden="false" customHeight="false" outlineLevel="0" collapsed="false">
      <c r="A306" s="20" t="s">
        <v>4483</v>
      </c>
      <c r="B306" s="20" t="s">
        <v>28</v>
      </c>
      <c r="C306" s="20" t="s">
        <v>901</v>
      </c>
      <c r="D306" s="21" t="s">
        <v>4484</v>
      </c>
      <c r="E306" s="20" t="s">
        <v>4485</v>
      </c>
      <c r="F306" s="20"/>
      <c r="G306" s="20"/>
      <c r="H306" s="20"/>
    </row>
    <row r="307" customFormat="false" ht="23.85" hidden="false" customHeight="false" outlineLevel="0" collapsed="false">
      <c r="A307" s="20" t="s">
        <v>4486</v>
      </c>
      <c r="B307" s="20" t="s">
        <v>26</v>
      </c>
      <c r="C307" s="20" t="s">
        <v>823</v>
      </c>
      <c r="D307" s="21" t="s">
        <v>4487</v>
      </c>
      <c r="E307" s="20" t="s">
        <v>4488</v>
      </c>
      <c r="F307" s="20" t="s">
        <v>4489</v>
      </c>
      <c r="G307" s="20"/>
      <c r="H307" s="20"/>
    </row>
    <row r="308" customFormat="false" ht="15" hidden="false" customHeight="false" outlineLevel="0" collapsed="false">
      <c r="A308" s="20" t="s">
        <v>4490</v>
      </c>
      <c r="B308" s="20" t="s">
        <v>35</v>
      </c>
      <c r="C308" s="20" t="s">
        <v>2202</v>
      </c>
      <c r="D308" s="21" t="s">
        <v>4491</v>
      </c>
      <c r="E308" s="20" t="s">
        <v>4492</v>
      </c>
      <c r="F308" s="20"/>
      <c r="G308" s="20"/>
      <c r="H308" s="20"/>
    </row>
    <row r="309" customFormat="false" ht="15" hidden="false" customHeight="false" outlineLevel="0" collapsed="false">
      <c r="A309" s="20" t="s">
        <v>4493</v>
      </c>
      <c r="B309" s="20" t="s">
        <v>32</v>
      </c>
      <c r="C309" s="20" t="s">
        <v>3650</v>
      </c>
      <c r="D309" s="21" t="s">
        <v>4494</v>
      </c>
      <c r="E309" s="20" t="s">
        <v>4495</v>
      </c>
      <c r="F309" s="20" t="s">
        <v>4496</v>
      </c>
      <c r="G309" s="20" t="n">
        <v>4.5</v>
      </c>
      <c r="H309" s="20" t="n">
        <v>4</v>
      </c>
    </row>
    <row r="310" customFormat="false" ht="15" hidden="false" customHeight="false" outlineLevel="0" collapsed="false">
      <c r="A310" s="20" t="s">
        <v>4497</v>
      </c>
      <c r="B310" s="20" t="s">
        <v>29</v>
      </c>
      <c r="C310" s="20" t="s">
        <v>1188</v>
      </c>
      <c r="D310" s="21" t="s">
        <v>4498</v>
      </c>
      <c r="E310" s="20" t="s">
        <v>4499</v>
      </c>
      <c r="F310" s="20"/>
      <c r="G310" s="20"/>
      <c r="H310" s="20"/>
    </row>
    <row r="311" customFormat="false" ht="23.85" hidden="false" customHeight="false" outlineLevel="0" collapsed="false">
      <c r="A311" s="20" t="s">
        <v>4500</v>
      </c>
      <c r="B311" s="20" t="s">
        <v>26</v>
      </c>
      <c r="C311" s="20" t="s">
        <v>3743</v>
      </c>
      <c r="D311" s="21" t="s">
        <v>4501</v>
      </c>
      <c r="E311" s="20" t="s">
        <v>4502</v>
      </c>
      <c r="F311" s="20" t="s">
        <v>4503</v>
      </c>
      <c r="G311" s="20" t="n">
        <v>4.4</v>
      </c>
      <c r="H311" s="20" t="n">
        <v>14</v>
      </c>
    </row>
    <row r="312" customFormat="false" ht="23.85" hidden="false" customHeight="false" outlineLevel="0" collapsed="false">
      <c r="A312" s="20" t="s">
        <v>4504</v>
      </c>
      <c r="B312" s="20" t="s">
        <v>29</v>
      </c>
      <c r="C312" s="20" t="s">
        <v>1312</v>
      </c>
      <c r="D312" s="21" t="s">
        <v>4505</v>
      </c>
      <c r="E312" s="20" t="s">
        <v>4506</v>
      </c>
      <c r="F312" s="20"/>
      <c r="G312" s="20"/>
      <c r="H312" s="20"/>
    </row>
    <row r="313" customFormat="false" ht="23.85" hidden="false" customHeight="false" outlineLevel="0" collapsed="false">
      <c r="A313" s="20" t="s">
        <v>4507</v>
      </c>
      <c r="B313" s="20" t="s">
        <v>30</v>
      </c>
      <c r="C313" s="20" t="s">
        <v>1389</v>
      </c>
      <c r="D313" s="21" t="s">
        <v>4508</v>
      </c>
      <c r="E313" s="20" t="s">
        <v>4509</v>
      </c>
      <c r="F313" s="20"/>
      <c r="G313" s="20"/>
      <c r="H313" s="20"/>
    </row>
    <row r="314" customFormat="false" ht="23.85" hidden="false" customHeight="false" outlineLevel="0" collapsed="false">
      <c r="A314" s="20" t="s">
        <v>4510</v>
      </c>
      <c r="B314" s="20" t="s">
        <v>34</v>
      </c>
      <c r="C314" s="20" t="s">
        <v>2073</v>
      </c>
      <c r="D314" s="21" t="s">
        <v>4511</v>
      </c>
      <c r="E314" s="20" t="s">
        <v>4512</v>
      </c>
      <c r="F314" s="20" t="s">
        <v>4513</v>
      </c>
      <c r="G314" s="20" t="n">
        <v>4.7</v>
      </c>
      <c r="H314" s="20" t="n">
        <v>131</v>
      </c>
    </row>
    <row r="315" customFormat="false" ht="23.85" hidden="false" customHeight="false" outlineLevel="0" collapsed="false">
      <c r="A315" s="20" t="s">
        <v>4514</v>
      </c>
      <c r="B315" s="20" t="s">
        <v>23</v>
      </c>
      <c r="C315" s="20" t="s">
        <v>4515</v>
      </c>
      <c r="D315" s="21" t="s">
        <v>4516</v>
      </c>
      <c r="E315" s="20"/>
      <c r="F315" s="20"/>
      <c r="G315" s="20"/>
      <c r="H315" s="20"/>
    </row>
    <row r="316" customFormat="false" ht="23.85" hidden="false" customHeight="false" outlineLevel="0" collapsed="false">
      <c r="A316" s="20" t="s">
        <v>4517</v>
      </c>
      <c r="B316" s="20" t="s">
        <v>29</v>
      </c>
      <c r="C316" s="20" t="s">
        <v>1312</v>
      </c>
      <c r="D316" s="21" t="s">
        <v>4518</v>
      </c>
      <c r="E316" s="20" t="s">
        <v>4519</v>
      </c>
      <c r="F316" s="20"/>
      <c r="G316" s="20"/>
      <c r="H316" s="20"/>
    </row>
    <row r="317" customFormat="false" ht="15" hidden="false" customHeight="false" outlineLevel="0" collapsed="false">
      <c r="A317" s="20" t="s">
        <v>4520</v>
      </c>
      <c r="B317" s="20" t="s">
        <v>26</v>
      </c>
      <c r="C317" s="20" t="s">
        <v>4179</v>
      </c>
      <c r="D317" s="21" t="s">
        <v>4521</v>
      </c>
      <c r="E317" s="20" t="s">
        <v>4522</v>
      </c>
      <c r="F317" s="20"/>
      <c r="G317" s="20"/>
      <c r="H317" s="20"/>
    </row>
    <row r="318" customFormat="false" ht="15" hidden="false" customHeight="false" outlineLevel="0" collapsed="false">
      <c r="A318" s="20" t="s">
        <v>4523</v>
      </c>
      <c r="B318" s="20" t="s">
        <v>23</v>
      </c>
      <c r="C318" s="20" t="s">
        <v>655</v>
      </c>
      <c r="D318" s="21" t="s">
        <v>4524</v>
      </c>
      <c r="E318" s="20"/>
      <c r="F318" s="20"/>
      <c r="G318" s="20"/>
      <c r="H318" s="20"/>
    </row>
    <row r="319" customFormat="false" ht="15" hidden="false" customHeight="false" outlineLevel="0" collapsed="false">
      <c r="A319" s="20" t="s">
        <v>4525</v>
      </c>
      <c r="B319" s="20"/>
      <c r="C319" s="20" t="s">
        <v>4526</v>
      </c>
      <c r="D319" s="21" t="s">
        <v>4527</v>
      </c>
      <c r="E319" s="20" t="s">
        <v>4528</v>
      </c>
      <c r="F319" s="20"/>
      <c r="G319" s="20"/>
      <c r="H319" s="20"/>
    </row>
    <row r="320" customFormat="false" ht="23.85" hidden="false" customHeight="false" outlineLevel="0" collapsed="false">
      <c r="A320" s="20" t="s">
        <v>4529</v>
      </c>
      <c r="B320" s="20" t="s">
        <v>29</v>
      </c>
      <c r="C320" s="20" t="s">
        <v>1312</v>
      </c>
      <c r="D320" s="21" t="s">
        <v>4530</v>
      </c>
      <c r="E320" s="20" t="s">
        <v>4531</v>
      </c>
      <c r="F320" s="20"/>
      <c r="G320" s="20" t="n">
        <v>5</v>
      </c>
      <c r="H320" s="20" t="n">
        <v>5</v>
      </c>
    </row>
    <row r="321" customFormat="false" ht="15" hidden="false" customHeight="false" outlineLevel="0" collapsed="false">
      <c r="A321" s="20" t="s">
        <v>4532</v>
      </c>
      <c r="B321" s="20" t="s">
        <v>29</v>
      </c>
      <c r="C321" s="20" t="s">
        <v>1188</v>
      </c>
      <c r="D321" s="21" t="s">
        <v>4533</v>
      </c>
      <c r="E321" s="20" t="s">
        <v>4534</v>
      </c>
      <c r="F321" s="20"/>
      <c r="G321" s="20"/>
      <c r="H321" s="20"/>
    </row>
    <row r="322" customFormat="false" ht="15" hidden="false" customHeight="false" outlineLevel="0" collapsed="false">
      <c r="A322" s="20" t="s">
        <v>4535</v>
      </c>
      <c r="B322" s="20" t="s">
        <v>26</v>
      </c>
      <c r="C322" s="20" t="s">
        <v>823</v>
      </c>
      <c r="D322" s="21" t="s">
        <v>4536</v>
      </c>
      <c r="E322" s="20"/>
      <c r="F322" s="20"/>
      <c r="G322" s="20"/>
      <c r="H322" s="20"/>
    </row>
    <row r="323" customFormat="false" ht="15" hidden="false" customHeight="false" outlineLevel="0" collapsed="false">
      <c r="A323" s="20" t="s">
        <v>4537</v>
      </c>
      <c r="B323" s="20" t="s">
        <v>23</v>
      </c>
      <c r="C323" s="20" t="s">
        <v>663</v>
      </c>
      <c r="D323" s="21" t="s">
        <v>4538</v>
      </c>
      <c r="E323" s="20"/>
      <c r="F323" s="20"/>
      <c r="G323" s="20"/>
      <c r="H323" s="20"/>
    </row>
    <row r="324" customFormat="false" ht="15" hidden="false" customHeight="false" outlineLevel="0" collapsed="false">
      <c r="A324" s="20" t="s">
        <v>4539</v>
      </c>
      <c r="B324" s="20" t="s">
        <v>26</v>
      </c>
      <c r="C324" s="20" t="s">
        <v>3700</v>
      </c>
      <c r="D324" s="21" t="s">
        <v>4540</v>
      </c>
      <c r="E324" s="20" t="s">
        <v>4541</v>
      </c>
      <c r="F324" s="20"/>
      <c r="G324" s="20"/>
      <c r="H324" s="20"/>
    </row>
    <row r="325" customFormat="false" ht="15" hidden="false" customHeight="false" outlineLevel="0" collapsed="false">
      <c r="A325" s="20" t="s">
        <v>4542</v>
      </c>
      <c r="B325" s="20" t="s">
        <v>23</v>
      </c>
      <c r="C325" s="20" t="s">
        <v>4543</v>
      </c>
      <c r="D325" s="21" t="s">
        <v>4544</v>
      </c>
      <c r="E325" s="20"/>
      <c r="F325" s="20"/>
      <c r="G325" s="20" t="n">
        <v>4</v>
      </c>
      <c r="H325" s="20" t="n">
        <v>1</v>
      </c>
    </row>
    <row r="326" customFormat="false" ht="15" hidden="false" customHeight="false" outlineLevel="0" collapsed="false">
      <c r="A326" s="20" t="s">
        <v>4545</v>
      </c>
      <c r="B326" s="20" t="s">
        <v>30</v>
      </c>
      <c r="C326" s="20" t="s">
        <v>1322</v>
      </c>
      <c r="D326" s="21" t="s">
        <v>4546</v>
      </c>
      <c r="E326" s="20" t="s">
        <v>4547</v>
      </c>
      <c r="F326" s="20"/>
      <c r="G326" s="20"/>
      <c r="H326" s="20"/>
    </row>
    <row r="327" customFormat="false" ht="15" hidden="false" customHeight="false" outlineLevel="0" collapsed="false">
      <c r="A327" s="20" t="s">
        <v>4548</v>
      </c>
      <c r="B327" s="20" t="s">
        <v>34</v>
      </c>
      <c r="C327" s="20" t="s">
        <v>2090</v>
      </c>
      <c r="D327" s="21" t="s">
        <v>4549</v>
      </c>
      <c r="E327" s="20" t="s">
        <v>4550</v>
      </c>
      <c r="F327" s="20" t="s">
        <v>4551</v>
      </c>
      <c r="G327" s="20" t="n">
        <v>4.6</v>
      </c>
      <c r="H327" s="20" t="n">
        <v>36</v>
      </c>
    </row>
    <row r="328" customFormat="false" ht="15" hidden="false" customHeight="false" outlineLevel="0" collapsed="false">
      <c r="A328" s="20" t="s">
        <v>4552</v>
      </c>
      <c r="B328" s="20" t="s">
        <v>34</v>
      </c>
      <c r="C328" s="20" t="s">
        <v>4553</v>
      </c>
      <c r="D328" s="21" t="s">
        <v>4554</v>
      </c>
      <c r="E328" s="20" t="s">
        <v>4555</v>
      </c>
      <c r="F328" s="20" t="s">
        <v>4556</v>
      </c>
      <c r="G328" s="20" t="n">
        <v>5</v>
      </c>
      <c r="H328" s="20" t="n">
        <v>1</v>
      </c>
    </row>
    <row r="329" customFormat="false" ht="15" hidden="false" customHeight="false" outlineLevel="0" collapsed="false">
      <c r="A329" s="20" t="s">
        <v>4557</v>
      </c>
      <c r="B329" s="20" t="s">
        <v>30</v>
      </c>
      <c r="C329" s="20" t="s">
        <v>1330</v>
      </c>
      <c r="D329" s="21" t="s">
        <v>4558</v>
      </c>
      <c r="E329" s="20" t="s">
        <v>4559</v>
      </c>
      <c r="F329" s="20"/>
      <c r="G329" s="20"/>
      <c r="H329" s="20"/>
    </row>
    <row r="330" customFormat="false" ht="23.85" hidden="false" customHeight="false" outlineLevel="0" collapsed="false">
      <c r="A330" s="20" t="s">
        <v>4560</v>
      </c>
      <c r="B330" s="20" t="s">
        <v>34</v>
      </c>
      <c r="C330" s="20" t="s">
        <v>2062</v>
      </c>
      <c r="D330" s="21" t="s">
        <v>4561</v>
      </c>
      <c r="E330" s="20" t="s">
        <v>4562</v>
      </c>
      <c r="F330" s="20"/>
      <c r="G330" s="20" t="n">
        <v>3.7</v>
      </c>
      <c r="H330" s="20" t="n">
        <v>3</v>
      </c>
    </row>
    <row r="331" customFormat="false" ht="15" hidden="false" customHeight="false" outlineLevel="0" collapsed="false">
      <c r="A331" s="20" t="s">
        <v>4563</v>
      </c>
      <c r="B331" s="20" t="s">
        <v>22</v>
      </c>
      <c r="C331" s="20" t="s">
        <v>540</v>
      </c>
      <c r="D331" s="21" t="s">
        <v>4564</v>
      </c>
      <c r="E331" s="20" t="s">
        <v>4565</v>
      </c>
      <c r="F331" s="20"/>
      <c r="G331" s="20" t="n">
        <v>2</v>
      </c>
      <c r="H331" s="20" t="n">
        <v>1</v>
      </c>
    </row>
    <row r="332" customFormat="false" ht="15" hidden="false" customHeight="false" outlineLevel="0" collapsed="false">
      <c r="A332" s="20" t="s">
        <v>4566</v>
      </c>
      <c r="B332" s="20" t="s">
        <v>23</v>
      </c>
      <c r="C332" s="20" t="s">
        <v>4229</v>
      </c>
      <c r="D332" s="21" t="s">
        <v>4567</v>
      </c>
      <c r="E332" s="20" t="s">
        <v>4568</v>
      </c>
      <c r="F332" s="20"/>
      <c r="G332" s="20"/>
      <c r="H332" s="20"/>
    </row>
    <row r="333" customFormat="false" ht="23.85" hidden="false" customHeight="false" outlineLevel="0" collapsed="false">
      <c r="A333" s="20" t="s">
        <v>4569</v>
      </c>
      <c r="B333" s="20" t="s">
        <v>33</v>
      </c>
      <c r="C333" s="20" t="s">
        <v>1986</v>
      </c>
      <c r="D333" s="21" t="s">
        <v>4570</v>
      </c>
      <c r="E333" s="20" t="s">
        <v>4571</v>
      </c>
      <c r="F333" s="20"/>
      <c r="G333" s="20"/>
      <c r="H333" s="20"/>
    </row>
    <row r="334" customFormat="false" ht="23.85" hidden="false" customHeight="false" outlineLevel="0" collapsed="false">
      <c r="A334" s="20" t="s">
        <v>4572</v>
      </c>
      <c r="B334" s="20" t="s">
        <v>22</v>
      </c>
      <c r="C334" s="20" t="s">
        <v>540</v>
      </c>
      <c r="D334" s="21" t="s">
        <v>4573</v>
      </c>
      <c r="E334" s="20" t="s">
        <v>4574</v>
      </c>
      <c r="F334" s="20"/>
      <c r="G334" s="20" t="n">
        <v>4.8</v>
      </c>
      <c r="H334" s="20" t="n">
        <v>6</v>
      </c>
    </row>
    <row r="335" customFormat="false" ht="15" hidden="false" customHeight="false" outlineLevel="0" collapsed="false">
      <c r="A335" s="20" t="s">
        <v>4575</v>
      </c>
      <c r="B335" s="20" t="s">
        <v>30</v>
      </c>
      <c r="C335" s="20" t="s">
        <v>1479</v>
      </c>
      <c r="D335" s="21" t="s">
        <v>4576</v>
      </c>
      <c r="E335" s="20" t="s">
        <v>4577</v>
      </c>
      <c r="F335" s="20"/>
      <c r="G335" s="20"/>
      <c r="H335" s="20"/>
    </row>
    <row r="336" customFormat="false" ht="23.85" hidden="false" customHeight="false" outlineLevel="0" collapsed="false">
      <c r="A336" s="20" t="s">
        <v>4578</v>
      </c>
      <c r="B336" s="20" t="s">
        <v>28</v>
      </c>
      <c r="C336" s="20" t="s">
        <v>897</v>
      </c>
      <c r="D336" s="21" t="s">
        <v>4579</v>
      </c>
      <c r="E336" s="20" t="s">
        <v>4580</v>
      </c>
      <c r="F336" s="20"/>
      <c r="G336" s="20"/>
      <c r="H336" s="20"/>
    </row>
    <row r="337" customFormat="false" ht="15" hidden="false" customHeight="false" outlineLevel="0" collapsed="false">
      <c r="A337" s="20" t="s">
        <v>4581</v>
      </c>
      <c r="B337" s="20" t="s">
        <v>33</v>
      </c>
      <c r="C337" s="20" t="s">
        <v>3806</v>
      </c>
      <c r="D337" s="21" t="s">
        <v>4582</v>
      </c>
      <c r="E337" s="20"/>
      <c r="F337" s="20"/>
      <c r="G337" s="20"/>
      <c r="H337" s="20"/>
    </row>
    <row r="338" customFormat="false" ht="15" hidden="false" customHeight="false" outlineLevel="0" collapsed="false">
      <c r="A338" s="20" t="s">
        <v>4583</v>
      </c>
      <c r="B338" s="20" t="s">
        <v>30</v>
      </c>
      <c r="C338" s="20" t="s">
        <v>1377</v>
      </c>
      <c r="D338" s="21" t="s">
        <v>4584</v>
      </c>
      <c r="E338" s="20" t="s">
        <v>4585</v>
      </c>
      <c r="F338" s="20"/>
      <c r="G338" s="20"/>
      <c r="H338" s="20"/>
    </row>
    <row r="339" customFormat="false" ht="15" hidden="false" customHeight="false" outlineLevel="0" collapsed="false">
      <c r="A339" s="20" t="s">
        <v>4586</v>
      </c>
      <c r="B339" s="20" t="s">
        <v>30</v>
      </c>
      <c r="C339" s="20" t="s">
        <v>4094</v>
      </c>
      <c r="D339" s="21" t="s">
        <v>4587</v>
      </c>
      <c r="E339" s="20"/>
      <c r="F339" s="20"/>
      <c r="G339" s="20"/>
      <c r="H339" s="20"/>
    </row>
    <row r="340" customFormat="false" ht="23.85" hidden="false" customHeight="false" outlineLevel="0" collapsed="false">
      <c r="A340" s="20" t="s">
        <v>4588</v>
      </c>
      <c r="B340" s="20" t="s">
        <v>21</v>
      </c>
      <c r="C340" s="20" t="s">
        <v>356</v>
      </c>
      <c r="D340" s="21" t="s">
        <v>4589</v>
      </c>
      <c r="E340" s="20" t="s">
        <v>4590</v>
      </c>
      <c r="F340" s="20"/>
      <c r="G340" s="20"/>
      <c r="H340" s="20"/>
    </row>
    <row r="341" customFormat="false" ht="23.85" hidden="false" customHeight="false" outlineLevel="0" collapsed="false">
      <c r="A341" s="20" t="s">
        <v>4591</v>
      </c>
      <c r="B341" s="20" t="s">
        <v>30</v>
      </c>
      <c r="C341" s="20" t="s">
        <v>1479</v>
      </c>
      <c r="D341" s="21" t="s">
        <v>4592</v>
      </c>
      <c r="E341" s="20" t="s">
        <v>4593</v>
      </c>
      <c r="F341" s="20"/>
      <c r="G341" s="20"/>
      <c r="H341" s="20"/>
    </row>
    <row r="342" customFormat="false" ht="15" hidden="false" customHeight="false" outlineLevel="0" collapsed="false">
      <c r="A342" s="20" t="s">
        <v>4594</v>
      </c>
      <c r="B342" s="20" t="s">
        <v>30</v>
      </c>
      <c r="C342" s="20" t="s">
        <v>1503</v>
      </c>
      <c r="D342" s="21" t="s">
        <v>4595</v>
      </c>
      <c r="E342" s="20" t="s">
        <v>4596</v>
      </c>
      <c r="F342" s="20"/>
      <c r="G342" s="20"/>
      <c r="H342" s="20"/>
    </row>
    <row r="343" customFormat="false" ht="15" hidden="false" customHeight="false" outlineLevel="0" collapsed="false">
      <c r="A343" s="20" t="s">
        <v>4597</v>
      </c>
      <c r="B343" s="20" t="s">
        <v>23</v>
      </c>
      <c r="C343" s="20" t="s">
        <v>2653</v>
      </c>
      <c r="D343" s="21" t="s">
        <v>4598</v>
      </c>
      <c r="E343" s="20"/>
      <c r="F343" s="20"/>
      <c r="G343" s="20"/>
      <c r="H343" s="20"/>
    </row>
    <row r="344" customFormat="false" ht="15" hidden="false" customHeight="false" outlineLevel="0" collapsed="false">
      <c r="A344" s="20" t="s">
        <v>4599</v>
      </c>
      <c r="B344" s="20" t="s">
        <v>23</v>
      </c>
      <c r="C344" s="20" t="s">
        <v>563</v>
      </c>
      <c r="D344" s="21" t="s">
        <v>4600</v>
      </c>
      <c r="E344" s="20"/>
      <c r="F344" s="20"/>
      <c r="G344" s="20"/>
      <c r="H344" s="20"/>
    </row>
    <row r="345" customFormat="false" ht="23.85" hidden="false" customHeight="false" outlineLevel="0" collapsed="false">
      <c r="A345" s="20" t="s">
        <v>4601</v>
      </c>
      <c r="B345" s="20" t="s">
        <v>21</v>
      </c>
      <c r="C345" s="20" t="s">
        <v>356</v>
      </c>
      <c r="D345" s="21" t="s">
        <v>4602</v>
      </c>
      <c r="E345" s="20" t="s">
        <v>4603</v>
      </c>
      <c r="F345" s="20"/>
      <c r="G345" s="20" t="n">
        <v>2</v>
      </c>
      <c r="H345" s="20" t="n">
        <v>1</v>
      </c>
    </row>
    <row r="346" customFormat="false" ht="15" hidden="false" customHeight="false" outlineLevel="0" collapsed="false">
      <c r="A346" s="20" t="s">
        <v>4604</v>
      </c>
      <c r="B346" s="20" t="s">
        <v>30</v>
      </c>
      <c r="C346" s="20" t="s">
        <v>1336</v>
      </c>
      <c r="D346" s="21" t="s">
        <v>4605</v>
      </c>
      <c r="E346" s="20" t="s">
        <v>4606</v>
      </c>
      <c r="F346" s="20"/>
      <c r="G346" s="20"/>
      <c r="H346" s="20"/>
    </row>
    <row r="347" customFormat="false" ht="23.85" hidden="false" customHeight="false" outlineLevel="0" collapsed="false">
      <c r="A347" s="20" t="s">
        <v>4607</v>
      </c>
      <c r="B347" s="20" t="s">
        <v>19</v>
      </c>
      <c r="C347" s="20" t="s">
        <v>2372</v>
      </c>
      <c r="D347" s="21" t="s">
        <v>4608</v>
      </c>
      <c r="E347" s="20"/>
      <c r="F347" s="20"/>
      <c r="G347" s="20" t="n">
        <v>4.1</v>
      </c>
      <c r="H347" s="20" t="n">
        <v>17</v>
      </c>
    </row>
    <row r="348" customFormat="false" ht="23.85" hidden="false" customHeight="false" outlineLevel="0" collapsed="false">
      <c r="A348" s="20" t="s">
        <v>4609</v>
      </c>
      <c r="B348" s="20" t="s">
        <v>22</v>
      </c>
      <c r="C348" s="20" t="s">
        <v>540</v>
      </c>
      <c r="D348" s="21" t="s">
        <v>4610</v>
      </c>
      <c r="E348" s="20"/>
      <c r="F348" s="20"/>
      <c r="G348" s="20"/>
      <c r="H348" s="20"/>
    </row>
    <row r="349" customFormat="false" ht="23.85" hidden="false" customHeight="false" outlineLevel="0" collapsed="false">
      <c r="A349" s="20" t="s">
        <v>4611</v>
      </c>
      <c r="B349" s="20" t="s">
        <v>28</v>
      </c>
      <c r="C349" s="20" t="s">
        <v>1025</v>
      </c>
      <c r="D349" s="21" t="s">
        <v>4612</v>
      </c>
      <c r="E349" s="20" t="s">
        <v>4613</v>
      </c>
      <c r="F349" s="20"/>
      <c r="G349" s="20"/>
      <c r="H349" s="20"/>
    </row>
    <row r="350" customFormat="false" ht="23.85" hidden="false" customHeight="false" outlineLevel="0" collapsed="false">
      <c r="A350" s="20" t="s">
        <v>4614</v>
      </c>
      <c r="B350" s="20" t="s">
        <v>24</v>
      </c>
      <c r="C350" s="20" t="s">
        <v>3943</v>
      </c>
      <c r="D350" s="21" t="s">
        <v>4615</v>
      </c>
      <c r="E350" s="20" t="s">
        <v>4616</v>
      </c>
      <c r="F350" s="20" t="s">
        <v>4617</v>
      </c>
      <c r="G350" s="20" t="n">
        <v>4.9</v>
      </c>
      <c r="H350" s="20" t="n">
        <v>60</v>
      </c>
    </row>
    <row r="351" customFormat="false" ht="15" hidden="false" customHeight="false" outlineLevel="0" collapsed="false">
      <c r="A351" s="20" t="s">
        <v>4618</v>
      </c>
      <c r="B351" s="20" t="s">
        <v>24</v>
      </c>
      <c r="C351" s="20" t="s">
        <v>715</v>
      </c>
      <c r="D351" s="21" t="s">
        <v>4619</v>
      </c>
      <c r="E351" s="20" t="s">
        <v>4616</v>
      </c>
      <c r="F351" s="20" t="s">
        <v>4617</v>
      </c>
      <c r="G351" s="20" t="n">
        <v>4.8</v>
      </c>
      <c r="H351" s="20" t="n">
        <v>37</v>
      </c>
    </row>
    <row r="352" customFormat="false" ht="15" hidden="false" customHeight="false" outlineLevel="0" collapsed="false">
      <c r="A352" s="20" t="s">
        <v>4620</v>
      </c>
      <c r="B352" s="20" t="s">
        <v>29</v>
      </c>
      <c r="C352" s="20" t="s">
        <v>1188</v>
      </c>
      <c r="D352" s="21" t="s">
        <v>4621</v>
      </c>
      <c r="E352" s="20" t="s">
        <v>4622</v>
      </c>
      <c r="F352" s="20"/>
      <c r="G352" s="20"/>
      <c r="H352" s="20"/>
    </row>
    <row r="353" customFormat="false" ht="15" hidden="false" customHeight="false" outlineLevel="0" collapsed="false">
      <c r="A353" s="20" t="s">
        <v>4623</v>
      </c>
      <c r="B353" s="20" t="s">
        <v>21</v>
      </c>
      <c r="C353" s="20" t="s">
        <v>3900</v>
      </c>
      <c r="D353" s="21" t="s">
        <v>4624</v>
      </c>
      <c r="E353" s="20" t="s">
        <v>4625</v>
      </c>
      <c r="F353" s="20"/>
      <c r="G353" s="20" t="n">
        <v>4.8</v>
      </c>
      <c r="H353" s="20" t="n">
        <v>26</v>
      </c>
    </row>
    <row r="354" customFormat="false" ht="15" hidden="false" customHeight="false" outlineLevel="0" collapsed="false">
      <c r="A354" s="20" t="s">
        <v>4626</v>
      </c>
      <c r="B354" s="20" t="s">
        <v>21</v>
      </c>
      <c r="C354" s="20" t="s">
        <v>2467</v>
      </c>
      <c r="D354" s="21" t="s">
        <v>4627</v>
      </c>
      <c r="E354" s="20" t="s">
        <v>4625</v>
      </c>
      <c r="F354" s="20"/>
      <c r="G354" s="20" t="n">
        <v>5</v>
      </c>
      <c r="H354" s="20" t="n">
        <v>2</v>
      </c>
    </row>
    <row r="355" customFormat="false" ht="23.85" hidden="false" customHeight="false" outlineLevel="0" collapsed="false">
      <c r="A355" s="20" t="s">
        <v>4628</v>
      </c>
      <c r="B355" s="20" t="s">
        <v>22</v>
      </c>
      <c r="C355" s="20" t="s">
        <v>540</v>
      </c>
      <c r="D355" s="21" t="s">
        <v>4629</v>
      </c>
      <c r="E355" s="20" t="s">
        <v>4630</v>
      </c>
      <c r="F355" s="20"/>
      <c r="G355" s="20"/>
      <c r="H355" s="20"/>
    </row>
    <row r="356" customFormat="false" ht="23.85" hidden="false" customHeight="false" outlineLevel="0" collapsed="false">
      <c r="A356" s="20" t="s">
        <v>4631</v>
      </c>
      <c r="B356" s="20" t="s">
        <v>20</v>
      </c>
      <c r="C356" s="20" t="s">
        <v>287</v>
      </c>
      <c r="D356" s="21" t="s">
        <v>4632</v>
      </c>
      <c r="E356" s="20" t="s">
        <v>4633</v>
      </c>
      <c r="F356" s="20"/>
      <c r="G356" s="20"/>
      <c r="H356" s="20"/>
    </row>
    <row r="357" customFormat="false" ht="23.85" hidden="false" customHeight="false" outlineLevel="0" collapsed="false">
      <c r="A357" s="20" t="s">
        <v>4634</v>
      </c>
      <c r="B357" s="20" t="s">
        <v>28</v>
      </c>
      <c r="C357" s="20" t="s">
        <v>913</v>
      </c>
      <c r="D357" s="21" t="s">
        <v>4635</v>
      </c>
      <c r="E357" s="20" t="s">
        <v>4636</v>
      </c>
      <c r="F357" s="20"/>
      <c r="G357" s="20" t="n">
        <v>5</v>
      </c>
      <c r="H357" s="20" t="n">
        <v>1</v>
      </c>
    </row>
    <row r="358" customFormat="false" ht="23.85" hidden="false" customHeight="false" outlineLevel="0" collapsed="false">
      <c r="A358" s="20" t="s">
        <v>4637</v>
      </c>
      <c r="B358" s="20" t="s">
        <v>33</v>
      </c>
      <c r="C358" s="20" t="s">
        <v>719</v>
      </c>
      <c r="D358" s="21" t="s">
        <v>4638</v>
      </c>
      <c r="E358" s="20" t="s">
        <v>4639</v>
      </c>
      <c r="F358" s="20" t="s">
        <v>4640</v>
      </c>
      <c r="G358" s="20" t="n">
        <v>4.8</v>
      </c>
      <c r="H358" s="20" t="n">
        <v>9</v>
      </c>
    </row>
    <row r="359" customFormat="false" ht="15" hidden="false" customHeight="false" outlineLevel="0" collapsed="false">
      <c r="A359" s="20" t="s">
        <v>4641</v>
      </c>
      <c r="B359" s="20" t="s">
        <v>35</v>
      </c>
      <c r="C359" s="20" t="s">
        <v>2202</v>
      </c>
      <c r="D359" s="21" t="s">
        <v>4642</v>
      </c>
      <c r="E359" s="20" t="s">
        <v>4643</v>
      </c>
      <c r="F359" s="20"/>
      <c r="G359" s="20"/>
      <c r="H359" s="20"/>
    </row>
    <row r="360" customFormat="false" ht="23.85" hidden="false" customHeight="false" outlineLevel="0" collapsed="false">
      <c r="A360" s="20" t="s">
        <v>4644</v>
      </c>
      <c r="B360" s="20" t="s">
        <v>35</v>
      </c>
      <c r="C360" s="20" t="s">
        <v>2202</v>
      </c>
      <c r="D360" s="21" t="s">
        <v>4645</v>
      </c>
      <c r="E360" s="20" t="s">
        <v>4646</v>
      </c>
      <c r="F360" s="20"/>
      <c r="G360" s="20" t="n">
        <v>5</v>
      </c>
      <c r="H360" s="20" t="n">
        <v>1</v>
      </c>
    </row>
    <row r="361" customFormat="false" ht="15" hidden="false" customHeight="false" outlineLevel="0" collapsed="false">
      <c r="A361" s="20" t="s">
        <v>4647</v>
      </c>
      <c r="B361" s="20" t="s">
        <v>21</v>
      </c>
      <c r="C361" s="20" t="s">
        <v>433</v>
      </c>
      <c r="D361" s="21" t="s">
        <v>4648</v>
      </c>
      <c r="E361" s="20" t="s">
        <v>4649</v>
      </c>
      <c r="F361" s="20"/>
      <c r="G361" s="20" t="n">
        <v>4</v>
      </c>
      <c r="H361" s="20" t="n">
        <v>2</v>
      </c>
    </row>
    <row r="362" customFormat="false" ht="15" hidden="false" customHeight="false" outlineLevel="0" collapsed="false">
      <c r="A362" s="20" t="s">
        <v>4650</v>
      </c>
      <c r="B362" s="20" t="s">
        <v>24</v>
      </c>
      <c r="C362" s="20" t="s">
        <v>738</v>
      </c>
      <c r="D362" s="21" t="s">
        <v>4651</v>
      </c>
      <c r="E362" s="20" t="s">
        <v>4652</v>
      </c>
      <c r="F362" s="20"/>
      <c r="G362" s="20" t="n">
        <v>3</v>
      </c>
      <c r="H362" s="20" t="n">
        <v>1</v>
      </c>
    </row>
    <row r="363" customFormat="false" ht="23.85" hidden="false" customHeight="false" outlineLevel="0" collapsed="false">
      <c r="A363" s="20" t="s">
        <v>4653</v>
      </c>
      <c r="B363" s="20" t="s">
        <v>20</v>
      </c>
      <c r="C363" s="20" t="s">
        <v>2386</v>
      </c>
      <c r="D363" s="21" t="s">
        <v>4654</v>
      </c>
      <c r="E363" s="20" t="s">
        <v>4655</v>
      </c>
      <c r="F363" s="20"/>
      <c r="G363" s="20" t="n">
        <v>5</v>
      </c>
      <c r="H363" s="20" t="n">
        <v>3</v>
      </c>
    </row>
    <row r="364" customFormat="false" ht="23.85" hidden="false" customHeight="false" outlineLevel="0" collapsed="false">
      <c r="A364" s="20" t="s">
        <v>4656</v>
      </c>
      <c r="B364" s="20" t="s">
        <v>34</v>
      </c>
      <c r="C364" s="20" t="s">
        <v>2157</v>
      </c>
      <c r="D364" s="21" t="s">
        <v>4657</v>
      </c>
      <c r="E364" s="20"/>
      <c r="F364" s="20"/>
      <c r="G364" s="20" t="n">
        <v>4.2</v>
      </c>
      <c r="H364" s="20" t="n">
        <v>175</v>
      </c>
    </row>
    <row r="365" customFormat="false" ht="15" hidden="false" customHeight="false" outlineLevel="0" collapsed="false">
      <c r="A365" s="20" t="s">
        <v>4658</v>
      </c>
      <c r="B365" s="20" t="s">
        <v>23</v>
      </c>
      <c r="C365" s="20" t="s">
        <v>563</v>
      </c>
      <c r="D365" s="21" t="s">
        <v>4659</v>
      </c>
      <c r="E365" s="20"/>
      <c r="F365" s="20"/>
      <c r="G365" s="20"/>
      <c r="H365" s="20"/>
    </row>
    <row r="366" customFormat="false" ht="23.85" hidden="false" customHeight="false" outlineLevel="0" collapsed="false">
      <c r="A366" s="20" t="s">
        <v>4660</v>
      </c>
      <c r="B366" s="20" t="s">
        <v>32</v>
      </c>
      <c r="C366" s="20" t="s">
        <v>1869</v>
      </c>
      <c r="D366" s="21" t="s">
        <v>4661</v>
      </c>
      <c r="E366" s="20" t="s">
        <v>4662</v>
      </c>
      <c r="F366" s="20" t="s">
        <v>846</v>
      </c>
      <c r="G366" s="20" t="n">
        <v>5</v>
      </c>
      <c r="H366" s="20" t="n">
        <v>1</v>
      </c>
    </row>
    <row r="367" customFormat="false" ht="15" hidden="false" customHeight="false" outlineLevel="0" collapsed="false">
      <c r="A367" s="20" t="s">
        <v>4663</v>
      </c>
      <c r="B367" s="20" t="s">
        <v>28</v>
      </c>
      <c r="C367" s="20" t="s">
        <v>4032</v>
      </c>
      <c r="D367" s="21" t="s">
        <v>4664</v>
      </c>
      <c r="E367" s="20" t="s">
        <v>4665</v>
      </c>
      <c r="F367" s="20"/>
      <c r="G367" s="20" t="n">
        <v>5</v>
      </c>
      <c r="H367" s="20" t="n">
        <v>1</v>
      </c>
    </row>
    <row r="368" customFormat="false" ht="23.85" hidden="false" customHeight="false" outlineLevel="0" collapsed="false">
      <c r="A368" s="20" t="s">
        <v>4666</v>
      </c>
      <c r="B368" s="20" t="s">
        <v>33</v>
      </c>
      <c r="C368" s="20" t="s">
        <v>1991</v>
      </c>
      <c r="D368" s="21" t="s">
        <v>4667</v>
      </c>
      <c r="E368" s="20" t="s">
        <v>4668</v>
      </c>
      <c r="F368" s="20"/>
      <c r="G368" s="20" t="n">
        <v>5</v>
      </c>
      <c r="H368" s="20" t="n">
        <v>1</v>
      </c>
    </row>
    <row r="369" customFormat="false" ht="23.85" hidden="false" customHeight="false" outlineLevel="0" collapsed="false">
      <c r="A369" s="20" t="s">
        <v>4669</v>
      </c>
      <c r="B369" s="20" t="s">
        <v>18</v>
      </c>
      <c r="C369" s="20" t="s">
        <v>82</v>
      </c>
      <c r="D369" s="21" t="s">
        <v>4670</v>
      </c>
      <c r="E369" s="20" t="s">
        <v>4671</v>
      </c>
      <c r="F369" s="20"/>
      <c r="G369" s="20" t="n">
        <v>4.6</v>
      </c>
      <c r="H369" s="20" t="n">
        <v>37</v>
      </c>
    </row>
    <row r="370" customFormat="false" ht="15" hidden="false" customHeight="false" outlineLevel="0" collapsed="false">
      <c r="A370" s="20" t="s">
        <v>4672</v>
      </c>
      <c r="B370" s="20" t="s">
        <v>27</v>
      </c>
      <c r="C370" s="20" t="s">
        <v>850</v>
      </c>
      <c r="D370" s="21" t="s">
        <v>4673</v>
      </c>
      <c r="E370" s="20" t="s">
        <v>4674</v>
      </c>
      <c r="F370" s="20"/>
      <c r="G370" s="20" t="n">
        <v>4</v>
      </c>
      <c r="H370" s="20" t="n">
        <v>1</v>
      </c>
    </row>
    <row r="371" customFormat="false" ht="23.85" hidden="false" customHeight="false" outlineLevel="0" collapsed="false">
      <c r="A371" s="20" t="s">
        <v>4675</v>
      </c>
      <c r="B371" s="20" t="s">
        <v>22</v>
      </c>
      <c r="C371" s="20" t="s">
        <v>4676</v>
      </c>
      <c r="D371" s="21" t="s">
        <v>4677</v>
      </c>
      <c r="E371" s="20" t="s">
        <v>4678</v>
      </c>
      <c r="F371" s="20"/>
      <c r="G371" s="20" t="n">
        <v>4.6</v>
      </c>
      <c r="H371" s="20" t="n">
        <v>19</v>
      </c>
    </row>
    <row r="372" customFormat="false" ht="23.85" hidden="false" customHeight="false" outlineLevel="0" collapsed="false">
      <c r="A372" s="20" t="s">
        <v>4679</v>
      </c>
      <c r="B372" s="20" t="s">
        <v>29</v>
      </c>
      <c r="C372" s="20" t="s">
        <v>1188</v>
      </c>
      <c r="D372" s="21" t="s">
        <v>4680</v>
      </c>
      <c r="E372" s="20" t="s">
        <v>4681</v>
      </c>
      <c r="F372" s="20"/>
      <c r="G372" s="20"/>
      <c r="H372" s="20"/>
    </row>
    <row r="373" customFormat="false" ht="23.85" hidden="false" customHeight="false" outlineLevel="0" collapsed="false">
      <c r="A373" s="20" t="s">
        <v>4682</v>
      </c>
      <c r="B373" s="20" t="s">
        <v>34</v>
      </c>
      <c r="C373" s="20" t="s">
        <v>2090</v>
      </c>
      <c r="D373" s="21" t="s">
        <v>4683</v>
      </c>
      <c r="E373" s="20"/>
      <c r="F373" s="20" t="s">
        <v>4684</v>
      </c>
      <c r="G373" s="20" t="n">
        <v>4.6</v>
      </c>
      <c r="H373" s="20" t="n">
        <v>7</v>
      </c>
    </row>
    <row r="374" customFormat="false" ht="15" hidden="false" customHeight="false" outlineLevel="0" collapsed="false">
      <c r="A374" s="20" t="s">
        <v>4685</v>
      </c>
      <c r="B374" s="20" t="s">
        <v>19</v>
      </c>
      <c r="C374" s="20" t="s">
        <v>2372</v>
      </c>
      <c r="D374" s="21" t="s">
        <v>4686</v>
      </c>
      <c r="E374" s="20"/>
      <c r="F374" s="20"/>
      <c r="G374" s="20" t="n">
        <v>4.3</v>
      </c>
      <c r="H374" s="20" t="n">
        <v>4</v>
      </c>
    </row>
    <row r="375" customFormat="false" ht="15" hidden="false" customHeight="false" outlineLevel="0" collapsed="false">
      <c r="A375" s="20" t="s">
        <v>4687</v>
      </c>
      <c r="B375" s="20" t="s">
        <v>21</v>
      </c>
      <c r="C375" s="20" t="s">
        <v>356</v>
      </c>
      <c r="D375" s="21" t="s">
        <v>4688</v>
      </c>
      <c r="E375" s="20" t="s">
        <v>4689</v>
      </c>
      <c r="F375" s="20"/>
      <c r="G375" s="20" t="n">
        <v>2</v>
      </c>
      <c r="H375" s="20" t="n">
        <v>2</v>
      </c>
    </row>
    <row r="376" customFormat="false" ht="23.85" hidden="false" customHeight="false" outlineLevel="0" collapsed="false">
      <c r="A376" s="20" t="s">
        <v>4690</v>
      </c>
      <c r="B376" s="20" t="s">
        <v>21</v>
      </c>
      <c r="C376" s="20" t="s">
        <v>347</v>
      </c>
      <c r="D376" s="21" t="s">
        <v>4691</v>
      </c>
      <c r="E376" s="20"/>
      <c r="F376" s="20"/>
      <c r="G376" s="20" t="n">
        <v>4</v>
      </c>
      <c r="H376" s="20" t="n">
        <v>1</v>
      </c>
    </row>
    <row r="377" customFormat="false" ht="15" hidden="false" customHeight="false" outlineLevel="0" collapsed="false">
      <c r="A377" s="20" t="s">
        <v>4692</v>
      </c>
      <c r="B377" s="20" t="s">
        <v>28</v>
      </c>
      <c r="C377" s="20" t="s">
        <v>1025</v>
      </c>
      <c r="D377" s="21" t="s">
        <v>4693</v>
      </c>
      <c r="E377" s="20" t="s">
        <v>4694</v>
      </c>
      <c r="F377" s="20"/>
      <c r="G377" s="20" t="n">
        <v>5</v>
      </c>
      <c r="H377" s="20" t="n">
        <v>2</v>
      </c>
    </row>
    <row r="378" customFormat="false" ht="15" hidden="false" customHeight="false" outlineLevel="0" collapsed="false">
      <c r="A378" s="20" t="s">
        <v>4695</v>
      </c>
      <c r="B378" s="20" t="s">
        <v>28</v>
      </c>
      <c r="C378" s="20" t="s">
        <v>4696</v>
      </c>
      <c r="D378" s="21" t="s">
        <v>4697</v>
      </c>
      <c r="E378" s="20"/>
      <c r="F378" s="20"/>
      <c r="G378" s="20" t="s">
        <v>4698</v>
      </c>
      <c r="H378" s="20" t="s">
        <v>4699</v>
      </c>
    </row>
    <row r="379" customFormat="false" ht="23.85" hidden="false" customHeight="false" outlineLevel="0" collapsed="false">
      <c r="A379" s="20" t="s">
        <v>4700</v>
      </c>
      <c r="B379" s="20" t="s">
        <v>32</v>
      </c>
      <c r="C379" s="20" t="s">
        <v>3650</v>
      </c>
      <c r="D379" s="21" t="s">
        <v>4701</v>
      </c>
      <c r="E379" s="20" t="s">
        <v>4702</v>
      </c>
      <c r="F379" s="20"/>
      <c r="G379" s="20" t="n">
        <v>4.7</v>
      </c>
      <c r="H379" s="20" t="n">
        <v>15</v>
      </c>
    </row>
    <row r="380" customFormat="false" ht="23.85" hidden="false" customHeight="false" outlineLevel="0" collapsed="false">
      <c r="A380" s="20" t="s">
        <v>4703</v>
      </c>
      <c r="B380" s="20" t="s">
        <v>30</v>
      </c>
      <c r="C380" s="20" t="s">
        <v>1479</v>
      </c>
      <c r="D380" s="21" t="s">
        <v>4704</v>
      </c>
      <c r="E380" s="20"/>
      <c r="F380" s="20"/>
      <c r="G380" s="20" t="n">
        <v>1</v>
      </c>
      <c r="H380" s="20" t="n">
        <v>1</v>
      </c>
    </row>
    <row r="381" customFormat="false" ht="15" hidden="false" customHeight="false" outlineLevel="0" collapsed="false">
      <c r="A381" s="20" t="s">
        <v>4705</v>
      </c>
      <c r="B381" s="20" t="s">
        <v>22</v>
      </c>
      <c r="C381" s="20" t="s">
        <v>540</v>
      </c>
      <c r="D381" s="21" t="s">
        <v>4706</v>
      </c>
      <c r="E381" s="20" t="s">
        <v>4707</v>
      </c>
      <c r="F381" s="20"/>
      <c r="G381" s="20" t="n">
        <v>2</v>
      </c>
      <c r="H381" s="20" t="n">
        <v>1</v>
      </c>
    </row>
    <row r="382" customFormat="false" ht="15" hidden="false" customHeight="false" outlineLevel="0" collapsed="false">
      <c r="A382" s="20" t="s">
        <v>4708</v>
      </c>
      <c r="B382" s="20" t="s">
        <v>28</v>
      </c>
      <c r="C382" s="20" t="s">
        <v>1076</v>
      </c>
      <c r="D382" s="21" t="s">
        <v>4709</v>
      </c>
      <c r="E382" s="20" t="s">
        <v>4710</v>
      </c>
      <c r="F382" s="20"/>
      <c r="G382" s="20" t="n">
        <v>1</v>
      </c>
      <c r="H382" s="20" t="n">
        <v>1</v>
      </c>
    </row>
    <row r="383" customFormat="false" ht="23.85" hidden="false" customHeight="false" outlineLevel="0" collapsed="false">
      <c r="A383" s="20" t="s">
        <v>4711</v>
      </c>
      <c r="B383" s="20" t="s">
        <v>19</v>
      </c>
      <c r="C383" s="20" t="s">
        <v>3876</v>
      </c>
      <c r="D383" s="21" t="s">
        <v>4712</v>
      </c>
      <c r="E383" s="20"/>
      <c r="F383" s="20"/>
      <c r="G383" s="20" t="n">
        <v>3.8</v>
      </c>
      <c r="H383" s="20" t="n">
        <v>62</v>
      </c>
    </row>
    <row r="384" customFormat="false" ht="23.85" hidden="false" customHeight="false" outlineLevel="0" collapsed="false">
      <c r="A384" s="20" t="s">
        <v>4713</v>
      </c>
      <c r="B384" s="20" t="s">
        <v>31</v>
      </c>
      <c r="C384" s="20" t="s">
        <v>1522</v>
      </c>
      <c r="D384" s="21" t="s">
        <v>4714</v>
      </c>
      <c r="E384" s="20"/>
      <c r="F384" s="20"/>
      <c r="G384" s="20" t="n">
        <v>1</v>
      </c>
      <c r="H384" s="20" t="n">
        <v>1</v>
      </c>
    </row>
    <row r="385" customFormat="false" ht="15" hidden="false" customHeight="false" outlineLevel="0" collapsed="false">
      <c r="A385" s="20" t="s">
        <v>4715</v>
      </c>
      <c r="B385" s="20" t="s">
        <v>35</v>
      </c>
      <c r="C385" s="20" t="s">
        <v>2202</v>
      </c>
      <c r="D385" s="21" t="s">
        <v>4716</v>
      </c>
      <c r="E385" s="20" t="s">
        <v>4717</v>
      </c>
      <c r="F385" s="20" t="s">
        <v>4718</v>
      </c>
      <c r="G385" s="20" t="n">
        <v>4.9</v>
      </c>
      <c r="H385" s="20" t="n">
        <v>100</v>
      </c>
    </row>
    <row r="386" customFormat="false" ht="23.85" hidden="false" customHeight="false" outlineLevel="0" collapsed="false">
      <c r="A386" s="20" t="s">
        <v>4719</v>
      </c>
      <c r="B386" s="20" t="s">
        <v>30</v>
      </c>
      <c r="C386" s="20" t="s">
        <v>1336</v>
      </c>
      <c r="D386" s="21" t="s">
        <v>4720</v>
      </c>
      <c r="E386" s="20" t="s">
        <v>4721</v>
      </c>
      <c r="F386" s="20"/>
      <c r="G386" s="20"/>
      <c r="H386" s="20"/>
    </row>
    <row r="387" customFormat="false" ht="23.85" hidden="false" customHeight="false" outlineLevel="0" collapsed="false">
      <c r="A387" s="20" t="s">
        <v>4722</v>
      </c>
      <c r="B387" s="20" t="s">
        <v>22</v>
      </c>
      <c r="C387" s="20" t="s">
        <v>356</v>
      </c>
      <c r="D387" s="21" t="s">
        <v>4723</v>
      </c>
      <c r="E387" s="20" t="s">
        <v>4724</v>
      </c>
      <c r="F387" s="20"/>
      <c r="G387" s="20"/>
      <c r="H387" s="20"/>
    </row>
    <row r="388" customFormat="false" ht="15" hidden="false" customHeight="false" outlineLevel="0" collapsed="false">
      <c r="A388" s="20" t="s">
        <v>4725</v>
      </c>
      <c r="B388" s="20" t="s">
        <v>23</v>
      </c>
      <c r="C388" s="20" t="s">
        <v>4378</v>
      </c>
      <c r="D388" s="21" t="s">
        <v>4726</v>
      </c>
      <c r="E388" s="20" t="s">
        <v>4727</v>
      </c>
      <c r="F388" s="20"/>
      <c r="G388" s="20" t="n">
        <v>3.9</v>
      </c>
      <c r="H388" s="20" t="n">
        <v>340</v>
      </c>
    </row>
    <row r="389" customFormat="false" ht="23.85" hidden="false" customHeight="false" outlineLevel="0" collapsed="false">
      <c r="A389" s="20" t="s">
        <v>4728</v>
      </c>
      <c r="B389" s="20" t="s">
        <v>26</v>
      </c>
      <c r="C389" s="20" t="s">
        <v>4729</v>
      </c>
      <c r="D389" s="21" t="s">
        <v>4730</v>
      </c>
      <c r="E389" s="20" t="s">
        <v>4731</v>
      </c>
      <c r="F389" s="20"/>
      <c r="G389" s="20"/>
      <c r="H389" s="20"/>
    </row>
    <row r="390" customFormat="false" ht="23.85" hidden="false" customHeight="false" outlineLevel="0" collapsed="false">
      <c r="A390" s="20" t="s">
        <v>4732</v>
      </c>
      <c r="B390" s="20" t="s">
        <v>31</v>
      </c>
      <c r="C390" s="20" t="s">
        <v>1552</v>
      </c>
      <c r="D390" s="21" t="s">
        <v>4733</v>
      </c>
      <c r="E390" s="20" t="s">
        <v>4734</v>
      </c>
      <c r="F390" s="20" t="s">
        <v>4735</v>
      </c>
      <c r="G390" s="20" t="n">
        <v>5</v>
      </c>
      <c r="H390" s="20" t="n">
        <v>1</v>
      </c>
    </row>
    <row r="391" customFormat="false" ht="23.85" hidden="false" customHeight="false" outlineLevel="0" collapsed="false">
      <c r="A391" s="20" t="s">
        <v>4736</v>
      </c>
      <c r="B391" s="20" t="s">
        <v>32</v>
      </c>
      <c r="C391" s="20" t="s">
        <v>3650</v>
      </c>
      <c r="D391" s="21" t="s">
        <v>4737</v>
      </c>
      <c r="E391" s="20" t="s">
        <v>4738</v>
      </c>
      <c r="F391" s="20" t="s">
        <v>4739</v>
      </c>
      <c r="G391" s="20"/>
      <c r="H391" s="20"/>
    </row>
    <row r="392" customFormat="false" ht="23.85" hidden="false" customHeight="false" outlineLevel="0" collapsed="false">
      <c r="A392" s="20" t="s">
        <v>4740</v>
      </c>
      <c r="B392" s="20" t="s">
        <v>28</v>
      </c>
      <c r="C392" s="20" t="s">
        <v>3633</v>
      </c>
      <c r="D392" s="21" t="s">
        <v>4741</v>
      </c>
      <c r="E392" s="20" t="s">
        <v>4742</v>
      </c>
      <c r="F392" s="20"/>
      <c r="G392" s="20" t="n">
        <v>5</v>
      </c>
      <c r="H392" s="20" t="n">
        <v>1</v>
      </c>
    </row>
    <row r="393" customFormat="false" ht="23.85" hidden="false" customHeight="false" outlineLevel="0" collapsed="false">
      <c r="A393" s="20" t="s">
        <v>4743</v>
      </c>
      <c r="B393" s="20" t="s">
        <v>27</v>
      </c>
      <c r="C393" s="20" t="s">
        <v>2880</v>
      </c>
      <c r="D393" s="21" t="s">
        <v>4744</v>
      </c>
      <c r="E393" s="20" t="s">
        <v>4745</v>
      </c>
      <c r="F393" s="20"/>
      <c r="G393" s="20" t="n">
        <v>4.7</v>
      </c>
      <c r="H393" s="20" t="n">
        <v>915</v>
      </c>
    </row>
    <row r="394" customFormat="false" ht="23.85" hidden="false" customHeight="false" outlineLevel="0" collapsed="false">
      <c r="A394" s="20" t="s">
        <v>4746</v>
      </c>
      <c r="B394" s="20" t="s">
        <v>26</v>
      </c>
      <c r="C394" s="20" t="s">
        <v>4747</v>
      </c>
      <c r="D394" s="21" t="s">
        <v>4748</v>
      </c>
      <c r="E394" s="20" t="s">
        <v>4749</v>
      </c>
      <c r="F394" s="20"/>
      <c r="G394" s="20"/>
      <c r="H394" s="20"/>
    </row>
    <row r="395" customFormat="false" ht="15" hidden="false" customHeight="false" outlineLevel="0" collapsed="false">
      <c r="A395" s="20" t="s">
        <v>4750</v>
      </c>
      <c r="B395" s="20" t="s">
        <v>31</v>
      </c>
      <c r="C395" s="20" t="s">
        <v>1552</v>
      </c>
      <c r="D395" s="21" t="s">
        <v>4751</v>
      </c>
      <c r="E395" s="20" t="s">
        <v>4752</v>
      </c>
      <c r="F395" s="20"/>
      <c r="G395" s="20" t="n">
        <v>5</v>
      </c>
      <c r="H395" s="20" t="n">
        <v>1</v>
      </c>
    </row>
    <row r="396" customFormat="false" ht="23.85" hidden="false" customHeight="false" outlineLevel="0" collapsed="false">
      <c r="A396" s="20" t="s">
        <v>4753</v>
      </c>
      <c r="B396" s="20" t="s">
        <v>28</v>
      </c>
      <c r="C396" s="20" t="s">
        <v>892</v>
      </c>
      <c r="D396" s="21" t="s">
        <v>4754</v>
      </c>
      <c r="E396" s="20" t="s">
        <v>4755</v>
      </c>
      <c r="F396" s="20"/>
      <c r="G396" s="20"/>
      <c r="H396" s="20"/>
    </row>
    <row r="397" customFormat="false" ht="15" hidden="false" customHeight="false" outlineLevel="0" collapsed="false">
      <c r="A397" s="20" t="s">
        <v>4756</v>
      </c>
      <c r="B397" s="20" t="s">
        <v>33</v>
      </c>
      <c r="C397" s="20" t="s">
        <v>1991</v>
      </c>
      <c r="D397" s="21" t="s">
        <v>4757</v>
      </c>
      <c r="E397" s="20"/>
      <c r="F397" s="20"/>
      <c r="G397" s="20"/>
      <c r="H397" s="20"/>
    </row>
    <row r="398" customFormat="false" ht="23.85" hidden="false" customHeight="false" outlineLevel="0" collapsed="false">
      <c r="A398" s="20" t="s">
        <v>4758</v>
      </c>
      <c r="B398" s="20" t="s">
        <v>27</v>
      </c>
      <c r="C398" s="20" t="s">
        <v>850</v>
      </c>
      <c r="D398" s="21" t="s">
        <v>4759</v>
      </c>
      <c r="E398" s="20"/>
      <c r="F398" s="20" t="s">
        <v>4760</v>
      </c>
      <c r="G398" s="20" t="n">
        <v>5</v>
      </c>
      <c r="H398" s="20" t="n">
        <v>3</v>
      </c>
    </row>
    <row r="399" customFormat="false" ht="15" hidden="false" customHeight="false" outlineLevel="0" collapsed="false">
      <c r="A399" s="20" t="s">
        <v>4761</v>
      </c>
      <c r="B399" s="20" t="s">
        <v>22</v>
      </c>
      <c r="C399" s="20" t="s">
        <v>540</v>
      </c>
      <c r="D399" s="21" t="s">
        <v>4762</v>
      </c>
      <c r="E399" s="20"/>
      <c r="F399" s="20"/>
      <c r="G399" s="20"/>
      <c r="H399" s="20"/>
    </row>
    <row r="400" customFormat="false" ht="15" hidden="false" customHeight="false" outlineLevel="0" collapsed="false">
      <c r="A400" s="20" t="s">
        <v>4763</v>
      </c>
      <c r="B400" s="20" t="s">
        <v>33</v>
      </c>
      <c r="C400" s="20" t="s">
        <v>4764</v>
      </c>
      <c r="D400" s="21" t="s">
        <v>4765</v>
      </c>
      <c r="E400" s="20" t="s">
        <v>4766</v>
      </c>
      <c r="F400" s="20" t="s">
        <v>4767</v>
      </c>
      <c r="G400" s="20" t="n">
        <v>4.2</v>
      </c>
      <c r="H400" s="20" t="n">
        <v>12</v>
      </c>
    </row>
    <row r="401" customFormat="false" ht="15" hidden="false" customHeight="false" outlineLevel="0" collapsed="false">
      <c r="A401" s="20" t="s">
        <v>4768</v>
      </c>
      <c r="B401" s="20" t="s">
        <v>30</v>
      </c>
      <c r="C401" s="20" t="s">
        <v>1389</v>
      </c>
      <c r="D401" s="21" t="s">
        <v>4769</v>
      </c>
      <c r="E401" s="20" t="s">
        <v>4770</v>
      </c>
      <c r="F401" s="20"/>
      <c r="G401" s="20" t="n">
        <v>5</v>
      </c>
      <c r="H401" s="20" t="n">
        <v>1</v>
      </c>
    </row>
    <row r="402" customFormat="false" ht="23.85" hidden="false" customHeight="false" outlineLevel="0" collapsed="false">
      <c r="A402" s="20" t="s">
        <v>4771</v>
      </c>
      <c r="B402" s="20" t="s">
        <v>31</v>
      </c>
      <c r="C402" s="20" t="s">
        <v>1542</v>
      </c>
      <c r="D402" s="21" t="s">
        <v>4772</v>
      </c>
      <c r="E402" s="20" t="s">
        <v>4773</v>
      </c>
      <c r="F402" s="20"/>
      <c r="G402" s="20"/>
      <c r="H402" s="20"/>
    </row>
    <row r="403" customFormat="false" ht="15" hidden="false" customHeight="false" outlineLevel="0" collapsed="false">
      <c r="A403" s="20" t="s">
        <v>4774</v>
      </c>
      <c r="B403" s="20" t="s">
        <v>21</v>
      </c>
      <c r="C403" s="20" t="s">
        <v>356</v>
      </c>
      <c r="D403" s="21" t="s">
        <v>4775</v>
      </c>
      <c r="E403" s="20" t="s">
        <v>4776</v>
      </c>
      <c r="F403" s="20"/>
      <c r="G403" s="20"/>
      <c r="H403" s="20"/>
    </row>
    <row r="404" customFormat="false" ht="23.85" hidden="false" customHeight="false" outlineLevel="0" collapsed="false">
      <c r="A404" s="20" t="s">
        <v>4777</v>
      </c>
      <c r="B404" s="20" t="s">
        <v>28</v>
      </c>
      <c r="C404" s="20" t="s">
        <v>4778</v>
      </c>
      <c r="D404" s="21" t="s">
        <v>4779</v>
      </c>
      <c r="E404" s="20" t="s">
        <v>4780</v>
      </c>
      <c r="F404" s="20"/>
      <c r="G404" s="20"/>
      <c r="H404" s="20"/>
    </row>
    <row r="405" customFormat="false" ht="23.85" hidden="false" customHeight="false" outlineLevel="0" collapsed="false">
      <c r="A405" s="20" t="s">
        <v>4781</v>
      </c>
      <c r="B405" s="20" t="s">
        <v>34</v>
      </c>
      <c r="C405" s="20" t="s">
        <v>2122</v>
      </c>
      <c r="D405" s="21" t="s">
        <v>4782</v>
      </c>
      <c r="E405" s="20" t="s">
        <v>4783</v>
      </c>
      <c r="F405" s="20"/>
      <c r="G405" s="20"/>
      <c r="H405" s="20"/>
    </row>
    <row r="406" customFormat="false" ht="23.85" hidden="false" customHeight="false" outlineLevel="0" collapsed="false">
      <c r="A406" s="20" t="s">
        <v>4784</v>
      </c>
      <c r="B406" s="20" t="s">
        <v>27</v>
      </c>
      <c r="C406" s="20" t="s">
        <v>850</v>
      </c>
      <c r="D406" s="21" t="s">
        <v>4785</v>
      </c>
      <c r="E406" s="20" t="s">
        <v>4786</v>
      </c>
      <c r="F406" s="20" t="s">
        <v>4787</v>
      </c>
      <c r="G406" s="20" t="n">
        <v>5</v>
      </c>
      <c r="H406" s="20" t="n">
        <v>25</v>
      </c>
    </row>
    <row r="407" customFormat="false" ht="15" hidden="false" customHeight="false" outlineLevel="0" collapsed="false">
      <c r="A407" s="20" t="s">
        <v>4788</v>
      </c>
      <c r="B407" s="20" t="s">
        <v>28</v>
      </c>
      <c r="C407" s="20" t="s">
        <v>934</v>
      </c>
      <c r="D407" s="21" t="s">
        <v>4789</v>
      </c>
      <c r="E407" s="20" t="s">
        <v>4790</v>
      </c>
      <c r="F407" s="20"/>
      <c r="G407" s="20"/>
      <c r="H407" s="20"/>
    </row>
    <row r="408" customFormat="false" ht="23.85" hidden="false" customHeight="false" outlineLevel="0" collapsed="false">
      <c r="A408" s="20" t="s">
        <v>4791</v>
      </c>
      <c r="B408" s="20" t="s">
        <v>32</v>
      </c>
      <c r="C408" s="20" t="s">
        <v>1767</v>
      </c>
      <c r="D408" s="21" t="s">
        <v>4792</v>
      </c>
      <c r="E408" s="20"/>
      <c r="F408" s="20"/>
      <c r="G408" s="20"/>
      <c r="H408" s="20"/>
    </row>
    <row r="409" customFormat="false" ht="23.85" hidden="false" customHeight="false" outlineLevel="0" collapsed="false">
      <c r="A409" s="20" t="s">
        <v>4793</v>
      </c>
      <c r="B409" s="20" t="s">
        <v>21</v>
      </c>
      <c r="C409" s="20" t="s">
        <v>446</v>
      </c>
      <c r="D409" s="21" t="s">
        <v>4794</v>
      </c>
      <c r="E409" s="20" t="s">
        <v>4795</v>
      </c>
      <c r="F409" s="20"/>
      <c r="G409" s="20"/>
      <c r="H409" s="20"/>
    </row>
    <row r="410" customFormat="false" ht="15" hidden="false" customHeight="false" outlineLevel="0" collapsed="false">
      <c r="A410" s="20" t="s">
        <v>4796</v>
      </c>
      <c r="B410" s="20" t="s">
        <v>32</v>
      </c>
      <c r="C410" s="20" t="s">
        <v>1690</v>
      </c>
      <c r="D410" s="21" t="s">
        <v>4797</v>
      </c>
      <c r="E410" s="20" t="s">
        <v>4798</v>
      </c>
      <c r="F410" s="20"/>
      <c r="G410" s="20" t="n">
        <v>5</v>
      </c>
      <c r="H410" s="20" t="n">
        <v>1</v>
      </c>
    </row>
    <row r="411" customFormat="false" ht="15" hidden="false" customHeight="false" outlineLevel="0" collapsed="false">
      <c r="A411" s="20" t="s">
        <v>4799</v>
      </c>
      <c r="B411" s="20" t="s">
        <v>19</v>
      </c>
      <c r="C411" s="20" t="s">
        <v>2372</v>
      </c>
      <c r="D411" s="21" t="s">
        <v>4800</v>
      </c>
      <c r="E411" s="20" t="s">
        <v>4801</v>
      </c>
      <c r="F411" s="20"/>
      <c r="G411" s="20"/>
      <c r="H411" s="20"/>
    </row>
    <row r="412" customFormat="false" ht="23.85" hidden="false" customHeight="false" outlineLevel="0" collapsed="false">
      <c r="A412" s="20" t="s">
        <v>4802</v>
      </c>
      <c r="B412" s="20" t="s">
        <v>32</v>
      </c>
      <c r="C412" s="20" t="s">
        <v>1706</v>
      </c>
      <c r="D412" s="21" t="s">
        <v>4803</v>
      </c>
      <c r="E412" s="20"/>
      <c r="F412" s="20" t="s">
        <v>4804</v>
      </c>
      <c r="G412" s="20" t="n">
        <v>5</v>
      </c>
      <c r="H412" s="20" t="n">
        <v>1</v>
      </c>
    </row>
    <row r="413" customFormat="false" ht="15" hidden="false" customHeight="false" outlineLevel="0" collapsed="false">
      <c r="A413" s="20" t="s">
        <v>4805</v>
      </c>
      <c r="B413" s="20" t="s">
        <v>32</v>
      </c>
      <c r="C413" s="20" t="s">
        <v>1734</v>
      </c>
      <c r="D413" s="21" t="s">
        <v>4806</v>
      </c>
      <c r="E413" s="20" t="s">
        <v>4807</v>
      </c>
      <c r="F413" s="20"/>
      <c r="G413" s="20"/>
      <c r="H413" s="20"/>
    </row>
    <row r="414" customFormat="false" ht="15" hidden="false" customHeight="false" outlineLevel="0" collapsed="false">
      <c r="A414" s="20" t="s">
        <v>4808</v>
      </c>
      <c r="B414" s="20" t="s">
        <v>31</v>
      </c>
      <c r="C414" s="20" t="s">
        <v>3185</v>
      </c>
      <c r="D414" s="21" t="s">
        <v>4809</v>
      </c>
      <c r="E414" s="20"/>
      <c r="F414" s="20"/>
      <c r="G414" s="20"/>
      <c r="H414" s="20"/>
    </row>
    <row r="415" customFormat="false" ht="23.85" hidden="false" customHeight="false" outlineLevel="0" collapsed="false">
      <c r="A415" s="20" t="s">
        <v>4810</v>
      </c>
      <c r="B415" s="20" t="s">
        <v>20</v>
      </c>
      <c r="C415" s="20" t="s">
        <v>2386</v>
      </c>
      <c r="D415" s="21" t="s">
        <v>4811</v>
      </c>
      <c r="E415" s="20" t="s">
        <v>4812</v>
      </c>
      <c r="F415" s="20"/>
      <c r="G415" s="20" t="n">
        <v>4.1</v>
      </c>
      <c r="H415" s="20" t="n">
        <v>114</v>
      </c>
    </row>
    <row r="416" customFormat="false" ht="23.85" hidden="false" customHeight="false" outlineLevel="0" collapsed="false">
      <c r="A416" s="20" t="s">
        <v>4813</v>
      </c>
      <c r="B416" s="20" t="s">
        <v>24</v>
      </c>
      <c r="C416" s="20" t="s">
        <v>715</v>
      </c>
      <c r="D416" s="21" t="s">
        <v>4814</v>
      </c>
      <c r="E416" s="20" t="s">
        <v>4815</v>
      </c>
      <c r="F416" s="20" t="s">
        <v>4816</v>
      </c>
      <c r="G416" s="20" t="n">
        <v>4.9</v>
      </c>
      <c r="H416" s="20" t="n">
        <v>99</v>
      </c>
    </row>
    <row r="417" customFormat="false" ht="15" hidden="false" customHeight="false" outlineLevel="0" collapsed="false">
      <c r="A417" s="20" t="s">
        <v>4817</v>
      </c>
      <c r="B417" s="20" t="s">
        <v>20</v>
      </c>
      <c r="C417" s="20" t="s">
        <v>2386</v>
      </c>
      <c r="D417" s="21" t="s">
        <v>4818</v>
      </c>
      <c r="E417" s="20" t="s">
        <v>4819</v>
      </c>
      <c r="F417" s="20"/>
      <c r="G417" s="20" t="n">
        <v>3.7</v>
      </c>
      <c r="H417" s="20" t="n">
        <v>77</v>
      </c>
    </row>
    <row r="418" customFormat="false" ht="23.85" hidden="false" customHeight="false" outlineLevel="0" collapsed="false">
      <c r="A418" s="20" t="s">
        <v>4820</v>
      </c>
      <c r="B418" s="20" t="s">
        <v>18</v>
      </c>
      <c r="C418" s="20" t="s">
        <v>4821</v>
      </c>
      <c r="D418" s="21" t="s">
        <v>4822</v>
      </c>
      <c r="E418" s="20" t="s">
        <v>4823</v>
      </c>
      <c r="F418" s="20"/>
      <c r="G418" s="20" t="n">
        <v>4.2</v>
      </c>
      <c r="H418" s="20" t="n">
        <v>637</v>
      </c>
    </row>
    <row r="419" customFormat="false" ht="23.85" hidden="false" customHeight="false" outlineLevel="0" collapsed="false">
      <c r="A419" s="20" t="s">
        <v>4824</v>
      </c>
      <c r="B419" s="20" t="s">
        <v>21</v>
      </c>
      <c r="C419" s="20" t="s">
        <v>433</v>
      </c>
      <c r="D419" s="21" t="s">
        <v>4825</v>
      </c>
      <c r="E419" s="20" t="s">
        <v>4826</v>
      </c>
      <c r="F419" s="20"/>
      <c r="G419" s="20"/>
      <c r="H419" s="20"/>
    </row>
    <row r="420" customFormat="false" ht="15" hidden="false" customHeight="false" outlineLevel="0" collapsed="false">
      <c r="A420" s="20" t="s">
        <v>4827</v>
      </c>
      <c r="B420" s="20" t="s">
        <v>22</v>
      </c>
      <c r="C420" s="20" t="s">
        <v>540</v>
      </c>
      <c r="D420" s="21" t="s">
        <v>4828</v>
      </c>
      <c r="E420" s="20"/>
      <c r="F420" s="20"/>
      <c r="G420" s="20"/>
      <c r="H420" s="20"/>
    </row>
    <row r="421" customFormat="false" ht="15" hidden="false" customHeight="false" outlineLevel="0" collapsed="false">
      <c r="A421" s="20" t="s">
        <v>4829</v>
      </c>
      <c r="B421" s="20" t="s">
        <v>21</v>
      </c>
      <c r="C421" s="20" t="s">
        <v>356</v>
      </c>
      <c r="D421" s="21" t="s">
        <v>4830</v>
      </c>
      <c r="E421" s="20" t="s">
        <v>4831</v>
      </c>
      <c r="F421" s="20"/>
      <c r="G421" s="20"/>
      <c r="H421" s="20"/>
    </row>
    <row r="422" customFormat="false" ht="23.85" hidden="false" customHeight="false" outlineLevel="0" collapsed="false">
      <c r="A422" s="20" t="s">
        <v>4832</v>
      </c>
      <c r="B422" s="20" t="s">
        <v>21</v>
      </c>
      <c r="C422" s="20" t="s">
        <v>347</v>
      </c>
      <c r="D422" s="21" t="s">
        <v>4833</v>
      </c>
      <c r="E422" s="20" t="s">
        <v>4834</v>
      </c>
      <c r="F422" s="20"/>
      <c r="G422" s="20" t="n">
        <v>5</v>
      </c>
      <c r="H422" s="20" t="n">
        <v>2</v>
      </c>
    </row>
    <row r="423" customFormat="false" ht="15" hidden="false" customHeight="false" outlineLevel="0" collapsed="false">
      <c r="A423" s="20" t="s">
        <v>4835</v>
      </c>
      <c r="B423" s="20" t="s">
        <v>23</v>
      </c>
      <c r="C423" s="20" t="s">
        <v>4836</v>
      </c>
      <c r="D423" s="21" t="s">
        <v>4837</v>
      </c>
      <c r="E423" s="20" t="s">
        <v>4838</v>
      </c>
      <c r="F423" s="20" t="s">
        <v>4839</v>
      </c>
      <c r="G423" s="20" t="n">
        <v>3</v>
      </c>
      <c r="H423" s="20" t="n">
        <v>16</v>
      </c>
    </row>
    <row r="424" customFormat="false" ht="23.85" hidden="false" customHeight="false" outlineLevel="0" collapsed="false">
      <c r="A424" s="20" t="s">
        <v>4840</v>
      </c>
      <c r="B424" s="20" t="s">
        <v>32</v>
      </c>
      <c r="C424" s="20" t="s">
        <v>4841</v>
      </c>
      <c r="D424" s="21" t="s">
        <v>4842</v>
      </c>
      <c r="E424" s="20" t="s">
        <v>4843</v>
      </c>
      <c r="F424" s="20" t="s">
        <v>4844</v>
      </c>
      <c r="G424" s="20" t="n">
        <v>5</v>
      </c>
      <c r="H424" s="20" t="n">
        <v>1</v>
      </c>
    </row>
    <row r="425" customFormat="false" ht="23.85" hidden="false" customHeight="false" outlineLevel="0" collapsed="false">
      <c r="A425" s="20" t="s">
        <v>4845</v>
      </c>
      <c r="B425" s="20" t="s">
        <v>22</v>
      </c>
      <c r="C425" s="20" t="s">
        <v>356</v>
      </c>
      <c r="D425" s="21" t="s">
        <v>4846</v>
      </c>
      <c r="E425" s="20" t="s">
        <v>4847</v>
      </c>
      <c r="F425" s="20"/>
      <c r="G425" s="20"/>
      <c r="H425" s="20"/>
    </row>
    <row r="426" customFormat="false" ht="23.85" hidden="false" customHeight="false" outlineLevel="0" collapsed="false">
      <c r="A426" s="20" t="s">
        <v>4848</v>
      </c>
      <c r="B426" s="20" t="s">
        <v>34</v>
      </c>
      <c r="C426" s="20" t="s">
        <v>2122</v>
      </c>
      <c r="D426" s="21" t="s">
        <v>4849</v>
      </c>
      <c r="E426" s="20"/>
      <c r="F426" s="20"/>
      <c r="G426" s="20"/>
      <c r="H426" s="20"/>
    </row>
    <row r="427" customFormat="false" ht="23.85" hidden="false" customHeight="false" outlineLevel="0" collapsed="false">
      <c r="A427" s="20" t="s">
        <v>4850</v>
      </c>
      <c r="B427" s="20" t="s">
        <v>22</v>
      </c>
      <c r="C427" s="20" t="s">
        <v>540</v>
      </c>
      <c r="D427" s="21" t="s">
        <v>4851</v>
      </c>
      <c r="E427" s="20" t="s">
        <v>4852</v>
      </c>
      <c r="F427" s="20"/>
      <c r="G427" s="20" t="n">
        <v>5</v>
      </c>
      <c r="H427" s="20" t="n">
        <v>1</v>
      </c>
    </row>
    <row r="428" customFormat="false" ht="23.85" hidden="false" customHeight="false" outlineLevel="0" collapsed="false">
      <c r="A428" s="20" t="s">
        <v>4853</v>
      </c>
      <c r="B428" s="20" t="s">
        <v>34</v>
      </c>
      <c r="C428" s="20" t="s">
        <v>2090</v>
      </c>
      <c r="D428" s="21" t="s">
        <v>4854</v>
      </c>
      <c r="E428" s="20" t="s">
        <v>4855</v>
      </c>
      <c r="F428" s="20"/>
      <c r="G428" s="20" t="n">
        <v>4.3</v>
      </c>
      <c r="H428" s="20" t="n">
        <v>3</v>
      </c>
    </row>
    <row r="429" customFormat="false" ht="23.85" hidden="false" customHeight="false" outlineLevel="0" collapsed="false">
      <c r="A429" s="20" t="s">
        <v>4856</v>
      </c>
      <c r="B429" s="20" t="s">
        <v>25</v>
      </c>
      <c r="C429" s="20" t="s">
        <v>738</v>
      </c>
      <c r="D429" s="21" t="s">
        <v>4857</v>
      </c>
      <c r="E429" s="20"/>
      <c r="F429" s="20"/>
      <c r="G429" s="20" t="n">
        <v>3</v>
      </c>
      <c r="H429" s="20" t="n">
        <v>1</v>
      </c>
    </row>
    <row r="430" customFormat="false" ht="23.85" hidden="false" customHeight="false" outlineLevel="0" collapsed="false">
      <c r="A430" s="20" t="s">
        <v>4858</v>
      </c>
      <c r="B430" s="20" t="s">
        <v>23</v>
      </c>
      <c r="C430" s="20" t="s">
        <v>4229</v>
      </c>
      <c r="D430" s="21" t="s">
        <v>4859</v>
      </c>
      <c r="E430" s="20" t="s">
        <v>4860</v>
      </c>
      <c r="F430" s="20"/>
      <c r="G430" s="20" t="n">
        <v>5</v>
      </c>
      <c r="H430" s="20" t="n">
        <v>1</v>
      </c>
    </row>
    <row r="431" customFormat="false" ht="15" hidden="false" customHeight="false" outlineLevel="0" collapsed="false">
      <c r="A431" s="20" t="s">
        <v>4861</v>
      </c>
      <c r="B431" s="20" t="s">
        <v>35</v>
      </c>
      <c r="C431" s="20" t="s">
        <v>2202</v>
      </c>
      <c r="D431" s="21" t="s">
        <v>4862</v>
      </c>
      <c r="E431" s="20" t="s">
        <v>4863</v>
      </c>
      <c r="F431" s="20"/>
      <c r="G431" s="20"/>
      <c r="H431" s="20"/>
    </row>
    <row r="432" customFormat="false" ht="23.85" hidden="false" customHeight="false" outlineLevel="0" collapsed="false">
      <c r="A432" s="20" t="s">
        <v>4864</v>
      </c>
      <c r="B432" s="20" t="s">
        <v>26</v>
      </c>
      <c r="C432" s="20" t="s">
        <v>2825</v>
      </c>
      <c r="D432" s="21" t="s">
        <v>4865</v>
      </c>
      <c r="E432" s="20" t="s">
        <v>4866</v>
      </c>
      <c r="F432" s="20"/>
      <c r="G432" s="20"/>
      <c r="H432" s="20"/>
    </row>
    <row r="433" customFormat="false" ht="15" hidden="false" customHeight="false" outlineLevel="0" collapsed="false">
      <c r="A433" s="20" t="s">
        <v>4867</v>
      </c>
      <c r="B433" s="20" t="s">
        <v>35</v>
      </c>
      <c r="C433" s="20" t="s">
        <v>4868</v>
      </c>
      <c r="D433" s="21" t="s">
        <v>4869</v>
      </c>
      <c r="E433" s="20" t="s">
        <v>4870</v>
      </c>
      <c r="F433" s="20"/>
      <c r="G433" s="20"/>
      <c r="H433" s="20"/>
    </row>
    <row r="434" customFormat="false" ht="15" hidden="false" customHeight="false" outlineLevel="0" collapsed="false">
      <c r="A434" s="20" t="s">
        <v>4871</v>
      </c>
      <c r="B434" s="20" t="s">
        <v>32</v>
      </c>
      <c r="C434" s="20" t="s">
        <v>1869</v>
      </c>
      <c r="D434" s="21" t="s">
        <v>4872</v>
      </c>
      <c r="E434" s="20"/>
      <c r="F434" s="20" t="s">
        <v>4873</v>
      </c>
      <c r="G434" s="20" t="n">
        <v>4.2</v>
      </c>
      <c r="H434" s="20" t="n">
        <v>57</v>
      </c>
    </row>
    <row r="435" customFormat="false" ht="15" hidden="false" customHeight="false" outlineLevel="0" collapsed="false">
      <c r="A435" s="20" t="s">
        <v>4874</v>
      </c>
      <c r="B435" s="20" t="s">
        <v>28</v>
      </c>
      <c r="C435" s="20" t="s">
        <v>892</v>
      </c>
      <c r="D435" s="21" t="s">
        <v>4875</v>
      </c>
      <c r="E435" s="20" t="s">
        <v>4876</v>
      </c>
      <c r="F435" s="20" t="s">
        <v>4877</v>
      </c>
      <c r="G435" s="20" t="n">
        <v>4.1</v>
      </c>
      <c r="H435" s="20" t="n">
        <v>1506</v>
      </c>
    </row>
    <row r="436" customFormat="false" ht="23.85" hidden="false" customHeight="false" outlineLevel="0" collapsed="false">
      <c r="A436" s="20" t="s">
        <v>4878</v>
      </c>
      <c r="B436" s="20" t="s">
        <v>18</v>
      </c>
      <c r="C436" s="20" t="s">
        <v>82</v>
      </c>
      <c r="D436" s="21" t="s">
        <v>4879</v>
      </c>
      <c r="E436" s="20" t="s">
        <v>4880</v>
      </c>
      <c r="F436" s="20"/>
      <c r="G436" s="20"/>
      <c r="H436" s="20"/>
    </row>
    <row r="437" customFormat="false" ht="23.85" hidden="false" customHeight="false" outlineLevel="0" collapsed="false">
      <c r="A437" s="20" t="s">
        <v>4881</v>
      </c>
      <c r="B437" s="20" t="s">
        <v>32</v>
      </c>
      <c r="C437" s="20" t="s">
        <v>1869</v>
      </c>
      <c r="D437" s="21" t="s">
        <v>4882</v>
      </c>
      <c r="E437" s="20" t="s">
        <v>4883</v>
      </c>
      <c r="F437" s="20"/>
      <c r="G437" s="20"/>
      <c r="H437" s="20"/>
    </row>
    <row r="438" customFormat="false" ht="23.85" hidden="false" customHeight="false" outlineLevel="0" collapsed="false">
      <c r="A438" s="20" t="s">
        <v>4884</v>
      </c>
      <c r="B438" s="20" t="s">
        <v>28</v>
      </c>
      <c r="C438" s="20" t="s">
        <v>901</v>
      </c>
      <c r="D438" s="21" t="s">
        <v>4885</v>
      </c>
      <c r="E438" s="20" t="s">
        <v>4886</v>
      </c>
      <c r="F438" s="20"/>
      <c r="G438" s="20" t="n">
        <v>4</v>
      </c>
      <c r="H438" s="20" t="n">
        <v>1</v>
      </c>
    </row>
    <row r="439" customFormat="false" ht="15" hidden="false" customHeight="false" outlineLevel="0" collapsed="false">
      <c r="A439" s="20" t="s">
        <v>4887</v>
      </c>
      <c r="B439" s="20" t="s">
        <v>19</v>
      </c>
      <c r="C439" s="20" t="s">
        <v>3637</v>
      </c>
      <c r="D439" s="21" t="s">
        <v>4888</v>
      </c>
      <c r="E439" s="20" t="s">
        <v>4889</v>
      </c>
      <c r="F439" s="20"/>
      <c r="G439" s="20" t="n">
        <v>4.1</v>
      </c>
      <c r="H439" s="20" t="n">
        <v>42</v>
      </c>
    </row>
    <row r="440" customFormat="false" ht="23.85" hidden="false" customHeight="false" outlineLevel="0" collapsed="false">
      <c r="A440" s="20" t="s">
        <v>4890</v>
      </c>
      <c r="B440" s="20" t="s">
        <v>19</v>
      </c>
      <c r="C440" s="20" t="s">
        <v>2372</v>
      </c>
      <c r="D440" s="21" t="s">
        <v>4891</v>
      </c>
      <c r="E440" s="20" t="s">
        <v>4892</v>
      </c>
      <c r="F440" s="20"/>
      <c r="G440" s="20" t="n">
        <v>4</v>
      </c>
      <c r="H440" s="20" t="n">
        <v>215</v>
      </c>
    </row>
    <row r="441" customFormat="false" ht="15" hidden="false" customHeight="false" outlineLevel="0" collapsed="false">
      <c r="A441" s="20" t="s">
        <v>4893</v>
      </c>
      <c r="B441" s="20" t="s">
        <v>19</v>
      </c>
      <c r="C441" s="20" t="s">
        <v>2372</v>
      </c>
      <c r="D441" s="21" t="s">
        <v>4894</v>
      </c>
      <c r="E441" s="20"/>
      <c r="F441" s="20"/>
      <c r="G441" s="20"/>
      <c r="H441" s="20"/>
    </row>
    <row r="442" customFormat="false" ht="15" hidden="false" customHeight="false" outlineLevel="0" collapsed="false">
      <c r="A442" s="20" t="s">
        <v>4895</v>
      </c>
      <c r="B442" s="20" t="s">
        <v>19</v>
      </c>
      <c r="C442" s="20" t="s">
        <v>3876</v>
      </c>
      <c r="D442" s="21" t="s">
        <v>4896</v>
      </c>
      <c r="E442" s="20"/>
      <c r="F442" s="20"/>
      <c r="G442" s="20" t="n">
        <v>5</v>
      </c>
      <c r="H442" s="20" t="n">
        <v>1</v>
      </c>
    </row>
    <row r="443" customFormat="false" ht="23.85" hidden="false" customHeight="false" outlineLevel="0" collapsed="false">
      <c r="A443" s="20" t="s">
        <v>4897</v>
      </c>
      <c r="B443" s="20" t="s">
        <v>29</v>
      </c>
      <c r="C443" s="20" t="s">
        <v>1312</v>
      </c>
      <c r="D443" s="21" t="s">
        <v>4898</v>
      </c>
      <c r="E443" s="20" t="s">
        <v>4899</v>
      </c>
      <c r="F443" s="20"/>
      <c r="G443" s="20" t="n">
        <v>4.9</v>
      </c>
      <c r="H443" s="20" t="n">
        <v>8</v>
      </c>
    </row>
    <row r="444" customFormat="false" ht="35.05" hidden="false" customHeight="false" outlineLevel="0" collapsed="false">
      <c r="A444" s="20" t="s">
        <v>4900</v>
      </c>
      <c r="B444" s="20" t="s">
        <v>20</v>
      </c>
      <c r="C444" s="20" t="s">
        <v>287</v>
      </c>
      <c r="D444" s="21" t="s">
        <v>4901</v>
      </c>
      <c r="E444" s="20" t="s">
        <v>4902</v>
      </c>
      <c r="F444" s="20" t="s">
        <v>4903</v>
      </c>
      <c r="G444" s="20" t="n">
        <v>4.5</v>
      </c>
      <c r="H444" s="20" t="n">
        <v>389</v>
      </c>
    </row>
    <row r="445" customFormat="false" ht="15" hidden="false" customHeight="false" outlineLevel="0" collapsed="false">
      <c r="A445" s="20" t="s">
        <v>4904</v>
      </c>
      <c r="B445" s="20" t="s">
        <v>20</v>
      </c>
      <c r="C445" s="20" t="s">
        <v>287</v>
      </c>
      <c r="D445" s="21" t="s">
        <v>4905</v>
      </c>
      <c r="E445" s="20"/>
      <c r="F445" s="20" t="s">
        <v>4906</v>
      </c>
      <c r="G445" s="20" t="n">
        <v>4.6</v>
      </c>
      <c r="H445" s="20" t="n">
        <v>41</v>
      </c>
    </row>
    <row r="446" customFormat="false" ht="15" hidden="false" customHeight="false" outlineLevel="0" collapsed="false">
      <c r="A446" s="20" t="s">
        <v>4907</v>
      </c>
      <c r="B446" s="20" t="s">
        <v>24</v>
      </c>
      <c r="C446" s="20" t="s">
        <v>715</v>
      </c>
      <c r="D446" s="21" t="s">
        <v>4908</v>
      </c>
      <c r="E446" s="20" t="s">
        <v>4909</v>
      </c>
      <c r="F446" s="20"/>
      <c r="G446" s="20" t="n">
        <v>4.7</v>
      </c>
      <c r="H446" s="20" t="n">
        <v>22</v>
      </c>
    </row>
    <row r="447" customFormat="false" ht="15" hidden="false" customHeight="false" outlineLevel="0" collapsed="false">
      <c r="A447" s="20" t="s">
        <v>4910</v>
      </c>
      <c r="B447" s="20" t="s">
        <v>18</v>
      </c>
      <c r="C447" s="20" t="s">
        <v>4911</v>
      </c>
      <c r="D447" s="21" t="s">
        <v>4912</v>
      </c>
      <c r="E447" s="20" t="s">
        <v>4913</v>
      </c>
      <c r="F447" s="20"/>
      <c r="G447" s="20" t="n">
        <v>4.3</v>
      </c>
      <c r="H447" s="20" t="n">
        <v>84</v>
      </c>
    </row>
    <row r="448" customFormat="false" ht="15" hidden="false" customHeight="false" outlineLevel="0" collapsed="false">
      <c r="A448" s="20" t="s">
        <v>4914</v>
      </c>
      <c r="B448" s="20" t="s">
        <v>18</v>
      </c>
      <c r="C448" s="20" t="s">
        <v>121</v>
      </c>
      <c r="D448" s="21" t="s">
        <v>4915</v>
      </c>
      <c r="E448" s="20" t="s">
        <v>4916</v>
      </c>
      <c r="F448" s="20" t="s">
        <v>4917</v>
      </c>
      <c r="G448" s="20" t="n">
        <v>4.2</v>
      </c>
      <c r="H448" s="20" t="n">
        <v>2702</v>
      </c>
    </row>
    <row r="449" customFormat="false" ht="23.85" hidden="false" customHeight="false" outlineLevel="0" collapsed="false">
      <c r="A449" s="20" t="s">
        <v>4918</v>
      </c>
      <c r="B449" s="20" t="s">
        <v>32</v>
      </c>
      <c r="C449" s="20" t="s">
        <v>3650</v>
      </c>
      <c r="D449" s="21" t="s">
        <v>4919</v>
      </c>
      <c r="E449" s="20" t="s">
        <v>4920</v>
      </c>
      <c r="F449" s="20"/>
      <c r="G449" s="20"/>
      <c r="H449" s="20"/>
    </row>
    <row r="450" customFormat="false" ht="23.85" hidden="false" customHeight="false" outlineLevel="0" collapsed="false">
      <c r="A450" s="20" t="s">
        <v>4921</v>
      </c>
      <c r="B450" s="20" t="s">
        <v>18</v>
      </c>
      <c r="C450" s="20" t="s">
        <v>82</v>
      </c>
      <c r="D450" s="21" t="s">
        <v>4922</v>
      </c>
      <c r="E450" s="20"/>
      <c r="F450" s="20"/>
      <c r="G450" s="20" t="n">
        <v>4</v>
      </c>
      <c r="H450" s="20" t="n">
        <v>1</v>
      </c>
    </row>
    <row r="451" customFormat="false" ht="15" hidden="false" customHeight="false" outlineLevel="0" collapsed="false">
      <c r="A451" s="20" t="s">
        <v>4923</v>
      </c>
      <c r="B451" s="20" t="s">
        <v>34</v>
      </c>
      <c r="C451" s="20" t="s">
        <v>2090</v>
      </c>
      <c r="D451" s="21" t="s">
        <v>4112</v>
      </c>
      <c r="E451" s="20" t="s">
        <v>4924</v>
      </c>
      <c r="F451" s="20"/>
      <c r="G451" s="20"/>
      <c r="H451" s="20"/>
    </row>
    <row r="452" customFormat="false" ht="23.85" hidden="false" customHeight="false" outlineLevel="0" collapsed="false">
      <c r="A452" s="20" t="s">
        <v>4925</v>
      </c>
      <c r="B452" s="20" t="s">
        <v>26</v>
      </c>
      <c r="C452" s="20" t="s">
        <v>3700</v>
      </c>
      <c r="D452" s="21" t="s">
        <v>4926</v>
      </c>
      <c r="E452" s="20" t="s">
        <v>4927</v>
      </c>
      <c r="F452" s="20"/>
      <c r="G452" s="20"/>
      <c r="H452" s="20"/>
    </row>
    <row r="453" customFormat="false" ht="15" hidden="false" customHeight="false" outlineLevel="0" collapsed="false">
      <c r="A453" s="20" t="s">
        <v>4928</v>
      </c>
      <c r="B453" s="20"/>
      <c r="C453" s="20" t="s">
        <v>4929</v>
      </c>
      <c r="D453" s="21" t="s">
        <v>4930</v>
      </c>
      <c r="E453" s="20"/>
      <c r="F453" s="20"/>
      <c r="G453" s="20" t="n">
        <v>3.9</v>
      </c>
      <c r="H453" s="20" t="n">
        <v>656</v>
      </c>
    </row>
    <row r="454" customFormat="false" ht="15" hidden="false" customHeight="false" outlineLevel="0" collapsed="false">
      <c r="A454" s="20" t="s">
        <v>4931</v>
      </c>
      <c r="B454" s="20" t="s">
        <v>26</v>
      </c>
      <c r="C454" s="20" t="s">
        <v>2841</v>
      </c>
      <c r="D454" s="21" t="s">
        <v>4932</v>
      </c>
      <c r="E454" s="20" t="s">
        <v>4933</v>
      </c>
      <c r="F454" s="20" t="s">
        <v>4934</v>
      </c>
      <c r="G454" s="20"/>
      <c r="H454" s="20"/>
    </row>
    <row r="455" customFormat="false" ht="23.85" hidden="false" customHeight="false" outlineLevel="0" collapsed="false">
      <c r="A455" s="20" t="s">
        <v>4935</v>
      </c>
      <c r="B455" s="20" t="s">
        <v>28</v>
      </c>
      <c r="C455" s="20" t="s">
        <v>1025</v>
      </c>
      <c r="D455" s="21" t="s">
        <v>4936</v>
      </c>
      <c r="E455" s="20" t="s">
        <v>4937</v>
      </c>
      <c r="F455" s="20"/>
      <c r="G455" s="20"/>
      <c r="H455" s="20"/>
    </row>
    <row r="456" customFormat="false" ht="15" hidden="false" customHeight="false" outlineLevel="0" collapsed="false">
      <c r="A456" s="20" t="s">
        <v>4938</v>
      </c>
      <c r="B456" s="20" t="s">
        <v>29</v>
      </c>
      <c r="C456" s="20" t="s">
        <v>2971</v>
      </c>
      <c r="D456" s="21" t="s">
        <v>4939</v>
      </c>
      <c r="E456" s="20" t="s">
        <v>4940</v>
      </c>
      <c r="F456" s="20"/>
      <c r="G456" s="20" t="n">
        <v>5</v>
      </c>
      <c r="H456" s="20" t="n">
        <v>1</v>
      </c>
    </row>
    <row r="457" customFormat="false" ht="15" hidden="false" customHeight="false" outlineLevel="0" collapsed="false">
      <c r="A457" s="20" t="s">
        <v>4941</v>
      </c>
      <c r="B457" s="20" t="s">
        <v>18</v>
      </c>
      <c r="C457" s="20" t="s">
        <v>82</v>
      </c>
      <c r="D457" s="21" t="s">
        <v>4942</v>
      </c>
      <c r="E457" s="20"/>
      <c r="F457" s="20"/>
      <c r="G457" s="20" t="n">
        <v>3.9</v>
      </c>
      <c r="H457" s="20" t="n">
        <v>354</v>
      </c>
    </row>
    <row r="458" customFormat="false" ht="23.85" hidden="false" customHeight="false" outlineLevel="0" collapsed="false">
      <c r="A458" s="20" t="s">
        <v>4943</v>
      </c>
      <c r="B458" s="20" t="s">
        <v>19</v>
      </c>
      <c r="C458" s="20" t="s">
        <v>3637</v>
      </c>
      <c r="D458" s="21" t="s">
        <v>4944</v>
      </c>
      <c r="E458" s="20"/>
      <c r="F458" s="20"/>
      <c r="G458" s="20"/>
      <c r="H458" s="20"/>
    </row>
    <row r="459" customFormat="false" ht="15" hidden="false" customHeight="false" outlineLevel="0" collapsed="false">
      <c r="A459" s="20" t="s">
        <v>4945</v>
      </c>
      <c r="B459" s="20" t="s">
        <v>18</v>
      </c>
      <c r="C459" s="20" t="s">
        <v>82</v>
      </c>
      <c r="D459" s="21" t="s">
        <v>4946</v>
      </c>
      <c r="E459" s="20" t="s">
        <v>4947</v>
      </c>
      <c r="F459" s="20"/>
      <c r="G459" s="20" t="n">
        <v>4</v>
      </c>
      <c r="H459" s="20" t="n">
        <v>223</v>
      </c>
    </row>
    <row r="460" customFormat="false" ht="15" hidden="false" customHeight="false" outlineLevel="0" collapsed="false">
      <c r="A460" s="20" t="s">
        <v>4948</v>
      </c>
      <c r="B460" s="20" t="s">
        <v>33</v>
      </c>
      <c r="C460" s="20" t="s">
        <v>719</v>
      </c>
      <c r="D460" s="21" t="s">
        <v>4949</v>
      </c>
      <c r="E460" s="20" t="s">
        <v>4950</v>
      </c>
      <c r="F460" s="20"/>
      <c r="G460" s="20" t="n">
        <v>4.3</v>
      </c>
      <c r="H460" s="20" t="n">
        <v>8</v>
      </c>
    </row>
    <row r="461" customFormat="false" ht="23.85" hidden="false" customHeight="false" outlineLevel="0" collapsed="false">
      <c r="A461" s="20" t="s">
        <v>4951</v>
      </c>
      <c r="B461" s="20" t="s">
        <v>34</v>
      </c>
      <c r="C461" s="20" t="s">
        <v>2157</v>
      </c>
      <c r="D461" s="21" t="s">
        <v>4952</v>
      </c>
      <c r="E461" s="20" t="s">
        <v>4953</v>
      </c>
      <c r="F461" s="20"/>
      <c r="G461" s="20" t="n">
        <v>4</v>
      </c>
      <c r="H461" s="20" t="n">
        <v>181</v>
      </c>
    </row>
    <row r="462" customFormat="false" ht="15" hidden="false" customHeight="false" outlineLevel="0" collapsed="false">
      <c r="A462" s="20" t="s">
        <v>4954</v>
      </c>
      <c r="B462" s="20" t="s">
        <v>23</v>
      </c>
      <c r="C462" s="20" t="s">
        <v>2100</v>
      </c>
      <c r="D462" s="21" t="s">
        <v>4955</v>
      </c>
      <c r="E462" s="20"/>
      <c r="F462" s="20"/>
      <c r="G462" s="20" t="n">
        <v>4.4</v>
      </c>
      <c r="H462" s="20" t="n">
        <v>8</v>
      </c>
    </row>
    <row r="463" customFormat="false" ht="15" hidden="false" customHeight="false" outlineLevel="0" collapsed="false">
      <c r="A463" s="20" t="s">
        <v>4956</v>
      </c>
      <c r="B463" s="20" t="s">
        <v>32</v>
      </c>
      <c r="C463" s="20" t="s">
        <v>3650</v>
      </c>
      <c r="D463" s="21" t="s">
        <v>4957</v>
      </c>
      <c r="E463" s="20" t="s">
        <v>4958</v>
      </c>
      <c r="F463" s="20"/>
      <c r="G463" s="20"/>
      <c r="H463" s="20"/>
    </row>
    <row r="464" customFormat="false" ht="15" hidden="false" customHeight="false" outlineLevel="0" collapsed="false">
      <c r="A464" s="20" t="s">
        <v>4959</v>
      </c>
      <c r="B464" s="20" t="s">
        <v>31</v>
      </c>
      <c r="C464" s="20" t="s">
        <v>1542</v>
      </c>
      <c r="D464" s="21" t="s">
        <v>4960</v>
      </c>
      <c r="E464" s="20" t="s">
        <v>4961</v>
      </c>
      <c r="F464" s="20" t="s">
        <v>4962</v>
      </c>
      <c r="G464" s="20"/>
      <c r="H464" s="20"/>
    </row>
    <row r="465" customFormat="false" ht="35.05" hidden="false" customHeight="false" outlineLevel="0" collapsed="false">
      <c r="A465" s="20" t="s">
        <v>4963</v>
      </c>
      <c r="B465" s="20" t="s">
        <v>29</v>
      </c>
      <c r="C465" s="20" t="s">
        <v>1312</v>
      </c>
      <c r="D465" s="21" t="s">
        <v>4964</v>
      </c>
      <c r="E465" s="20" t="s">
        <v>4965</v>
      </c>
      <c r="F465" s="20"/>
      <c r="G465" s="20"/>
      <c r="H465" s="20"/>
    </row>
    <row r="466" customFormat="false" ht="15" hidden="false" customHeight="false" outlineLevel="0" collapsed="false">
      <c r="A466" s="20" t="s">
        <v>4966</v>
      </c>
      <c r="B466" s="20" t="s">
        <v>23</v>
      </c>
      <c r="C466" s="20" t="s">
        <v>4967</v>
      </c>
      <c r="D466" s="21" t="s">
        <v>4968</v>
      </c>
      <c r="E466" s="20" t="s">
        <v>4969</v>
      </c>
      <c r="F466" s="20"/>
      <c r="G466" s="20" t="n">
        <v>4.9</v>
      </c>
      <c r="H466" s="20" t="n">
        <v>13</v>
      </c>
    </row>
    <row r="467" customFormat="false" ht="23.85" hidden="false" customHeight="false" outlineLevel="0" collapsed="false">
      <c r="A467" s="20" t="s">
        <v>4970</v>
      </c>
      <c r="B467" s="20" t="s">
        <v>34</v>
      </c>
      <c r="C467" s="20" t="s">
        <v>2073</v>
      </c>
      <c r="D467" s="21" t="s">
        <v>4971</v>
      </c>
      <c r="E467" s="20" t="s">
        <v>4972</v>
      </c>
      <c r="F467" s="20"/>
      <c r="G467" s="20" t="n">
        <v>5</v>
      </c>
      <c r="H467" s="20" t="n">
        <v>173</v>
      </c>
    </row>
    <row r="468" customFormat="false" ht="23.85" hidden="false" customHeight="false" outlineLevel="0" collapsed="false">
      <c r="A468" s="20" t="s">
        <v>4973</v>
      </c>
      <c r="B468" s="20" t="s">
        <v>32</v>
      </c>
      <c r="C468" s="20" t="s">
        <v>1734</v>
      </c>
      <c r="D468" s="21" t="s">
        <v>4974</v>
      </c>
      <c r="E468" s="20" t="s">
        <v>4975</v>
      </c>
      <c r="F468" s="20"/>
      <c r="G468" s="20" t="n">
        <v>3</v>
      </c>
      <c r="H468" s="20" t="n">
        <v>1</v>
      </c>
    </row>
    <row r="469" customFormat="false" ht="23.85" hidden="false" customHeight="false" outlineLevel="0" collapsed="false">
      <c r="A469" s="20" t="s">
        <v>4976</v>
      </c>
      <c r="B469" s="20" t="s">
        <v>31</v>
      </c>
      <c r="C469" s="20" t="s">
        <v>1522</v>
      </c>
      <c r="D469" s="21" t="s">
        <v>4977</v>
      </c>
      <c r="E469" s="20" t="s">
        <v>4978</v>
      </c>
      <c r="F469" s="20"/>
      <c r="G469" s="20" t="n">
        <v>5</v>
      </c>
      <c r="H469" s="20" t="n">
        <v>1</v>
      </c>
    </row>
    <row r="470" customFormat="false" ht="23.85" hidden="false" customHeight="false" outlineLevel="0" collapsed="false">
      <c r="A470" s="20" t="s">
        <v>4979</v>
      </c>
      <c r="B470" s="20" t="s">
        <v>30</v>
      </c>
      <c r="C470" s="20" t="s">
        <v>4094</v>
      </c>
      <c r="D470" s="21" t="s">
        <v>4980</v>
      </c>
      <c r="E470" s="20" t="s">
        <v>4981</v>
      </c>
      <c r="F470" s="20"/>
      <c r="G470" s="20" t="n">
        <v>5</v>
      </c>
      <c r="H470" s="20" t="n">
        <v>1</v>
      </c>
    </row>
    <row r="471" customFormat="false" ht="15" hidden="false" customHeight="false" outlineLevel="0" collapsed="false">
      <c r="A471" s="20" t="s">
        <v>4982</v>
      </c>
      <c r="B471" s="20" t="s">
        <v>18</v>
      </c>
      <c r="C471" s="20" t="s">
        <v>232</v>
      </c>
      <c r="D471" s="21" t="s">
        <v>4983</v>
      </c>
      <c r="E471" s="20" t="s">
        <v>4984</v>
      </c>
      <c r="F471" s="20"/>
      <c r="G471" s="20" t="n">
        <v>5</v>
      </c>
      <c r="H471" s="20" t="n">
        <v>1</v>
      </c>
    </row>
    <row r="472" customFormat="false" ht="23.85" hidden="false" customHeight="false" outlineLevel="0" collapsed="false">
      <c r="A472" s="20" t="s">
        <v>4985</v>
      </c>
      <c r="B472" s="20" t="s">
        <v>21</v>
      </c>
      <c r="C472" s="20" t="s">
        <v>356</v>
      </c>
      <c r="D472" s="21" t="s">
        <v>4986</v>
      </c>
      <c r="E472" s="20" t="s">
        <v>4987</v>
      </c>
      <c r="F472" s="20"/>
      <c r="G472" s="20"/>
      <c r="H472" s="20"/>
    </row>
    <row r="473" customFormat="false" ht="15" hidden="false" customHeight="false" outlineLevel="0" collapsed="false">
      <c r="A473" s="20" t="s">
        <v>4988</v>
      </c>
      <c r="B473" s="20" t="s">
        <v>28</v>
      </c>
      <c r="C473" s="20" t="s">
        <v>3633</v>
      </c>
      <c r="D473" s="21" t="s">
        <v>4989</v>
      </c>
      <c r="E473" s="20" t="s">
        <v>4990</v>
      </c>
      <c r="F473" s="20"/>
      <c r="G473" s="20"/>
      <c r="H473" s="20"/>
    </row>
    <row r="474" customFormat="false" ht="23.85" hidden="false" customHeight="false" outlineLevel="0" collapsed="false">
      <c r="A474" s="20" t="s">
        <v>4991</v>
      </c>
      <c r="B474" s="20" t="s">
        <v>28</v>
      </c>
      <c r="C474" s="20" t="s">
        <v>934</v>
      </c>
      <c r="D474" s="21" t="s">
        <v>4992</v>
      </c>
      <c r="E474" s="20"/>
      <c r="F474" s="20"/>
      <c r="G474" s="20" t="n">
        <v>5</v>
      </c>
      <c r="H474" s="20" t="n">
        <v>3</v>
      </c>
    </row>
    <row r="475" customFormat="false" ht="23.85" hidden="false" customHeight="false" outlineLevel="0" collapsed="false">
      <c r="A475" s="20" t="s">
        <v>4993</v>
      </c>
      <c r="B475" s="20" t="s">
        <v>32</v>
      </c>
      <c r="C475" s="20" t="s">
        <v>1869</v>
      </c>
      <c r="D475" s="21" t="s">
        <v>4994</v>
      </c>
      <c r="E475" s="20"/>
      <c r="F475" s="20"/>
      <c r="G475" s="20"/>
      <c r="H475" s="20"/>
    </row>
    <row r="476" customFormat="false" ht="15" hidden="false" customHeight="false" outlineLevel="0" collapsed="false">
      <c r="A476" s="20" t="s">
        <v>4995</v>
      </c>
      <c r="B476" s="20" t="s">
        <v>18</v>
      </c>
      <c r="C476" s="20" t="s">
        <v>82</v>
      </c>
      <c r="D476" s="21" t="s">
        <v>4996</v>
      </c>
      <c r="E476" s="20"/>
      <c r="F476" s="20"/>
      <c r="G476" s="20" t="n">
        <v>4</v>
      </c>
      <c r="H476" s="20" t="n">
        <v>1</v>
      </c>
    </row>
    <row r="477" customFormat="false" ht="15" hidden="false" customHeight="false" outlineLevel="0" collapsed="false">
      <c r="A477" s="20" t="s">
        <v>4997</v>
      </c>
      <c r="B477" s="20" t="s">
        <v>28</v>
      </c>
      <c r="C477" s="20" t="s">
        <v>1076</v>
      </c>
      <c r="D477" s="21" t="s">
        <v>4998</v>
      </c>
      <c r="E477" s="20" t="s">
        <v>4999</v>
      </c>
      <c r="F477" s="20"/>
      <c r="G477" s="20"/>
      <c r="H477" s="20"/>
    </row>
    <row r="478" customFormat="false" ht="23.85" hidden="false" customHeight="false" outlineLevel="0" collapsed="false">
      <c r="A478" s="20" t="s">
        <v>5000</v>
      </c>
      <c r="B478" s="20" t="s">
        <v>29</v>
      </c>
      <c r="C478" s="20" t="s">
        <v>1312</v>
      </c>
      <c r="D478" s="21" t="s">
        <v>5001</v>
      </c>
      <c r="E478" s="20" t="s">
        <v>5002</v>
      </c>
      <c r="F478" s="20"/>
      <c r="G478" s="20"/>
      <c r="H478" s="20"/>
    </row>
    <row r="479" customFormat="false" ht="23.85" hidden="false" customHeight="false" outlineLevel="0" collapsed="false">
      <c r="A479" s="20" t="s">
        <v>5003</v>
      </c>
      <c r="B479" s="20" t="s">
        <v>34</v>
      </c>
      <c r="C479" s="20" t="s">
        <v>2073</v>
      </c>
      <c r="D479" s="21" t="s">
        <v>5004</v>
      </c>
      <c r="E479" s="20" t="s">
        <v>5005</v>
      </c>
      <c r="F479" s="20"/>
      <c r="G479" s="20"/>
      <c r="H479" s="20"/>
    </row>
    <row r="480" customFormat="false" ht="15" hidden="false" customHeight="false" outlineLevel="0" collapsed="false">
      <c r="A480" s="20" t="s">
        <v>5006</v>
      </c>
      <c r="B480" s="20" t="s">
        <v>23</v>
      </c>
      <c r="C480" s="20" t="s">
        <v>663</v>
      </c>
      <c r="D480" s="21" t="s">
        <v>5007</v>
      </c>
      <c r="E480" s="20"/>
      <c r="F480" s="20"/>
      <c r="G480" s="20"/>
      <c r="H480" s="20"/>
    </row>
    <row r="481" customFormat="false" ht="15" hidden="false" customHeight="false" outlineLevel="0" collapsed="false">
      <c r="A481" s="20" t="s">
        <v>5008</v>
      </c>
      <c r="B481" s="20" t="s">
        <v>30</v>
      </c>
      <c r="C481" s="20" t="s">
        <v>4094</v>
      </c>
      <c r="D481" s="21" t="s">
        <v>5009</v>
      </c>
      <c r="E481" s="20" t="s">
        <v>5010</v>
      </c>
      <c r="F481" s="20"/>
      <c r="G481" s="20"/>
      <c r="H481" s="20"/>
    </row>
    <row r="482" customFormat="false" ht="15" hidden="false" customHeight="false" outlineLevel="0" collapsed="false">
      <c r="A482" s="20" t="s">
        <v>5011</v>
      </c>
      <c r="B482" s="20" t="s">
        <v>29</v>
      </c>
      <c r="C482" s="20" t="s">
        <v>5012</v>
      </c>
      <c r="D482" s="21" t="s">
        <v>5013</v>
      </c>
      <c r="E482" s="20" t="s">
        <v>5014</v>
      </c>
      <c r="F482" s="20" t="s">
        <v>5015</v>
      </c>
      <c r="G482" s="20" t="n">
        <v>4</v>
      </c>
      <c r="H482" s="20" t="n">
        <v>2</v>
      </c>
    </row>
    <row r="483" customFormat="false" ht="15" hidden="false" customHeight="false" outlineLevel="0" collapsed="false">
      <c r="A483" s="20" t="s">
        <v>5016</v>
      </c>
      <c r="B483" s="20" t="s">
        <v>29</v>
      </c>
      <c r="C483" s="20" t="s">
        <v>1188</v>
      </c>
      <c r="D483" s="21" t="s">
        <v>5017</v>
      </c>
      <c r="E483" s="20"/>
      <c r="F483" s="20"/>
      <c r="G483" s="20"/>
      <c r="H483" s="20"/>
    </row>
    <row r="484" customFormat="false" ht="23.85" hidden="false" customHeight="false" outlineLevel="0" collapsed="false">
      <c r="A484" s="20" t="s">
        <v>5018</v>
      </c>
      <c r="B484" s="20" t="s">
        <v>20</v>
      </c>
      <c r="C484" s="20" t="s">
        <v>2400</v>
      </c>
      <c r="D484" s="21" t="s">
        <v>5019</v>
      </c>
      <c r="E484" s="20" t="s">
        <v>5020</v>
      </c>
      <c r="F484" s="20"/>
      <c r="G484" s="20" t="n">
        <v>4.4</v>
      </c>
      <c r="H484" s="20" t="n">
        <v>43</v>
      </c>
    </row>
    <row r="485" customFormat="false" ht="15" hidden="false" customHeight="false" outlineLevel="0" collapsed="false">
      <c r="A485" s="20" t="s">
        <v>5021</v>
      </c>
      <c r="B485" s="20" t="s">
        <v>32</v>
      </c>
      <c r="C485" s="20" t="s">
        <v>1706</v>
      </c>
      <c r="D485" s="21" t="s">
        <v>5022</v>
      </c>
      <c r="E485" s="20" t="s">
        <v>5023</v>
      </c>
      <c r="F485" s="20" t="s">
        <v>5024</v>
      </c>
      <c r="G485" s="20" t="n">
        <v>5</v>
      </c>
      <c r="H485" s="20" t="n">
        <v>23</v>
      </c>
    </row>
    <row r="486" customFormat="false" ht="15" hidden="false" customHeight="false" outlineLevel="0" collapsed="false">
      <c r="A486" s="20" t="s">
        <v>5025</v>
      </c>
      <c r="B486" s="20" t="s">
        <v>26</v>
      </c>
      <c r="C486" s="20" t="s">
        <v>3743</v>
      </c>
      <c r="D486" s="21" t="s">
        <v>5026</v>
      </c>
      <c r="E486" s="20" t="s">
        <v>5027</v>
      </c>
      <c r="F486" s="20"/>
      <c r="G486" s="20"/>
      <c r="H486" s="20"/>
    </row>
    <row r="487" customFormat="false" ht="23.85" hidden="false" customHeight="false" outlineLevel="0" collapsed="false">
      <c r="A487" s="20" t="s">
        <v>5028</v>
      </c>
      <c r="B487" s="20" t="s">
        <v>32</v>
      </c>
      <c r="C487" s="20" t="s">
        <v>3650</v>
      </c>
      <c r="D487" s="21" t="s">
        <v>5029</v>
      </c>
      <c r="E487" s="20" t="s">
        <v>5030</v>
      </c>
      <c r="F487" s="20"/>
      <c r="G487" s="20"/>
      <c r="H487" s="20"/>
    </row>
    <row r="488" customFormat="false" ht="23.85" hidden="false" customHeight="false" outlineLevel="0" collapsed="false">
      <c r="A488" s="20" t="s">
        <v>5031</v>
      </c>
      <c r="B488" s="20" t="s">
        <v>25</v>
      </c>
      <c r="C488" s="20" t="s">
        <v>738</v>
      </c>
      <c r="D488" s="21" t="s">
        <v>5032</v>
      </c>
      <c r="E488" s="20" t="s">
        <v>5033</v>
      </c>
      <c r="F488" s="20"/>
      <c r="G488" s="20" t="n">
        <v>3</v>
      </c>
      <c r="H488" s="20" t="n">
        <v>2</v>
      </c>
    </row>
    <row r="489" customFormat="false" ht="23.85" hidden="false" customHeight="false" outlineLevel="0" collapsed="false">
      <c r="A489" s="20" t="s">
        <v>5034</v>
      </c>
      <c r="B489" s="20" t="s">
        <v>25</v>
      </c>
      <c r="C489" s="20" t="s">
        <v>738</v>
      </c>
      <c r="D489" s="21" t="s">
        <v>5035</v>
      </c>
      <c r="E489" s="20" t="s">
        <v>5036</v>
      </c>
      <c r="F489" s="20"/>
      <c r="G489" s="20" t="n">
        <v>5</v>
      </c>
      <c r="H489" s="20" t="n">
        <v>1</v>
      </c>
    </row>
    <row r="490" customFormat="false" ht="23.85" hidden="false" customHeight="false" outlineLevel="0" collapsed="false">
      <c r="A490" s="20" t="s">
        <v>5037</v>
      </c>
      <c r="B490" s="20" t="s">
        <v>21</v>
      </c>
      <c r="C490" s="20" t="s">
        <v>347</v>
      </c>
      <c r="D490" s="21" t="s">
        <v>5038</v>
      </c>
      <c r="E490" s="20"/>
      <c r="F490" s="20"/>
      <c r="G490" s="20"/>
      <c r="H490" s="20"/>
    </row>
    <row r="491" customFormat="false" ht="15" hidden="false" customHeight="false" outlineLevel="0" collapsed="false">
      <c r="A491" s="20" t="s">
        <v>5039</v>
      </c>
      <c r="B491" s="20" t="s">
        <v>30</v>
      </c>
      <c r="C491" s="20" t="s">
        <v>1389</v>
      </c>
      <c r="D491" s="21" t="s">
        <v>5040</v>
      </c>
      <c r="E491" s="20" t="s">
        <v>5041</v>
      </c>
      <c r="F491" s="20"/>
      <c r="G491" s="20"/>
      <c r="H491" s="20"/>
    </row>
    <row r="492" customFormat="false" ht="23.85" hidden="false" customHeight="false" outlineLevel="0" collapsed="false">
      <c r="A492" s="20" t="s">
        <v>5042</v>
      </c>
      <c r="B492" s="20" t="s">
        <v>28</v>
      </c>
      <c r="C492" s="20" t="s">
        <v>892</v>
      </c>
      <c r="D492" s="21" t="s">
        <v>5043</v>
      </c>
      <c r="E492" s="20" t="s">
        <v>5044</v>
      </c>
      <c r="F492" s="20"/>
      <c r="G492" s="20"/>
      <c r="H492" s="20"/>
    </row>
    <row r="493" customFormat="false" ht="15" hidden="false" customHeight="false" outlineLevel="0" collapsed="false">
      <c r="A493" s="20" t="s">
        <v>5045</v>
      </c>
      <c r="B493" s="20" t="s">
        <v>35</v>
      </c>
      <c r="C493" s="20" t="s">
        <v>2195</v>
      </c>
      <c r="D493" s="21" t="s">
        <v>5046</v>
      </c>
      <c r="E493" s="20" t="s">
        <v>5047</v>
      </c>
      <c r="F493" s="20"/>
      <c r="G493" s="20" t="n">
        <v>5</v>
      </c>
      <c r="H493" s="20" t="n">
        <v>2</v>
      </c>
    </row>
    <row r="494" customFormat="false" ht="15" hidden="false" customHeight="false" outlineLevel="0" collapsed="false">
      <c r="A494" s="20" t="s">
        <v>5048</v>
      </c>
      <c r="B494" s="20" t="s">
        <v>28</v>
      </c>
      <c r="C494" s="20" t="s">
        <v>1076</v>
      </c>
      <c r="D494" s="21" t="s">
        <v>5049</v>
      </c>
      <c r="E494" s="20" t="s">
        <v>5050</v>
      </c>
      <c r="F494" s="20"/>
      <c r="G494" s="20"/>
      <c r="H494" s="20"/>
    </row>
    <row r="495" customFormat="false" ht="23.85" hidden="false" customHeight="false" outlineLevel="0" collapsed="false">
      <c r="A495" s="20" t="s">
        <v>5051</v>
      </c>
      <c r="B495" s="20" t="s">
        <v>21</v>
      </c>
      <c r="C495" s="20" t="s">
        <v>356</v>
      </c>
      <c r="D495" s="21" t="s">
        <v>5052</v>
      </c>
      <c r="E495" s="20" t="s">
        <v>5053</v>
      </c>
      <c r="F495" s="20"/>
      <c r="G495" s="20"/>
      <c r="H495" s="20"/>
    </row>
    <row r="496" customFormat="false" ht="15" hidden="false" customHeight="false" outlineLevel="0" collapsed="false">
      <c r="A496" s="20" t="s">
        <v>5054</v>
      </c>
      <c r="B496" s="20" t="s">
        <v>28</v>
      </c>
      <c r="C496" s="20" t="s">
        <v>934</v>
      </c>
      <c r="D496" s="21" t="s">
        <v>5055</v>
      </c>
      <c r="E496" s="20" t="s">
        <v>5056</v>
      </c>
      <c r="F496" s="20" t="s">
        <v>5057</v>
      </c>
      <c r="G496" s="20" t="n">
        <v>4.1</v>
      </c>
      <c r="H496" s="20" t="n">
        <v>4909</v>
      </c>
    </row>
    <row r="497" customFormat="false" ht="15" hidden="false" customHeight="false" outlineLevel="0" collapsed="false">
      <c r="A497" s="20" t="s">
        <v>5058</v>
      </c>
      <c r="B497" s="20" t="s">
        <v>33</v>
      </c>
      <c r="C497" s="20" t="s">
        <v>1986</v>
      </c>
      <c r="D497" s="21" t="s">
        <v>5059</v>
      </c>
      <c r="E497" s="20" t="s">
        <v>5060</v>
      </c>
      <c r="F497" s="20"/>
      <c r="G497" s="20"/>
      <c r="H497" s="20"/>
    </row>
    <row r="498" customFormat="false" ht="23.85" hidden="false" customHeight="false" outlineLevel="0" collapsed="false">
      <c r="A498" s="20" t="s">
        <v>5061</v>
      </c>
      <c r="B498" s="20" t="s">
        <v>28</v>
      </c>
      <c r="C498" s="20" t="s">
        <v>913</v>
      </c>
      <c r="D498" s="21" t="s">
        <v>5062</v>
      </c>
      <c r="E498" s="20" t="s">
        <v>5063</v>
      </c>
      <c r="F498" s="20"/>
      <c r="G498" s="20"/>
      <c r="H498" s="20"/>
    </row>
    <row r="499" customFormat="false" ht="23.85" hidden="false" customHeight="false" outlineLevel="0" collapsed="false">
      <c r="A499" s="20" t="s">
        <v>5064</v>
      </c>
      <c r="B499" s="20" t="s">
        <v>31</v>
      </c>
      <c r="C499" s="20" t="s">
        <v>1542</v>
      </c>
      <c r="D499" s="21" t="s">
        <v>5065</v>
      </c>
      <c r="E499" s="20" t="s">
        <v>5066</v>
      </c>
      <c r="F499" s="20" t="s">
        <v>5067</v>
      </c>
      <c r="G499" s="20" t="n">
        <v>5</v>
      </c>
      <c r="H499" s="20" t="n">
        <v>1</v>
      </c>
    </row>
    <row r="500" customFormat="false" ht="23.85" hidden="false" customHeight="false" outlineLevel="0" collapsed="false">
      <c r="A500" s="20" t="s">
        <v>5068</v>
      </c>
      <c r="B500" s="20" t="s">
        <v>23</v>
      </c>
      <c r="C500" s="20" t="s">
        <v>663</v>
      </c>
      <c r="D500" s="21" t="s">
        <v>5069</v>
      </c>
      <c r="E500" s="20" t="s">
        <v>5070</v>
      </c>
      <c r="F500" s="20"/>
      <c r="G500" s="20"/>
      <c r="H500" s="20"/>
    </row>
    <row r="501" customFormat="false" ht="23.85" hidden="false" customHeight="false" outlineLevel="0" collapsed="false">
      <c r="A501" s="20" t="s">
        <v>5071</v>
      </c>
      <c r="B501" s="20" t="s">
        <v>25</v>
      </c>
      <c r="C501" s="20" t="s">
        <v>738</v>
      </c>
      <c r="D501" s="21" t="s">
        <v>5072</v>
      </c>
      <c r="E501" s="20" t="s">
        <v>5073</v>
      </c>
      <c r="F501" s="20"/>
      <c r="G501" s="20"/>
      <c r="H501" s="20"/>
    </row>
    <row r="502" customFormat="false" ht="23.85" hidden="false" customHeight="false" outlineLevel="0" collapsed="false">
      <c r="A502" s="20" t="s">
        <v>5074</v>
      </c>
      <c r="B502" s="20" t="s">
        <v>35</v>
      </c>
      <c r="C502" s="20" t="s">
        <v>2202</v>
      </c>
      <c r="D502" s="21" t="s">
        <v>5075</v>
      </c>
      <c r="E502" s="20" t="s">
        <v>5076</v>
      </c>
      <c r="F502" s="20"/>
      <c r="G502" s="20"/>
      <c r="H502" s="20"/>
    </row>
    <row r="503" customFormat="false" ht="23.85" hidden="false" customHeight="false" outlineLevel="0" collapsed="false">
      <c r="A503" s="20" t="s">
        <v>5077</v>
      </c>
      <c r="B503" s="20" t="s">
        <v>30</v>
      </c>
      <c r="C503" s="20" t="s">
        <v>1322</v>
      </c>
      <c r="D503" s="21" t="s">
        <v>5078</v>
      </c>
      <c r="E503" s="20" t="s">
        <v>3769</v>
      </c>
      <c r="F503" s="20"/>
      <c r="G503" s="20" t="n">
        <v>5</v>
      </c>
      <c r="H503" s="20" t="n">
        <v>1</v>
      </c>
    </row>
    <row r="504" customFormat="false" ht="23.85" hidden="false" customHeight="false" outlineLevel="0" collapsed="false">
      <c r="A504" s="20" t="s">
        <v>5079</v>
      </c>
      <c r="B504" s="20" t="s">
        <v>19</v>
      </c>
      <c r="C504" s="20" t="s">
        <v>2372</v>
      </c>
      <c r="D504" s="21" t="s">
        <v>5080</v>
      </c>
      <c r="E504" s="20" t="s">
        <v>5081</v>
      </c>
      <c r="F504" s="20"/>
      <c r="G504" s="20" t="n">
        <v>4</v>
      </c>
      <c r="H504" s="20" t="n">
        <v>295</v>
      </c>
    </row>
    <row r="505" customFormat="false" ht="23.85" hidden="false" customHeight="false" outlineLevel="0" collapsed="false">
      <c r="A505" s="20" t="s">
        <v>5082</v>
      </c>
      <c r="B505" s="20" t="s">
        <v>29</v>
      </c>
      <c r="C505" s="20" t="s">
        <v>5083</v>
      </c>
      <c r="D505" s="21" t="s">
        <v>5084</v>
      </c>
      <c r="E505" s="20" t="s">
        <v>5085</v>
      </c>
      <c r="F505" s="20"/>
      <c r="G505" s="20"/>
      <c r="H505" s="20"/>
    </row>
    <row r="506" customFormat="false" ht="15" hidden="false" customHeight="false" outlineLevel="0" collapsed="false">
      <c r="A506" s="20" t="s">
        <v>5086</v>
      </c>
      <c r="B506" s="20" t="s">
        <v>30</v>
      </c>
      <c r="C506" s="20" t="s">
        <v>1479</v>
      </c>
      <c r="D506" s="21" t="s">
        <v>5087</v>
      </c>
      <c r="E506" s="20"/>
      <c r="F506" s="20"/>
      <c r="G506" s="20"/>
      <c r="H506" s="20"/>
    </row>
    <row r="507" customFormat="false" ht="23.85" hidden="false" customHeight="false" outlineLevel="0" collapsed="false">
      <c r="A507" s="20" t="s">
        <v>5088</v>
      </c>
      <c r="B507" s="20" t="s">
        <v>30</v>
      </c>
      <c r="C507" s="20" t="s">
        <v>1336</v>
      </c>
      <c r="D507" s="21" t="s">
        <v>5089</v>
      </c>
      <c r="E507" s="20" t="s">
        <v>5090</v>
      </c>
      <c r="F507" s="20" t="s">
        <v>5091</v>
      </c>
      <c r="G507" s="20"/>
      <c r="H507" s="20"/>
    </row>
    <row r="508" customFormat="false" ht="15" hidden="false" customHeight="false" outlineLevel="0" collapsed="false">
      <c r="A508" s="20" t="s">
        <v>5092</v>
      </c>
      <c r="B508" s="20" t="s">
        <v>28</v>
      </c>
      <c r="C508" s="20" t="s">
        <v>913</v>
      </c>
      <c r="D508" s="21" t="s">
        <v>5017</v>
      </c>
      <c r="E508" s="20" t="s">
        <v>5093</v>
      </c>
      <c r="F508" s="20"/>
      <c r="G508" s="20" t="n">
        <v>5</v>
      </c>
      <c r="H508" s="20" t="n">
        <v>3</v>
      </c>
    </row>
    <row r="509" customFormat="false" ht="23.85" hidden="false" customHeight="false" outlineLevel="0" collapsed="false">
      <c r="A509" s="20" t="s">
        <v>5094</v>
      </c>
      <c r="B509" s="20" t="s">
        <v>31</v>
      </c>
      <c r="C509" s="20" t="s">
        <v>1542</v>
      </c>
      <c r="D509" s="21" t="s">
        <v>5095</v>
      </c>
      <c r="E509" s="20" t="s">
        <v>5096</v>
      </c>
      <c r="F509" s="20"/>
      <c r="G509" s="20"/>
      <c r="H509" s="20"/>
    </row>
    <row r="510" customFormat="false" ht="15" hidden="false" customHeight="false" outlineLevel="0" collapsed="false">
      <c r="A510" s="20" t="s">
        <v>5097</v>
      </c>
      <c r="B510" s="20" t="s">
        <v>32</v>
      </c>
      <c r="C510" s="20" t="s">
        <v>1729</v>
      </c>
      <c r="D510" s="21" t="s">
        <v>5098</v>
      </c>
      <c r="E510" s="20"/>
      <c r="F510" s="20"/>
      <c r="G510" s="20"/>
      <c r="H510" s="20"/>
    </row>
    <row r="511" customFormat="false" ht="35.05" hidden="false" customHeight="false" outlineLevel="0" collapsed="false">
      <c r="A511" s="20" t="s">
        <v>5099</v>
      </c>
      <c r="B511" s="20" t="s">
        <v>21</v>
      </c>
      <c r="C511" s="20" t="s">
        <v>356</v>
      </c>
      <c r="D511" s="21" t="s">
        <v>5100</v>
      </c>
      <c r="E511" s="20" t="s">
        <v>5101</v>
      </c>
      <c r="F511" s="20"/>
      <c r="G511" s="20" t="n">
        <v>4.5</v>
      </c>
      <c r="H511" s="20" t="n">
        <v>159</v>
      </c>
    </row>
    <row r="512" customFormat="false" ht="15" hidden="false" customHeight="false" outlineLevel="0" collapsed="false">
      <c r="A512" s="20" t="s">
        <v>5102</v>
      </c>
      <c r="B512" s="20" t="s">
        <v>21</v>
      </c>
      <c r="C512" s="20" t="s">
        <v>446</v>
      </c>
      <c r="D512" s="21" t="s">
        <v>5103</v>
      </c>
      <c r="E512" s="20" t="s">
        <v>5101</v>
      </c>
      <c r="F512" s="20"/>
      <c r="G512" s="20" t="n">
        <v>4.8</v>
      </c>
      <c r="H512" s="20" t="n">
        <v>6</v>
      </c>
    </row>
    <row r="513" customFormat="false" ht="23.85" hidden="false" customHeight="false" outlineLevel="0" collapsed="false">
      <c r="A513" s="20" t="s">
        <v>5104</v>
      </c>
      <c r="B513" s="20" t="s">
        <v>18</v>
      </c>
      <c r="C513" s="20" t="s">
        <v>5105</v>
      </c>
      <c r="D513" s="21" t="s">
        <v>5106</v>
      </c>
      <c r="E513" s="20" t="s">
        <v>5107</v>
      </c>
      <c r="F513" s="20"/>
      <c r="G513" s="20"/>
      <c r="H513" s="20"/>
    </row>
    <row r="514" customFormat="false" ht="23.85" hidden="false" customHeight="false" outlineLevel="0" collapsed="false">
      <c r="A514" s="20" t="s">
        <v>5108</v>
      </c>
      <c r="B514" s="20" t="s">
        <v>20</v>
      </c>
      <c r="C514" s="20" t="s">
        <v>2386</v>
      </c>
      <c r="D514" s="21" t="s">
        <v>5109</v>
      </c>
      <c r="E514" s="20" t="s">
        <v>5110</v>
      </c>
      <c r="F514" s="20"/>
      <c r="G514" s="20" t="n">
        <v>4.1</v>
      </c>
      <c r="H514" s="20" t="n">
        <v>121</v>
      </c>
    </row>
    <row r="515" customFormat="false" ht="15" hidden="false" customHeight="false" outlineLevel="0" collapsed="false">
      <c r="A515" s="20" t="s">
        <v>5111</v>
      </c>
      <c r="B515" s="20" t="s">
        <v>26</v>
      </c>
      <c r="C515" s="20" t="s">
        <v>823</v>
      </c>
      <c r="D515" s="21" t="s">
        <v>5112</v>
      </c>
      <c r="E515" s="20"/>
      <c r="F515" s="20"/>
      <c r="G515" s="20"/>
      <c r="H515" s="20"/>
    </row>
    <row r="516" customFormat="false" ht="23.85" hidden="false" customHeight="false" outlineLevel="0" collapsed="false">
      <c r="A516" s="20" t="s">
        <v>5113</v>
      </c>
      <c r="B516" s="20" t="s">
        <v>21</v>
      </c>
      <c r="C516" s="20" t="s">
        <v>347</v>
      </c>
      <c r="D516" s="21" t="s">
        <v>5114</v>
      </c>
      <c r="E516" s="20" t="s">
        <v>5115</v>
      </c>
      <c r="F516" s="20"/>
      <c r="G516" s="20"/>
      <c r="H516" s="20"/>
    </row>
    <row r="517" customFormat="false" ht="23.85" hidden="false" customHeight="false" outlineLevel="0" collapsed="false">
      <c r="A517" s="20" t="s">
        <v>5116</v>
      </c>
      <c r="B517" s="20" t="s">
        <v>21</v>
      </c>
      <c r="C517" s="20" t="s">
        <v>356</v>
      </c>
      <c r="D517" s="21" t="s">
        <v>5117</v>
      </c>
      <c r="E517" s="20" t="s">
        <v>5118</v>
      </c>
      <c r="F517" s="20"/>
      <c r="G517" s="20"/>
      <c r="H517" s="20"/>
    </row>
    <row r="518" customFormat="false" ht="15" hidden="false" customHeight="false" outlineLevel="0" collapsed="false">
      <c r="A518" s="20" t="s">
        <v>5119</v>
      </c>
      <c r="B518" s="20" t="s">
        <v>22</v>
      </c>
      <c r="C518" s="20" t="s">
        <v>540</v>
      </c>
      <c r="D518" s="21" t="s">
        <v>5120</v>
      </c>
      <c r="E518" s="20" t="s">
        <v>5121</v>
      </c>
      <c r="F518" s="20"/>
      <c r="G518" s="20"/>
      <c r="H518" s="20"/>
    </row>
    <row r="519" customFormat="false" ht="15" hidden="false" customHeight="false" outlineLevel="0" collapsed="false">
      <c r="A519" s="20" t="s">
        <v>5122</v>
      </c>
      <c r="B519" s="20" t="s">
        <v>32</v>
      </c>
      <c r="C519" s="20" t="s">
        <v>1869</v>
      </c>
      <c r="D519" s="21" t="s">
        <v>5123</v>
      </c>
      <c r="E519" s="20" t="s">
        <v>5124</v>
      </c>
      <c r="F519" s="20"/>
      <c r="G519" s="20"/>
      <c r="H519" s="20"/>
    </row>
    <row r="520" customFormat="false" ht="23.85" hidden="false" customHeight="false" outlineLevel="0" collapsed="false">
      <c r="A520" s="20" t="s">
        <v>5125</v>
      </c>
      <c r="B520" s="20" t="s">
        <v>26</v>
      </c>
      <c r="C520" s="20" t="s">
        <v>4090</v>
      </c>
      <c r="D520" s="21" t="s">
        <v>5126</v>
      </c>
      <c r="E520" s="20" t="s">
        <v>5127</v>
      </c>
      <c r="F520" s="20" t="s">
        <v>5128</v>
      </c>
      <c r="G520" s="20" t="n">
        <v>4.5</v>
      </c>
      <c r="H520" s="20" t="n">
        <v>38</v>
      </c>
    </row>
    <row r="521" customFormat="false" ht="23.85" hidden="false" customHeight="false" outlineLevel="0" collapsed="false">
      <c r="A521" s="20" t="s">
        <v>5129</v>
      </c>
      <c r="B521" s="20" t="s">
        <v>31</v>
      </c>
      <c r="C521" s="20" t="s">
        <v>1522</v>
      </c>
      <c r="D521" s="21" t="s">
        <v>5130</v>
      </c>
      <c r="E521" s="20" t="s">
        <v>5131</v>
      </c>
      <c r="F521" s="20"/>
      <c r="G521" s="20"/>
      <c r="H521" s="20"/>
    </row>
    <row r="522" customFormat="false" ht="23.85" hidden="false" customHeight="false" outlineLevel="0" collapsed="false">
      <c r="A522" s="20" t="s">
        <v>5132</v>
      </c>
      <c r="B522" s="20" t="s">
        <v>18</v>
      </c>
      <c r="C522" s="20" t="s">
        <v>232</v>
      </c>
      <c r="D522" s="21" t="s">
        <v>5133</v>
      </c>
      <c r="E522" s="20" t="s">
        <v>5134</v>
      </c>
      <c r="F522" s="20"/>
      <c r="G522" s="20"/>
      <c r="H522" s="20"/>
    </row>
    <row r="523" customFormat="false" ht="23.85" hidden="false" customHeight="false" outlineLevel="0" collapsed="false">
      <c r="A523" s="20" t="s">
        <v>5135</v>
      </c>
      <c r="B523" s="20" t="s">
        <v>21</v>
      </c>
      <c r="C523" s="20" t="s">
        <v>347</v>
      </c>
      <c r="D523" s="21" t="s">
        <v>5136</v>
      </c>
      <c r="E523" s="20"/>
      <c r="F523" s="20"/>
      <c r="G523" s="20" t="n">
        <v>5</v>
      </c>
      <c r="H523" s="20" t="n">
        <v>2</v>
      </c>
    </row>
    <row r="524" customFormat="false" ht="23.85" hidden="false" customHeight="false" outlineLevel="0" collapsed="false">
      <c r="A524" s="20" t="s">
        <v>5137</v>
      </c>
      <c r="B524" s="20" t="s">
        <v>26</v>
      </c>
      <c r="C524" s="20" t="s">
        <v>3700</v>
      </c>
      <c r="D524" s="21" t="s">
        <v>5138</v>
      </c>
      <c r="E524" s="20" t="s">
        <v>5139</v>
      </c>
      <c r="F524" s="20"/>
      <c r="G524" s="20"/>
      <c r="H524" s="20"/>
    </row>
    <row r="525" customFormat="false" ht="23.85" hidden="false" customHeight="false" outlineLevel="0" collapsed="false">
      <c r="A525" s="20" t="s">
        <v>5140</v>
      </c>
      <c r="B525" s="20" t="s">
        <v>33</v>
      </c>
      <c r="C525" s="20" t="s">
        <v>1991</v>
      </c>
      <c r="D525" s="21" t="s">
        <v>5141</v>
      </c>
      <c r="E525" s="20"/>
      <c r="F525" s="20"/>
      <c r="G525" s="20"/>
      <c r="H525" s="20"/>
    </row>
    <row r="526" customFormat="false" ht="23.85" hidden="false" customHeight="false" outlineLevel="0" collapsed="false">
      <c r="A526" s="20" t="s">
        <v>5142</v>
      </c>
      <c r="B526" s="20" t="s">
        <v>30</v>
      </c>
      <c r="C526" s="20" t="s">
        <v>1322</v>
      </c>
      <c r="D526" s="21" t="s">
        <v>5143</v>
      </c>
      <c r="E526" s="20" t="s">
        <v>5030</v>
      </c>
      <c r="F526" s="20"/>
      <c r="G526" s="20" t="n">
        <v>5</v>
      </c>
      <c r="H526" s="20" t="n">
        <v>1</v>
      </c>
    </row>
    <row r="527" customFormat="false" ht="23.85" hidden="false" customHeight="false" outlineLevel="0" collapsed="false">
      <c r="A527" s="20" t="s">
        <v>5144</v>
      </c>
      <c r="B527" s="20" t="s">
        <v>30</v>
      </c>
      <c r="C527" s="20" t="s">
        <v>1322</v>
      </c>
      <c r="D527" s="21" t="s">
        <v>5145</v>
      </c>
      <c r="E527" s="20" t="s">
        <v>5146</v>
      </c>
      <c r="F527" s="20"/>
      <c r="G527" s="20" t="n">
        <v>5</v>
      </c>
      <c r="H527" s="20" t="n">
        <v>2</v>
      </c>
    </row>
    <row r="528" customFormat="false" ht="23.85" hidden="false" customHeight="false" outlineLevel="0" collapsed="false">
      <c r="A528" s="20" t="s">
        <v>5147</v>
      </c>
      <c r="B528" s="20" t="s">
        <v>34</v>
      </c>
      <c r="C528" s="20" t="s">
        <v>2090</v>
      </c>
      <c r="D528" s="21" t="s">
        <v>5148</v>
      </c>
      <c r="E528" s="20" t="s">
        <v>5149</v>
      </c>
      <c r="F528" s="20"/>
      <c r="G528" s="20" t="n">
        <v>5</v>
      </c>
      <c r="H528" s="20" t="n">
        <v>9</v>
      </c>
    </row>
    <row r="529" customFormat="false" ht="23.85" hidden="false" customHeight="false" outlineLevel="0" collapsed="false">
      <c r="A529" s="20" t="s">
        <v>5150</v>
      </c>
      <c r="B529" s="20" t="s">
        <v>28</v>
      </c>
      <c r="C529" s="20" t="s">
        <v>913</v>
      </c>
      <c r="D529" s="21" t="s">
        <v>5151</v>
      </c>
      <c r="E529" s="20" t="s">
        <v>5152</v>
      </c>
      <c r="F529" s="20"/>
      <c r="G529" s="20"/>
      <c r="H529" s="20"/>
    </row>
    <row r="530" customFormat="false" ht="23.85" hidden="false" customHeight="false" outlineLevel="0" collapsed="false">
      <c r="A530" s="20" t="s">
        <v>5153</v>
      </c>
      <c r="B530" s="20" t="s">
        <v>30</v>
      </c>
      <c r="C530" s="20" t="s">
        <v>1479</v>
      </c>
      <c r="D530" s="21" t="s">
        <v>5154</v>
      </c>
      <c r="E530" s="20" t="s">
        <v>5155</v>
      </c>
      <c r="F530" s="20"/>
      <c r="G530" s="20"/>
      <c r="H530" s="20"/>
    </row>
    <row r="531" customFormat="false" ht="15" hidden="false" customHeight="false" outlineLevel="0" collapsed="false">
      <c r="A531" s="20" t="s">
        <v>5156</v>
      </c>
      <c r="B531" s="20" t="s">
        <v>31</v>
      </c>
      <c r="C531" s="20" t="s">
        <v>1558</v>
      </c>
      <c r="D531" s="21" t="s">
        <v>5157</v>
      </c>
      <c r="E531" s="20"/>
      <c r="F531" s="20"/>
      <c r="G531" s="20" t="n">
        <v>5</v>
      </c>
      <c r="H531" s="20" t="n">
        <v>1</v>
      </c>
    </row>
    <row r="532" customFormat="false" ht="15" hidden="false" customHeight="false" outlineLevel="0" collapsed="false">
      <c r="A532" s="20" t="s">
        <v>5158</v>
      </c>
      <c r="B532" s="20" t="s">
        <v>34</v>
      </c>
      <c r="C532" s="20" t="s">
        <v>2106</v>
      </c>
      <c r="D532" s="21" t="s">
        <v>5159</v>
      </c>
      <c r="E532" s="20" t="s">
        <v>5160</v>
      </c>
      <c r="F532" s="20"/>
      <c r="G532" s="20"/>
      <c r="H532" s="20"/>
    </row>
    <row r="533" customFormat="false" ht="15" hidden="false" customHeight="false" outlineLevel="0" collapsed="false">
      <c r="A533" s="20" t="s">
        <v>5161</v>
      </c>
      <c r="B533" s="20" t="s">
        <v>22</v>
      </c>
      <c r="C533" s="20" t="s">
        <v>540</v>
      </c>
      <c r="D533" s="21" t="s">
        <v>5162</v>
      </c>
      <c r="E533" s="20" t="s">
        <v>5163</v>
      </c>
      <c r="F533" s="20"/>
      <c r="G533" s="20" t="n">
        <v>4.4</v>
      </c>
      <c r="H533" s="20" t="n">
        <v>250</v>
      </c>
    </row>
    <row r="534" customFormat="false" ht="15" hidden="false" customHeight="false" outlineLevel="0" collapsed="false">
      <c r="A534" s="20" t="s">
        <v>5164</v>
      </c>
      <c r="B534" s="20" t="s">
        <v>23</v>
      </c>
      <c r="C534" s="20" t="s">
        <v>655</v>
      </c>
      <c r="D534" s="21" t="s">
        <v>5165</v>
      </c>
      <c r="E534" s="20"/>
      <c r="F534" s="20"/>
      <c r="G534" s="20"/>
      <c r="H534" s="20"/>
    </row>
    <row r="535" customFormat="false" ht="15" hidden="false" customHeight="false" outlineLevel="0" collapsed="false">
      <c r="A535" s="20" t="s">
        <v>5166</v>
      </c>
      <c r="B535" s="20" t="s">
        <v>34</v>
      </c>
      <c r="C535" s="20" t="s">
        <v>2157</v>
      </c>
      <c r="D535" s="21" t="s">
        <v>5167</v>
      </c>
      <c r="E535" s="20" t="s">
        <v>5168</v>
      </c>
      <c r="F535" s="20"/>
      <c r="G535" s="20" t="n">
        <v>4.3</v>
      </c>
      <c r="H535" s="20" t="n">
        <v>63</v>
      </c>
    </row>
    <row r="536" customFormat="false" ht="23.85" hidden="false" customHeight="false" outlineLevel="0" collapsed="false">
      <c r="A536" s="20" t="s">
        <v>5169</v>
      </c>
      <c r="B536" s="20" t="s">
        <v>21</v>
      </c>
      <c r="C536" s="20" t="s">
        <v>2467</v>
      </c>
      <c r="D536" s="21" t="s">
        <v>5170</v>
      </c>
      <c r="E536" s="20" t="s">
        <v>5171</v>
      </c>
      <c r="F536" s="20"/>
      <c r="G536" s="20" t="n">
        <v>5</v>
      </c>
      <c r="H536" s="20" t="n">
        <v>3</v>
      </c>
    </row>
    <row r="537" customFormat="false" ht="23.85" hidden="false" customHeight="false" outlineLevel="0" collapsed="false">
      <c r="A537" s="20" t="s">
        <v>5172</v>
      </c>
      <c r="B537" s="20" t="s">
        <v>26</v>
      </c>
      <c r="C537" s="20" t="s">
        <v>811</v>
      </c>
      <c r="D537" s="21" t="s">
        <v>5173</v>
      </c>
      <c r="E537" s="20"/>
      <c r="F537" s="20"/>
      <c r="G537" s="20"/>
      <c r="H537" s="20"/>
    </row>
    <row r="538" customFormat="false" ht="15" hidden="false" customHeight="false" outlineLevel="0" collapsed="false">
      <c r="A538" s="20" t="s">
        <v>5174</v>
      </c>
      <c r="B538" s="20" t="s">
        <v>27</v>
      </c>
      <c r="C538" s="20" t="s">
        <v>850</v>
      </c>
      <c r="D538" s="21" t="s">
        <v>5175</v>
      </c>
      <c r="E538" s="20" t="s">
        <v>5176</v>
      </c>
      <c r="F538" s="20"/>
      <c r="G538" s="20" t="n">
        <v>5</v>
      </c>
      <c r="H538" s="20" t="n">
        <v>1</v>
      </c>
    </row>
    <row r="539" customFormat="false" ht="23.85" hidden="false" customHeight="false" outlineLevel="0" collapsed="false">
      <c r="A539" s="20" t="s">
        <v>5177</v>
      </c>
      <c r="B539" s="20" t="s">
        <v>34</v>
      </c>
      <c r="C539" s="20" t="s">
        <v>5178</v>
      </c>
      <c r="D539" s="21" t="s">
        <v>5179</v>
      </c>
      <c r="E539" s="20" t="s">
        <v>5180</v>
      </c>
      <c r="F539" s="20"/>
      <c r="G539" s="20"/>
      <c r="H539" s="20"/>
    </row>
    <row r="540" customFormat="false" ht="23.85" hidden="false" customHeight="false" outlineLevel="0" collapsed="false">
      <c r="A540" s="20" t="s">
        <v>5181</v>
      </c>
      <c r="B540" s="20" t="s">
        <v>28</v>
      </c>
      <c r="C540" s="20" t="s">
        <v>913</v>
      </c>
      <c r="D540" s="21" t="s">
        <v>5182</v>
      </c>
      <c r="E540" s="20" t="s">
        <v>5183</v>
      </c>
      <c r="F540" s="20" t="s">
        <v>5184</v>
      </c>
      <c r="G540" s="20"/>
      <c r="H540" s="20"/>
    </row>
    <row r="541" customFormat="false" ht="15" hidden="false" customHeight="false" outlineLevel="0" collapsed="false">
      <c r="A541" s="20" t="s">
        <v>5185</v>
      </c>
      <c r="B541" s="20" t="s">
        <v>25</v>
      </c>
      <c r="C541" s="20" t="s">
        <v>738</v>
      </c>
      <c r="D541" s="21" t="s">
        <v>5186</v>
      </c>
      <c r="E541" s="20" t="s">
        <v>5187</v>
      </c>
      <c r="F541" s="20"/>
      <c r="G541" s="20"/>
      <c r="H541" s="20"/>
    </row>
    <row r="542" customFormat="false" ht="15" hidden="false" customHeight="false" outlineLevel="0" collapsed="false">
      <c r="A542" s="20" t="s">
        <v>5188</v>
      </c>
      <c r="B542" s="20" t="s">
        <v>28</v>
      </c>
      <c r="C542" s="20" t="s">
        <v>1025</v>
      </c>
      <c r="D542" s="21" t="s">
        <v>5189</v>
      </c>
      <c r="E542" s="20" t="s">
        <v>5190</v>
      </c>
      <c r="F542" s="20"/>
      <c r="G542" s="20"/>
      <c r="H542" s="20"/>
    </row>
    <row r="543" customFormat="false" ht="15" hidden="false" customHeight="false" outlineLevel="0" collapsed="false">
      <c r="A543" s="20" t="s">
        <v>5191</v>
      </c>
      <c r="B543" s="20" t="s">
        <v>29</v>
      </c>
      <c r="C543" s="20" t="s">
        <v>1188</v>
      </c>
      <c r="D543" s="21" t="s">
        <v>5192</v>
      </c>
      <c r="E543" s="20" t="s">
        <v>5193</v>
      </c>
      <c r="F543" s="20"/>
      <c r="G543" s="20"/>
      <c r="H543" s="20"/>
    </row>
    <row r="544" customFormat="false" ht="23.85" hidden="false" customHeight="false" outlineLevel="0" collapsed="false">
      <c r="A544" s="20" t="s">
        <v>5194</v>
      </c>
      <c r="B544" s="20" t="s">
        <v>24</v>
      </c>
      <c r="C544" s="20" t="s">
        <v>715</v>
      </c>
      <c r="D544" s="21" t="s">
        <v>5195</v>
      </c>
      <c r="E544" s="20" t="s">
        <v>5196</v>
      </c>
      <c r="F544" s="20"/>
      <c r="G544" s="20"/>
      <c r="H544" s="20"/>
    </row>
    <row r="545" customFormat="false" ht="23.85" hidden="false" customHeight="false" outlineLevel="0" collapsed="false">
      <c r="A545" s="20" t="s">
        <v>5197</v>
      </c>
      <c r="B545" s="20" t="s">
        <v>35</v>
      </c>
      <c r="C545" s="20" t="s">
        <v>2202</v>
      </c>
      <c r="D545" s="21" t="s">
        <v>5198</v>
      </c>
      <c r="E545" s="20" t="s">
        <v>5199</v>
      </c>
      <c r="F545" s="20"/>
      <c r="G545" s="20"/>
      <c r="H545" s="20"/>
    </row>
    <row r="546" customFormat="false" ht="23.85" hidden="false" customHeight="false" outlineLevel="0" collapsed="false">
      <c r="A546" s="20" t="s">
        <v>5200</v>
      </c>
      <c r="B546" s="20" t="s">
        <v>21</v>
      </c>
      <c r="C546" s="20" t="s">
        <v>446</v>
      </c>
      <c r="D546" s="21" t="s">
        <v>5201</v>
      </c>
      <c r="E546" s="20" t="s">
        <v>5202</v>
      </c>
      <c r="F546" s="20"/>
      <c r="G546" s="20" t="n">
        <v>4.5</v>
      </c>
      <c r="H546" s="20" t="n">
        <v>26</v>
      </c>
    </row>
    <row r="547" customFormat="false" ht="15" hidden="false" customHeight="false" outlineLevel="0" collapsed="false">
      <c r="A547" s="20" t="s">
        <v>5203</v>
      </c>
      <c r="B547" s="20" t="s">
        <v>21</v>
      </c>
      <c r="C547" s="20" t="s">
        <v>446</v>
      </c>
      <c r="D547" s="21" t="s">
        <v>5204</v>
      </c>
      <c r="E547" s="20" t="s">
        <v>5205</v>
      </c>
      <c r="F547" s="20"/>
      <c r="G547" s="20"/>
      <c r="H547" s="20"/>
    </row>
    <row r="548" customFormat="false" ht="23.85" hidden="false" customHeight="false" outlineLevel="0" collapsed="false">
      <c r="A548" s="20" t="s">
        <v>5206</v>
      </c>
      <c r="B548" s="20" t="s">
        <v>30</v>
      </c>
      <c r="C548" s="20" t="s">
        <v>1377</v>
      </c>
      <c r="D548" s="21" t="s">
        <v>5207</v>
      </c>
      <c r="E548" s="20"/>
      <c r="F548" s="20"/>
      <c r="G548" s="20" t="n">
        <v>5</v>
      </c>
      <c r="H548" s="20" t="n">
        <v>2</v>
      </c>
    </row>
    <row r="549" customFormat="false" ht="23.85" hidden="false" customHeight="false" outlineLevel="0" collapsed="false">
      <c r="A549" s="20" t="s">
        <v>5208</v>
      </c>
      <c r="B549" s="20" t="s">
        <v>19</v>
      </c>
      <c r="C549" s="20" t="s">
        <v>2372</v>
      </c>
      <c r="D549" s="21" t="s">
        <v>5209</v>
      </c>
      <c r="E549" s="20" t="s">
        <v>5210</v>
      </c>
      <c r="F549" s="20"/>
      <c r="G549" s="20" t="n">
        <v>3.9</v>
      </c>
      <c r="H549" s="20" t="n">
        <v>9</v>
      </c>
    </row>
    <row r="550" customFormat="false" ht="23.85" hidden="false" customHeight="false" outlineLevel="0" collapsed="false">
      <c r="A550" s="20" t="s">
        <v>5211</v>
      </c>
      <c r="B550" s="20" t="s">
        <v>33</v>
      </c>
      <c r="C550" s="20" t="s">
        <v>1991</v>
      </c>
      <c r="D550" s="21" t="s">
        <v>5212</v>
      </c>
      <c r="E550" s="20" t="s">
        <v>5213</v>
      </c>
      <c r="F550" s="20"/>
      <c r="G550" s="20" t="n">
        <v>4.3</v>
      </c>
      <c r="H550" s="20" t="n">
        <v>3</v>
      </c>
    </row>
    <row r="551" customFormat="false" ht="23.85" hidden="false" customHeight="false" outlineLevel="0" collapsed="false">
      <c r="A551" s="20" t="s">
        <v>5214</v>
      </c>
      <c r="B551" s="20" t="s">
        <v>32</v>
      </c>
      <c r="C551" s="20" t="s">
        <v>1729</v>
      </c>
      <c r="D551" s="21" t="s">
        <v>5215</v>
      </c>
      <c r="E551" s="20" t="s">
        <v>5216</v>
      </c>
      <c r="F551" s="20"/>
      <c r="G551" s="20"/>
      <c r="H551" s="20"/>
    </row>
    <row r="552" customFormat="false" ht="23.85" hidden="false" customHeight="false" outlineLevel="0" collapsed="false">
      <c r="A552" s="20" t="s">
        <v>5217</v>
      </c>
      <c r="B552" s="20" t="s">
        <v>30</v>
      </c>
      <c r="C552" s="20" t="s">
        <v>4094</v>
      </c>
      <c r="D552" s="21" t="s">
        <v>5218</v>
      </c>
      <c r="E552" s="20" t="s">
        <v>5219</v>
      </c>
      <c r="F552" s="20"/>
      <c r="G552" s="20"/>
      <c r="H552" s="20"/>
    </row>
    <row r="553" customFormat="false" ht="23.85" hidden="false" customHeight="false" outlineLevel="0" collapsed="false">
      <c r="A553" s="20" t="s">
        <v>5220</v>
      </c>
      <c r="B553" s="20" t="s">
        <v>28</v>
      </c>
      <c r="C553" s="20" t="s">
        <v>1076</v>
      </c>
      <c r="D553" s="21" t="s">
        <v>5221</v>
      </c>
      <c r="E553" s="20" t="s">
        <v>5222</v>
      </c>
      <c r="F553" s="20"/>
      <c r="G553" s="20"/>
      <c r="H553" s="20"/>
    </row>
    <row r="554" customFormat="false" ht="15" hidden="false" customHeight="false" outlineLevel="0" collapsed="false">
      <c r="A554" s="20" t="s">
        <v>5223</v>
      </c>
      <c r="B554" s="20" t="s">
        <v>18</v>
      </c>
      <c r="C554" s="20" t="s">
        <v>82</v>
      </c>
      <c r="D554" s="21" t="s">
        <v>5224</v>
      </c>
      <c r="E554" s="20" t="s">
        <v>5225</v>
      </c>
      <c r="F554" s="20"/>
      <c r="G554" s="20" t="n">
        <v>3.8</v>
      </c>
      <c r="H554" s="20" t="n">
        <v>140</v>
      </c>
    </row>
    <row r="555" customFormat="false" ht="23.85" hidden="false" customHeight="false" outlineLevel="0" collapsed="false">
      <c r="A555" s="20" t="s">
        <v>5226</v>
      </c>
      <c r="B555" s="20" t="s">
        <v>26</v>
      </c>
      <c r="C555" s="20" t="s">
        <v>835</v>
      </c>
      <c r="D555" s="21" t="s">
        <v>5227</v>
      </c>
      <c r="E555" s="20" t="s">
        <v>5228</v>
      </c>
      <c r="F555" s="20" t="s">
        <v>5229</v>
      </c>
      <c r="G555" s="20"/>
      <c r="H555" s="20"/>
    </row>
    <row r="556" customFormat="false" ht="23.85" hidden="false" customHeight="false" outlineLevel="0" collapsed="false">
      <c r="A556" s="20" t="s">
        <v>5230</v>
      </c>
      <c r="B556" s="20" t="s">
        <v>32</v>
      </c>
      <c r="C556" s="20" t="s">
        <v>1869</v>
      </c>
      <c r="D556" s="21" t="s">
        <v>5231</v>
      </c>
      <c r="E556" s="20" t="s">
        <v>5232</v>
      </c>
      <c r="F556" s="20"/>
      <c r="G556" s="20" t="n">
        <v>5</v>
      </c>
      <c r="H556" s="20" t="n">
        <v>4</v>
      </c>
    </row>
    <row r="557" customFormat="false" ht="23.85" hidden="false" customHeight="false" outlineLevel="0" collapsed="false">
      <c r="A557" s="20" t="s">
        <v>5233</v>
      </c>
      <c r="B557" s="20" t="s">
        <v>28</v>
      </c>
      <c r="C557" s="20" t="s">
        <v>1118</v>
      </c>
      <c r="D557" s="21" t="s">
        <v>5234</v>
      </c>
      <c r="E557" s="20" t="s">
        <v>5235</v>
      </c>
      <c r="F557" s="20"/>
      <c r="G557" s="20" t="n">
        <v>5</v>
      </c>
      <c r="H557" s="20" t="n">
        <v>2</v>
      </c>
    </row>
    <row r="558" customFormat="false" ht="15" hidden="false" customHeight="false" outlineLevel="0" collapsed="false">
      <c r="A558" s="20" t="s">
        <v>5236</v>
      </c>
      <c r="B558" s="20" t="s">
        <v>26</v>
      </c>
      <c r="C558" s="20" t="s">
        <v>2865</v>
      </c>
      <c r="D558" s="21" t="s">
        <v>5237</v>
      </c>
      <c r="E558" s="20"/>
      <c r="F558" s="20"/>
      <c r="G558" s="20" t="n">
        <v>3.8</v>
      </c>
      <c r="H558" s="20" t="n">
        <v>5</v>
      </c>
    </row>
    <row r="559" customFormat="false" ht="15" hidden="false" customHeight="false" outlineLevel="0" collapsed="false">
      <c r="A559" s="20" t="s">
        <v>5238</v>
      </c>
      <c r="B559" s="20" t="s">
        <v>28</v>
      </c>
      <c r="C559" s="20" t="s">
        <v>892</v>
      </c>
      <c r="D559" s="21" t="s">
        <v>5239</v>
      </c>
      <c r="E559" s="20" t="s">
        <v>5240</v>
      </c>
      <c r="F559" s="20"/>
      <c r="G559" s="20"/>
      <c r="H559" s="20"/>
    </row>
    <row r="560" customFormat="false" ht="15" hidden="false" customHeight="false" outlineLevel="0" collapsed="false">
      <c r="A560" s="20" t="s">
        <v>5241</v>
      </c>
      <c r="B560" s="20" t="s">
        <v>35</v>
      </c>
      <c r="C560" s="20" t="s">
        <v>2202</v>
      </c>
      <c r="D560" s="21" t="s">
        <v>5242</v>
      </c>
      <c r="E560" s="20" t="s">
        <v>5243</v>
      </c>
      <c r="F560" s="20"/>
      <c r="G560" s="20"/>
      <c r="H560" s="20"/>
    </row>
    <row r="561" customFormat="false" ht="23.85" hidden="false" customHeight="false" outlineLevel="0" collapsed="false">
      <c r="A561" s="20" t="s">
        <v>5244</v>
      </c>
      <c r="B561" s="20" t="s">
        <v>18</v>
      </c>
      <c r="C561" s="20" t="s">
        <v>5245</v>
      </c>
      <c r="D561" s="21" t="s">
        <v>5246</v>
      </c>
      <c r="E561" s="20"/>
      <c r="F561" s="20"/>
      <c r="G561" s="20" t="n">
        <v>4.9</v>
      </c>
      <c r="H561" s="20" t="n">
        <v>18</v>
      </c>
    </row>
    <row r="562" customFormat="false" ht="15" hidden="false" customHeight="false" outlineLevel="0" collapsed="false">
      <c r="A562" s="20" t="s">
        <v>5247</v>
      </c>
      <c r="B562" s="20" t="s">
        <v>35</v>
      </c>
      <c r="C562" s="20" t="s">
        <v>2202</v>
      </c>
      <c r="D562" s="21" t="s">
        <v>5248</v>
      </c>
      <c r="E562" s="20" t="s">
        <v>5249</v>
      </c>
      <c r="F562" s="20"/>
      <c r="G562" s="20"/>
      <c r="H562" s="20"/>
    </row>
    <row r="563" customFormat="false" ht="15" hidden="false" customHeight="false" outlineLevel="0" collapsed="false">
      <c r="A563" s="20" t="s">
        <v>5250</v>
      </c>
      <c r="B563" s="20" t="s">
        <v>28</v>
      </c>
      <c r="C563" s="20" t="s">
        <v>5251</v>
      </c>
      <c r="D563" s="21" t="s">
        <v>5252</v>
      </c>
      <c r="E563" s="20" t="s">
        <v>5253</v>
      </c>
      <c r="F563" s="20"/>
      <c r="G563" s="20"/>
      <c r="H563" s="20"/>
    </row>
    <row r="564" customFormat="false" ht="15" hidden="false" customHeight="false" outlineLevel="0" collapsed="false">
      <c r="A564" s="20" t="s">
        <v>5254</v>
      </c>
      <c r="B564" s="20" t="s">
        <v>22</v>
      </c>
      <c r="C564" s="20" t="s">
        <v>540</v>
      </c>
      <c r="D564" s="21" t="s">
        <v>5255</v>
      </c>
      <c r="E564" s="20" t="s">
        <v>5256</v>
      </c>
      <c r="F564" s="20"/>
      <c r="G564" s="20" t="n">
        <v>4</v>
      </c>
      <c r="H564" s="20" t="n">
        <v>1</v>
      </c>
    </row>
    <row r="565" customFormat="false" ht="23.85" hidden="false" customHeight="false" outlineLevel="0" collapsed="false">
      <c r="A565" s="20" t="s">
        <v>5257</v>
      </c>
      <c r="B565" s="20" t="s">
        <v>23</v>
      </c>
      <c r="C565" s="20" t="s">
        <v>4229</v>
      </c>
      <c r="D565" s="21" t="s">
        <v>5258</v>
      </c>
      <c r="E565" s="20" t="s">
        <v>5259</v>
      </c>
      <c r="F565" s="20"/>
      <c r="G565" s="20" t="n">
        <v>5</v>
      </c>
      <c r="H565" s="20" t="n">
        <v>23</v>
      </c>
    </row>
    <row r="566" customFormat="false" ht="15" hidden="false" customHeight="false" outlineLevel="0" collapsed="false">
      <c r="A566" s="20" t="s">
        <v>5260</v>
      </c>
      <c r="B566" s="20" t="s">
        <v>30</v>
      </c>
      <c r="C566" s="20" t="s">
        <v>1479</v>
      </c>
      <c r="D566" s="21" t="s">
        <v>5261</v>
      </c>
      <c r="E566" s="20" t="s">
        <v>5262</v>
      </c>
      <c r="F566" s="20"/>
      <c r="G566" s="20" t="n">
        <v>5</v>
      </c>
      <c r="H566" s="20" t="n">
        <v>4</v>
      </c>
    </row>
    <row r="567" customFormat="false" ht="23.85" hidden="false" customHeight="false" outlineLevel="0" collapsed="false">
      <c r="A567" s="20" t="s">
        <v>5263</v>
      </c>
      <c r="B567" s="20" t="s">
        <v>23</v>
      </c>
      <c r="C567" s="20" t="s">
        <v>655</v>
      </c>
      <c r="D567" s="21" t="s">
        <v>5264</v>
      </c>
      <c r="E567" s="20" t="s">
        <v>5265</v>
      </c>
      <c r="F567" s="20" t="s">
        <v>5266</v>
      </c>
      <c r="G567" s="20" t="n">
        <v>4.7</v>
      </c>
      <c r="H567" s="20" t="n">
        <v>6</v>
      </c>
    </row>
    <row r="568" customFormat="false" ht="23.85" hidden="false" customHeight="false" outlineLevel="0" collapsed="false">
      <c r="A568" s="20" t="s">
        <v>5267</v>
      </c>
      <c r="B568" s="20" t="s">
        <v>33</v>
      </c>
      <c r="C568" s="20" t="s">
        <v>5268</v>
      </c>
      <c r="D568" s="21" t="s">
        <v>5269</v>
      </c>
      <c r="E568" s="20" t="s">
        <v>5270</v>
      </c>
      <c r="F568" s="20"/>
      <c r="G568" s="20"/>
      <c r="H568" s="20"/>
    </row>
    <row r="569" customFormat="false" ht="15" hidden="false" customHeight="false" outlineLevel="0" collapsed="false">
      <c r="A569" s="20" t="s">
        <v>5271</v>
      </c>
      <c r="B569" s="20" t="s">
        <v>24</v>
      </c>
      <c r="C569" s="20" t="s">
        <v>2653</v>
      </c>
      <c r="D569" s="21" t="s">
        <v>5272</v>
      </c>
      <c r="E569" s="20" t="s">
        <v>5273</v>
      </c>
      <c r="F569" s="20"/>
      <c r="G569" s="20"/>
      <c r="H569" s="20"/>
    </row>
    <row r="570" customFormat="false" ht="15" hidden="false" customHeight="false" outlineLevel="0" collapsed="false">
      <c r="A570" s="20" t="s">
        <v>5274</v>
      </c>
      <c r="B570" s="20" t="s">
        <v>25</v>
      </c>
      <c r="C570" s="20" t="s">
        <v>738</v>
      </c>
      <c r="D570" s="21" t="s">
        <v>5275</v>
      </c>
      <c r="E570" s="20" t="s">
        <v>5276</v>
      </c>
      <c r="F570" s="20"/>
      <c r="G570" s="20" t="n">
        <v>3</v>
      </c>
      <c r="H570" s="20" t="n">
        <v>1</v>
      </c>
    </row>
    <row r="571" customFormat="false" ht="15" hidden="false" customHeight="false" outlineLevel="0" collapsed="false">
      <c r="A571" s="20" t="s">
        <v>5277</v>
      </c>
      <c r="B571" s="20" t="s">
        <v>23</v>
      </c>
      <c r="C571" s="20" t="s">
        <v>597</v>
      </c>
      <c r="D571" s="21" t="s">
        <v>5278</v>
      </c>
      <c r="E571" s="20"/>
      <c r="F571" s="20"/>
      <c r="G571" s="20" t="n">
        <v>3.8</v>
      </c>
      <c r="H571" s="20" t="n">
        <v>5</v>
      </c>
    </row>
    <row r="572" customFormat="false" ht="15" hidden="false" customHeight="false" outlineLevel="0" collapsed="false">
      <c r="A572" s="20" t="s">
        <v>5279</v>
      </c>
      <c r="B572" s="20" t="s">
        <v>25</v>
      </c>
      <c r="C572" s="20" t="s">
        <v>738</v>
      </c>
      <c r="D572" s="21" t="s">
        <v>4431</v>
      </c>
      <c r="E572" s="20"/>
      <c r="F572" s="20"/>
      <c r="G572" s="20" t="n">
        <v>4.4</v>
      </c>
      <c r="H572" s="20" t="n">
        <v>5</v>
      </c>
    </row>
    <row r="573" customFormat="false" ht="15" hidden="false" customHeight="false" outlineLevel="0" collapsed="false">
      <c r="A573" s="20" t="s">
        <v>5280</v>
      </c>
      <c r="B573" s="20" t="s">
        <v>23</v>
      </c>
      <c r="C573" s="20" t="s">
        <v>4229</v>
      </c>
      <c r="D573" s="21" t="s">
        <v>5281</v>
      </c>
      <c r="E573" s="20" t="s">
        <v>5282</v>
      </c>
      <c r="F573" s="20"/>
      <c r="G573" s="20" t="n">
        <v>5</v>
      </c>
      <c r="H573" s="20" t="n">
        <v>5</v>
      </c>
    </row>
    <row r="574" customFormat="false" ht="23.85" hidden="false" customHeight="false" outlineLevel="0" collapsed="false">
      <c r="A574" s="20" t="s">
        <v>5283</v>
      </c>
      <c r="B574" s="20" t="s">
        <v>28</v>
      </c>
      <c r="C574" s="20" t="s">
        <v>892</v>
      </c>
      <c r="D574" s="21" t="s">
        <v>5284</v>
      </c>
      <c r="E574" s="20" t="s">
        <v>5285</v>
      </c>
      <c r="F574" s="20"/>
      <c r="G574" s="20"/>
      <c r="H574" s="20"/>
    </row>
    <row r="575" customFormat="false" ht="23.85" hidden="false" customHeight="false" outlineLevel="0" collapsed="false">
      <c r="A575" s="20" t="s">
        <v>5286</v>
      </c>
      <c r="B575" s="20" t="s">
        <v>35</v>
      </c>
      <c r="C575" s="20" t="s">
        <v>2202</v>
      </c>
      <c r="D575" s="21" t="s">
        <v>5287</v>
      </c>
      <c r="E575" s="20" t="s">
        <v>5288</v>
      </c>
      <c r="F575" s="20"/>
      <c r="G575" s="20"/>
      <c r="H575" s="20"/>
    </row>
    <row r="576" customFormat="false" ht="15" hidden="false" customHeight="false" outlineLevel="0" collapsed="false">
      <c r="A576" s="20" t="s">
        <v>5289</v>
      </c>
      <c r="B576" s="20" t="s">
        <v>23</v>
      </c>
      <c r="C576" s="20" t="s">
        <v>563</v>
      </c>
      <c r="D576" s="21" t="s">
        <v>5290</v>
      </c>
      <c r="E576" s="20"/>
      <c r="F576" s="20"/>
      <c r="G576" s="20"/>
      <c r="H576" s="20"/>
    </row>
    <row r="577" customFormat="false" ht="15" hidden="false" customHeight="false" outlineLevel="0" collapsed="false">
      <c r="A577" s="20" t="s">
        <v>5291</v>
      </c>
      <c r="B577" s="20" t="s">
        <v>23</v>
      </c>
      <c r="C577" s="20" t="s">
        <v>5292</v>
      </c>
      <c r="D577" s="21" t="s">
        <v>5293</v>
      </c>
      <c r="E577" s="20" t="s">
        <v>5294</v>
      </c>
      <c r="F577" s="20"/>
      <c r="G577" s="20" t="n">
        <v>4</v>
      </c>
      <c r="H577" s="20" t="n">
        <v>1</v>
      </c>
    </row>
    <row r="578" customFormat="false" ht="15" hidden="false" customHeight="false" outlineLevel="0" collapsed="false">
      <c r="A578" s="20" t="s">
        <v>5295</v>
      </c>
      <c r="B578" s="20" t="s">
        <v>23</v>
      </c>
      <c r="C578" s="20" t="s">
        <v>563</v>
      </c>
      <c r="D578" s="21" t="s">
        <v>5296</v>
      </c>
      <c r="E578" s="20"/>
      <c r="F578" s="20"/>
      <c r="G578" s="20"/>
      <c r="H578" s="20"/>
    </row>
    <row r="579" customFormat="false" ht="15" hidden="false" customHeight="false" outlineLevel="0" collapsed="false">
      <c r="A579" s="20" t="s">
        <v>5297</v>
      </c>
      <c r="B579" s="20" t="s">
        <v>32</v>
      </c>
      <c r="C579" s="20" t="s">
        <v>1767</v>
      </c>
      <c r="D579" s="21" t="s">
        <v>5298</v>
      </c>
      <c r="E579" s="20" t="s">
        <v>5299</v>
      </c>
      <c r="F579" s="20"/>
      <c r="G579" s="20"/>
      <c r="H579" s="20"/>
    </row>
    <row r="580" customFormat="false" ht="23.85" hidden="false" customHeight="false" outlineLevel="0" collapsed="false">
      <c r="A580" s="20" t="s">
        <v>5300</v>
      </c>
      <c r="B580" s="20" t="s">
        <v>23</v>
      </c>
      <c r="C580" s="20" t="s">
        <v>4323</v>
      </c>
      <c r="D580" s="21" t="s">
        <v>5301</v>
      </c>
      <c r="E580" s="20" t="s">
        <v>5302</v>
      </c>
      <c r="F580" s="20" t="s">
        <v>5303</v>
      </c>
      <c r="G580" s="20" t="n">
        <v>4.8</v>
      </c>
      <c r="H580" s="20" t="n">
        <v>212</v>
      </c>
    </row>
    <row r="581" customFormat="false" ht="15" hidden="false" customHeight="false" outlineLevel="0" collapsed="false">
      <c r="A581" s="20" t="s">
        <v>5304</v>
      </c>
      <c r="B581" s="20" t="s">
        <v>30</v>
      </c>
      <c r="C581" s="20" t="s">
        <v>1322</v>
      </c>
      <c r="D581" s="21" t="s">
        <v>5305</v>
      </c>
      <c r="E581" s="20" t="s">
        <v>5306</v>
      </c>
      <c r="F581" s="20"/>
      <c r="G581" s="20"/>
      <c r="H581" s="20"/>
    </row>
    <row r="582" customFormat="false" ht="15" hidden="false" customHeight="false" outlineLevel="0" collapsed="false">
      <c r="A582" s="20" t="s">
        <v>5307</v>
      </c>
      <c r="B582" s="20" t="s">
        <v>32</v>
      </c>
      <c r="C582" s="20" t="s">
        <v>1690</v>
      </c>
      <c r="D582" s="21" t="s">
        <v>5308</v>
      </c>
      <c r="E582" s="20" t="s">
        <v>5309</v>
      </c>
      <c r="F582" s="20"/>
      <c r="G582" s="20"/>
      <c r="H582" s="20"/>
    </row>
    <row r="583" customFormat="false" ht="23.85" hidden="false" customHeight="false" outlineLevel="0" collapsed="false">
      <c r="A583" s="20" t="s">
        <v>5310</v>
      </c>
      <c r="B583" s="20" t="s">
        <v>24</v>
      </c>
      <c r="C583" s="20" t="s">
        <v>715</v>
      </c>
      <c r="D583" s="21" t="s">
        <v>5311</v>
      </c>
      <c r="E583" s="20" t="s">
        <v>5312</v>
      </c>
      <c r="F583" s="20" t="s">
        <v>5313</v>
      </c>
      <c r="G583" s="20" t="n">
        <v>4.9</v>
      </c>
      <c r="H583" s="20" t="n">
        <v>156</v>
      </c>
    </row>
    <row r="584" customFormat="false" ht="15" hidden="false" customHeight="false" outlineLevel="0" collapsed="false">
      <c r="A584" s="20" t="s">
        <v>5314</v>
      </c>
      <c r="B584" s="20" t="s">
        <v>28</v>
      </c>
      <c r="C584" s="20" t="s">
        <v>3633</v>
      </c>
      <c r="D584" s="21" t="s">
        <v>5315</v>
      </c>
      <c r="E584" s="20" t="s">
        <v>5316</v>
      </c>
      <c r="F584" s="20"/>
      <c r="G584" s="20"/>
      <c r="H584" s="20"/>
    </row>
    <row r="585" customFormat="false" ht="15" hidden="false" customHeight="false" outlineLevel="0" collapsed="false">
      <c r="A585" s="20" t="s">
        <v>5317</v>
      </c>
      <c r="B585" s="20" t="s">
        <v>28</v>
      </c>
      <c r="C585" s="20" t="s">
        <v>5318</v>
      </c>
      <c r="D585" s="21" t="s">
        <v>5319</v>
      </c>
      <c r="E585" s="20" t="s">
        <v>5320</v>
      </c>
      <c r="F585" s="20"/>
      <c r="G585" s="20"/>
      <c r="H585" s="20"/>
    </row>
    <row r="586" customFormat="false" ht="23.85" hidden="false" customHeight="false" outlineLevel="0" collapsed="false">
      <c r="A586" s="20" t="s">
        <v>5321</v>
      </c>
      <c r="B586" s="20" t="s">
        <v>32</v>
      </c>
      <c r="C586" s="20" t="s">
        <v>1757</v>
      </c>
      <c r="D586" s="21" t="s">
        <v>5322</v>
      </c>
      <c r="E586" s="20" t="s">
        <v>5323</v>
      </c>
      <c r="F586" s="20"/>
      <c r="G586" s="20" t="n">
        <v>5</v>
      </c>
      <c r="H586" s="20" t="n">
        <v>1</v>
      </c>
    </row>
    <row r="587" customFormat="false" ht="23.85" hidden="false" customHeight="false" outlineLevel="0" collapsed="false">
      <c r="A587" s="20" t="s">
        <v>5324</v>
      </c>
      <c r="B587" s="20" t="s">
        <v>21</v>
      </c>
      <c r="C587" s="20" t="s">
        <v>433</v>
      </c>
      <c r="D587" s="21" t="s">
        <v>5325</v>
      </c>
      <c r="E587" s="20" t="s">
        <v>5326</v>
      </c>
      <c r="F587" s="20"/>
      <c r="G587" s="20" t="n">
        <v>5</v>
      </c>
      <c r="H587" s="20" t="n">
        <v>2</v>
      </c>
    </row>
    <row r="588" customFormat="false" ht="23.85" hidden="false" customHeight="false" outlineLevel="0" collapsed="false">
      <c r="A588" s="20" t="s">
        <v>5327</v>
      </c>
      <c r="B588" s="20" t="s">
        <v>32</v>
      </c>
      <c r="C588" s="20" t="s">
        <v>1690</v>
      </c>
      <c r="D588" s="21" t="s">
        <v>5328</v>
      </c>
      <c r="E588" s="20" t="s">
        <v>5329</v>
      </c>
      <c r="F588" s="20"/>
      <c r="G588" s="20"/>
      <c r="H588" s="20"/>
    </row>
    <row r="589" customFormat="false" ht="15" hidden="false" customHeight="false" outlineLevel="0" collapsed="false">
      <c r="A589" s="20" t="s">
        <v>5330</v>
      </c>
      <c r="B589" s="20" t="s">
        <v>28</v>
      </c>
      <c r="C589" s="20" t="s">
        <v>934</v>
      </c>
      <c r="D589" s="21" t="s">
        <v>5331</v>
      </c>
      <c r="E589" s="20" t="s">
        <v>5332</v>
      </c>
      <c r="F589" s="20"/>
      <c r="G589" s="20" t="n">
        <v>3.8</v>
      </c>
      <c r="H589" s="20" t="n">
        <v>19</v>
      </c>
    </row>
    <row r="590" customFormat="false" ht="15" hidden="false" customHeight="false" outlineLevel="0" collapsed="false">
      <c r="A590" s="20" t="s">
        <v>5333</v>
      </c>
      <c r="B590" s="20" t="s">
        <v>21</v>
      </c>
      <c r="C590" s="20" t="s">
        <v>356</v>
      </c>
      <c r="D590" s="21" t="s">
        <v>5334</v>
      </c>
      <c r="E590" s="20" t="s">
        <v>5335</v>
      </c>
      <c r="F590" s="20"/>
      <c r="G590" s="20"/>
      <c r="H590" s="20"/>
    </row>
    <row r="591" customFormat="false" ht="23.85" hidden="false" customHeight="false" outlineLevel="0" collapsed="false">
      <c r="A591" s="20" t="s">
        <v>5336</v>
      </c>
      <c r="B591" s="20" t="s">
        <v>28</v>
      </c>
      <c r="C591" s="20" t="s">
        <v>913</v>
      </c>
      <c r="D591" s="21" t="s">
        <v>5337</v>
      </c>
      <c r="E591" s="20" t="s">
        <v>5338</v>
      </c>
      <c r="F591" s="20"/>
      <c r="G591" s="20" t="n">
        <v>5</v>
      </c>
      <c r="H591" s="20" t="n">
        <v>1</v>
      </c>
    </row>
    <row r="592" customFormat="false" ht="15" hidden="false" customHeight="false" outlineLevel="0" collapsed="false">
      <c r="A592" s="20" t="s">
        <v>5339</v>
      </c>
      <c r="B592" s="20" t="s">
        <v>21</v>
      </c>
      <c r="C592" s="20" t="s">
        <v>356</v>
      </c>
      <c r="D592" s="21" t="s">
        <v>5340</v>
      </c>
      <c r="E592" s="20" t="s">
        <v>5341</v>
      </c>
      <c r="F592" s="20"/>
      <c r="G592" s="20" t="n">
        <v>5</v>
      </c>
      <c r="H592" s="20" t="n">
        <v>1</v>
      </c>
    </row>
    <row r="593" customFormat="false" ht="23.85" hidden="false" customHeight="false" outlineLevel="0" collapsed="false">
      <c r="A593" s="20" t="s">
        <v>5342</v>
      </c>
      <c r="B593" s="20" t="s">
        <v>28</v>
      </c>
      <c r="C593" s="20" t="s">
        <v>1076</v>
      </c>
      <c r="D593" s="21" t="s">
        <v>5343</v>
      </c>
      <c r="E593" s="20" t="s">
        <v>5344</v>
      </c>
      <c r="F593" s="20"/>
      <c r="G593" s="20" t="n">
        <v>5</v>
      </c>
      <c r="H593" s="20" t="n">
        <v>1</v>
      </c>
    </row>
    <row r="594" customFormat="false" ht="23.85" hidden="false" customHeight="false" outlineLevel="0" collapsed="false">
      <c r="A594" s="20" t="s">
        <v>5345</v>
      </c>
      <c r="B594" s="20" t="s">
        <v>28</v>
      </c>
      <c r="C594" s="20" t="s">
        <v>892</v>
      </c>
      <c r="D594" s="21" t="s">
        <v>5346</v>
      </c>
      <c r="E594" s="20" t="s">
        <v>5347</v>
      </c>
      <c r="F594" s="20"/>
      <c r="G594" s="20" t="n">
        <v>4</v>
      </c>
      <c r="H594" s="20" t="n">
        <v>21</v>
      </c>
    </row>
    <row r="595" customFormat="false" ht="23.85" hidden="false" customHeight="false" outlineLevel="0" collapsed="false">
      <c r="A595" s="20" t="s">
        <v>5348</v>
      </c>
      <c r="B595" s="20" t="s">
        <v>32</v>
      </c>
      <c r="C595" s="20" t="s">
        <v>1690</v>
      </c>
      <c r="D595" s="21" t="s">
        <v>5349</v>
      </c>
      <c r="E595" s="20"/>
      <c r="F595" s="20"/>
      <c r="G595" s="20"/>
      <c r="H595" s="20"/>
    </row>
    <row r="596" customFormat="false" ht="15" hidden="false" customHeight="false" outlineLevel="0" collapsed="false">
      <c r="A596" s="20" t="s">
        <v>5350</v>
      </c>
      <c r="B596" s="20" t="s">
        <v>35</v>
      </c>
      <c r="C596" s="20" t="s">
        <v>2202</v>
      </c>
      <c r="D596" s="21" t="s">
        <v>5351</v>
      </c>
      <c r="E596" s="20" t="s">
        <v>5352</v>
      </c>
      <c r="F596" s="20"/>
      <c r="G596" s="20"/>
      <c r="H596" s="20"/>
    </row>
    <row r="597" customFormat="false" ht="15" hidden="false" customHeight="false" outlineLevel="0" collapsed="false">
      <c r="A597" s="20" t="s">
        <v>5353</v>
      </c>
      <c r="B597" s="20" t="s">
        <v>28</v>
      </c>
      <c r="C597" s="20" t="s">
        <v>934</v>
      </c>
      <c r="D597" s="21" t="s">
        <v>5354</v>
      </c>
      <c r="E597" s="20" t="s">
        <v>5355</v>
      </c>
      <c r="F597" s="20"/>
      <c r="G597" s="20"/>
      <c r="H597" s="20"/>
    </row>
    <row r="598" customFormat="false" ht="15" hidden="false" customHeight="false" outlineLevel="0" collapsed="false">
      <c r="A598" s="20" t="s">
        <v>5356</v>
      </c>
      <c r="B598" s="20" t="s">
        <v>34</v>
      </c>
      <c r="C598" s="20" t="s">
        <v>3388</v>
      </c>
      <c r="D598" s="21" t="s">
        <v>5357</v>
      </c>
      <c r="E598" s="20"/>
      <c r="F598" s="20"/>
      <c r="G598" s="20" t="n">
        <v>4.3</v>
      </c>
      <c r="H598" s="20" t="n">
        <v>3</v>
      </c>
    </row>
    <row r="599" customFormat="false" ht="35.05" hidden="false" customHeight="false" outlineLevel="0" collapsed="false">
      <c r="A599" s="20" t="s">
        <v>5358</v>
      </c>
      <c r="B599" s="20" t="s">
        <v>32</v>
      </c>
      <c r="C599" s="20" t="s">
        <v>3650</v>
      </c>
      <c r="D599" s="21" t="s">
        <v>5359</v>
      </c>
      <c r="E599" s="20" t="s">
        <v>5360</v>
      </c>
      <c r="F599" s="20" t="s">
        <v>5361</v>
      </c>
      <c r="G599" s="20" t="n">
        <v>5</v>
      </c>
      <c r="H599" s="20" t="n">
        <v>56</v>
      </c>
    </row>
    <row r="600" customFormat="false" ht="15" hidden="false" customHeight="false" outlineLevel="0" collapsed="false">
      <c r="A600" s="20" t="s">
        <v>5362</v>
      </c>
      <c r="B600" s="20" t="s">
        <v>29</v>
      </c>
      <c r="C600" s="20" t="s">
        <v>1188</v>
      </c>
      <c r="D600" s="21" t="s">
        <v>5363</v>
      </c>
      <c r="E600" s="20" t="s">
        <v>5364</v>
      </c>
      <c r="F600" s="20"/>
      <c r="G600" s="20"/>
      <c r="H600" s="20"/>
    </row>
    <row r="601" customFormat="false" ht="23.85" hidden="false" customHeight="false" outlineLevel="0" collapsed="false">
      <c r="A601" s="20" t="s">
        <v>5365</v>
      </c>
      <c r="B601" s="20" t="s">
        <v>35</v>
      </c>
      <c r="C601" s="20" t="s">
        <v>2202</v>
      </c>
      <c r="D601" s="21" t="s">
        <v>5366</v>
      </c>
      <c r="E601" s="20" t="s">
        <v>5367</v>
      </c>
      <c r="F601" s="20"/>
      <c r="G601" s="20"/>
      <c r="H601" s="20"/>
    </row>
    <row r="602" customFormat="false" ht="23.85" hidden="false" customHeight="false" outlineLevel="0" collapsed="false">
      <c r="A602" s="20" t="s">
        <v>5368</v>
      </c>
      <c r="B602" s="20" t="s">
        <v>28</v>
      </c>
      <c r="C602" s="20" t="s">
        <v>3633</v>
      </c>
      <c r="D602" s="21" t="s">
        <v>5369</v>
      </c>
      <c r="E602" s="20" t="s">
        <v>5370</v>
      </c>
      <c r="F602" s="20"/>
      <c r="G602" s="20"/>
      <c r="H602" s="20"/>
    </row>
    <row r="603" customFormat="false" ht="15" hidden="false" customHeight="false" outlineLevel="0" collapsed="false">
      <c r="A603" s="20" t="s">
        <v>5371</v>
      </c>
      <c r="B603" s="20" t="s">
        <v>28</v>
      </c>
      <c r="C603" s="20" t="s">
        <v>892</v>
      </c>
      <c r="D603" s="21" t="s">
        <v>5372</v>
      </c>
      <c r="E603" s="20" t="s">
        <v>5373</v>
      </c>
      <c r="F603" s="20"/>
      <c r="G603" s="20"/>
      <c r="H603" s="20"/>
    </row>
    <row r="604" customFormat="false" ht="23.85" hidden="false" customHeight="false" outlineLevel="0" collapsed="false">
      <c r="A604" s="20" t="s">
        <v>5374</v>
      </c>
      <c r="B604" s="20" t="s">
        <v>28</v>
      </c>
      <c r="C604" s="20" t="s">
        <v>934</v>
      </c>
      <c r="D604" s="21" t="s">
        <v>5375</v>
      </c>
      <c r="E604" s="20"/>
      <c r="F604" s="20"/>
      <c r="G604" s="20"/>
      <c r="H604" s="20"/>
    </row>
    <row r="605" customFormat="false" ht="15" hidden="false" customHeight="false" outlineLevel="0" collapsed="false">
      <c r="A605" s="20" t="s">
        <v>5376</v>
      </c>
      <c r="B605" s="20" t="s">
        <v>30</v>
      </c>
      <c r="C605" s="20" t="s">
        <v>4094</v>
      </c>
      <c r="D605" s="21" t="s">
        <v>5377</v>
      </c>
      <c r="E605" s="20" t="s">
        <v>5378</v>
      </c>
      <c r="F605" s="20"/>
      <c r="G605" s="20"/>
      <c r="H605" s="20"/>
    </row>
    <row r="606" customFormat="false" ht="15" hidden="false" customHeight="false" outlineLevel="0" collapsed="false">
      <c r="A606" s="20" t="s">
        <v>5379</v>
      </c>
      <c r="B606" s="20"/>
      <c r="C606" s="20"/>
      <c r="D606" s="21" t="s">
        <v>5380</v>
      </c>
      <c r="E606" s="20"/>
      <c r="F606" s="20"/>
      <c r="G606" s="20"/>
      <c r="H606" s="20"/>
    </row>
    <row r="607" customFormat="false" ht="15" hidden="false" customHeight="false" outlineLevel="0" collapsed="false">
      <c r="A607" s="20" t="s">
        <v>5381</v>
      </c>
      <c r="B607" s="20" t="s">
        <v>26</v>
      </c>
      <c r="C607" s="20" t="s">
        <v>4174</v>
      </c>
      <c r="D607" s="21" t="s">
        <v>5382</v>
      </c>
      <c r="E607" s="20"/>
      <c r="F607" s="20"/>
      <c r="G607" s="20"/>
      <c r="H607" s="20"/>
    </row>
    <row r="608" customFormat="false" ht="15" hidden="false" customHeight="false" outlineLevel="0" collapsed="false">
      <c r="A608" s="20" t="s">
        <v>5383</v>
      </c>
      <c r="B608" s="20" t="s">
        <v>19</v>
      </c>
      <c r="C608" s="20" t="s">
        <v>2372</v>
      </c>
      <c r="D608" s="21" t="s">
        <v>4686</v>
      </c>
      <c r="E608" s="20" t="s">
        <v>5384</v>
      </c>
      <c r="F608" s="20"/>
      <c r="G608" s="20" t="n">
        <v>4</v>
      </c>
      <c r="H608" s="20" t="n">
        <v>477</v>
      </c>
    </row>
    <row r="609" customFormat="false" ht="15" hidden="false" customHeight="false" outlineLevel="0" collapsed="false">
      <c r="A609" s="20" t="s">
        <v>5385</v>
      </c>
      <c r="B609" s="20" t="s">
        <v>21</v>
      </c>
      <c r="C609" s="20" t="s">
        <v>446</v>
      </c>
      <c r="D609" s="21" t="s">
        <v>5386</v>
      </c>
      <c r="E609" s="20" t="s">
        <v>5387</v>
      </c>
      <c r="F609" s="20"/>
      <c r="G609" s="20"/>
      <c r="H609" s="20"/>
    </row>
    <row r="610" customFormat="false" ht="15" hidden="false" customHeight="false" outlineLevel="0" collapsed="false">
      <c r="A610" s="20" t="s">
        <v>5388</v>
      </c>
      <c r="B610" s="20" t="s">
        <v>21</v>
      </c>
      <c r="C610" s="20" t="s">
        <v>446</v>
      </c>
      <c r="D610" s="21" t="s">
        <v>5389</v>
      </c>
      <c r="E610" s="20" t="s">
        <v>5390</v>
      </c>
      <c r="F610" s="20" t="s">
        <v>5391</v>
      </c>
      <c r="G610" s="20" t="n">
        <v>4.8</v>
      </c>
      <c r="H610" s="20" t="n">
        <v>113</v>
      </c>
    </row>
    <row r="611" customFormat="false" ht="15" hidden="false" customHeight="false" outlineLevel="0" collapsed="false">
      <c r="A611" s="20" t="s">
        <v>5392</v>
      </c>
      <c r="B611" s="20" t="s">
        <v>21</v>
      </c>
      <c r="C611" s="20" t="s">
        <v>446</v>
      </c>
      <c r="D611" s="21" t="s">
        <v>5393</v>
      </c>
      <c r="E611" s="20" t="s">
        <v>5394</v>
      </c>
      <c r="F611" s="20"/>
      <c r="G611" s="20" t="n">
        <v>5</v>
      </c>
      <c r="H611" s="20" t="n">
        <v>31</v>
      </c>
    </row>
    <row r="612" customFormat="false" ht="23.85" hidden="false" customHeight="false" outlineLevel="0" collapsed="false">
      <c r="A612" s="20" t="s">
        <v>5395</v>
      </c>
      <c r="B612" s="20" t="s">
        <v>19</v>
      </c>
      <c r="C612" s="20" t="s">
        <v>3637</v>
      </c>
      <c r="D612" s="21" t="s">
        <v>5396</v>
      </c>
      <c r="E612" s="20"/>
      <c r="F612" s="20"/>
      <c r="G612" s="20" t="n">
        <v>4.4</v>
      </c>
      <c r="H612" s="20" t="n">
        <v>46</v>
      </c>
    </row>
    <row r="613" customFormat="false" ht="23.85" hidden="false" customHeight="false" outlineLevel="0" collapsed="false">
      <c r="A613" s="20" t="s">
        <v>5397</v>
      </c>
      <c r="B613" s="20" t="s">
        <v>23</v>
      </c>
      <c r="C613" s="20" t="s">
        <v>663</v>
      </c>
      <c r="D613" s="21" t="s">
        <v>5398</v>
      </c>
      <c r="E613" s="20" t="s">
        <v>5399</v>
      </c>
      <c r="F613" s="20"/>
      <c r="G613" s="20"/>
      <c r="H613" s="20"/>
    </row>
    <row r="614" customFormat="false" ht="23.85" hidden="false" customHeight="false" outlineLevel="0" collapsed="false">
      <c r="A614" s="20" t="s">
        <v>5400</v>
      </c>
      <c r="B614" s="20" t="s">
        <v>25</v>
      </c>
      <c r="C614" s="20" t="s">
        <v>738</v>
      </c>
      <c r="D614" s="21" t="s">
        <v>5401</v>
      </c>
      <c r="E614" s="20" t="s">
        <v>5402</v>
      </c>
      <c r="F614" s="20"/>
      <c r="G614" s="20" t="n">
        <v>4.3</v>
      </c>
      <c r="H614" s="20" t="n">
        <v>46</v>
      </c>
    </row>
    <row r="615" customFormat="false" ht="23.85" hidden="false" customHeight="false" outlineLevel="0" collapsed="false">
      <c r="A615" s="20" t="s">
        <v>5403</v>
      </c>
      <c r="B615" s="20" t="s">
        <v>30</v>
      </c>
      <c r="C615" s="20" t="s">
        <v>1377</v>
      </c>
      <c r="D615" s="21" t="s">
        <v>5404</v>
      </c>
      <c r="E615" s="20" t="s">
        <v>5405</v>
      </c>
      <c r="F615" s="20"/>
      <c r="G615" s="20"/>
      <c r="H615" s="20"/>
    </row>
    <row r="616" customFormat="false" ht="23.85" hidden="false" customHeight="false" outlineLevel="0" collapsed="false">
      <c r="A616" s="20" t="s">
        <v>5406</v>
      </c>
      <c r="B616" s="20" t="s">
        <v>21</v>
      </c>
      <c r="C616" s="20" t="s">
        <v>5407</v>
      </c>
      <c r="D616" s="21" t="s">
        <v>5408</v>
      </c>
      <c r="E616" s="20" t="s">
        <v>5409</v>
      </c>
      <c r="F616" s="20"/>
      <c r="G616" s="20"/>
      <c r="H616" s="20"/>
    </row>
    <row r="617" customFormat="false" ht="15" hidden="false" customHeight="false" outlineLevel="0" collapsed="false">
      <c r="A617" s="20" t="s">
        <v>5410</v>
      </c>
      <c r="B617" s="20" t="s">
        <v>23</v>
      </c>
      <c r="C617" s="20" t="s">
        <v>4836</v>
      </c>
      <c r="D617" s="21" t="s">
        <v>5411</v>
      </c>
      <c r="E617" s="20" t="s">
        <v>5412</v>
      </c>
      <c r="F617" s="20" t="s">
        <v>5413</v>
      </c>
      <c r="G617" s="20" t="n">
        <v>4.5</v>
      </c>
      <c r="H617" s="20" t="n">
        <v>25</v>
      </c>
    </row>
    <row r="618" customFormat="false" ht="23.85" hidden="false" customHeight="false" outlineLevel="0" collapsed="false">
      <c r="A618" s="20" t="s">
        <v>5414</v>
      </c>
      <c r="B618" s="20" t="s">
        <v>32</v>
      </c>
      <c r="C618" s="20" t="s">
        <v>5415</v>
      </c>
      <c r="D618" s="21" t="s">
        <v>5416</v>
      </c>
      <c r="E618" s="20" t="s">
        <v>5417</v>
      </c>
      <c r="F618" s="20" t="s">
        <v>5418</v>
      </c>
      <c r="G618" s="20" t="n">
        <v>4.3</v>
      </c>
      <c r="H618" s="20" t="n">
        <v>472</v>
      </c>
    </row>
    <row r="619" customFormat="false" ht="23.85" hidden="false" customHeight="false" outlineLevel="0" collapsed="false">
      <c r="A619" s="20" t="s">
        <v>5419</v>
      </c>
      <c r="B619" s="20" t="s">
        <v>29</v>
      </c>
      <c r="C619" s="20" t="s">
        <v>1312</v>
      </c>
      <c r="D619" s="21" t="s">
        <v>5420</v>
      </c>
      <c r="E619" s="20" t="s">
        <v>5421</v>
      </c>
      <c r="F619" s="20"/>
      <c r="G619" s="20"/>
      <c r="H619" s="20"/>
    </row>
    <row r="620" customFormat="false" ht="15" hidden="false" customHeight="false" outlineLevel="0" collapsed="false">
      <c r="A620" s="20" t="s">
        <v>5422</v>
      </c>
      <c r="B620" s="20" t="s">
        <v>21</v>
      </c>
      <c r="C620" s="20" t="s">
        <v>356</v>
      </c>
      <c r="D620" s="21" t="s">
        <v>5423</v>
      </c>
      <c r="E620" s="20" t="s">
        <v>5424</v>
      </c>
      <c r="F620" s="20" t="s">
        <v>5425</v>
      </c>
      <c r="G620" s="20" t="n">
        <v>4.7</v>
      </c>
      <c r="H620" s="20" t="n">
        <v>3</v>
      </c>
    </row>
    <row r="621" customFormat="false" ht="15" hidden="false" customHeight="false" outlineLevel="0" collapsed="false">
      <c r="A621" s="20" t="s">
        <v>5426</v>
      </c>
      <c r="B621" s="20" t="s">
        <v>23</v>
      </c>
      <c r="C621" s="20" t="s">
        <v>2653</v>
      </c>
      <c r="D621" s="21" t="s">
        <v>5427</v>
      </c>
      <c r="E621" s="20"/>
      <c r="F621" s="20"/>
      <c r="G621" s="20"/>
      <c r="H621" s="20"/>
    </row>
    <row r="622" customFormat="false" ht="23.85" hidden="false" customHeight="false" outlineLevel="0" collapsed="false">
      <c r="A622" s="20" t="s">
        <v>5428</v>
      </c>
      <c r="B622" s="20" t="s">
        <v>26</v>
      </c>
      <c r="C622" s="20" t="s">
        <v>823</v>
      </c>
      <c r="D622" s="21" t="s">
        <v>5429</v>
      </c>
      <c r="E622" s="20" t="s">
        <v>5430</v>
      </c>
      <c r="F622" s="20"/>
      <c r="G622" s="20"/>
      <c r="H622" s="20"/>
    </row>
    <row r="623" customFormat="false" ht="23.85" hidden="false" customHeight="false" outlineLevel="0" collapsed="false">
      <c r="A623" s="20" t="s">
        <v>5431</v>
      </c>
      <c r="B623" s="20" t="s">
        <v>27</v>
      </c>
      <c r="C623" s="20" t="s">
        <v>850</v>
      </c>
      <c r="D623" s="21" t="s">
        <v>5432</v>
      </c>
      <c r="E623" s="20" t="s">
        <v>5433</v>
      </c>
      <c r="F623" s="20" t="s">
        <v>5434</v>
      </c>
      <c r="G623" s="20"/>
      <c r="H623" s="20"/>
    </row>
    <row r="624" customFormat="false" ht="23.85" hidden="false" customHeight="false" outlineLevel="0" collapsed="false">
      <c r="A624" s="20" t="s">
        <v>5435</v>
      </c>
      <c r="B624" s="20" t="s">
        <v>27</v>
      </c>
      <c r="C624" s="20" t="s">
        <v>850</v>
      </c>
      <c r="D624" s="21" t="s">
        <v>5436</v>
      </c>
      <c r="E624" s="20"/>
      <c r="F624" s="20"/>
      <c r="G624" s="20"/>
      <c r="H624" s="20"/>
    </row>
    <row r="625" customFormat="false" ht="23.85" hidden="false" customHeight="false" outlineLevel="0" collapsed="false">
      <c r="A625" s="20" t="s">
        <v>5437</v>
      </c>
      <c r="B625" s="20" t="s">
        <v>26</v>
      </c>
      <c r="C625" s="20" t="s">
        <v>4090</v>
      </c>
      <c r="D625" s="21" t="s">
        <v>5438</v>
      </c>
      <c r="E625" s="20"/>
      <c r="F625" s="20"/>
      <c r="G625" s="20" t="n">
        <v>4.7</v>
      </c>
      <c r="H625" s="20" t="n">
        <v>7</v>
      </c>
    </row>
    <row r="626" customFormat="false" ht="15" hidden="false" customHeight="false" outlineLevel="0" collapsed="false">
      <c r="A626" s="20" t="s">
        <v>5439</v>
      </c>
      <c r="B626" s="20" t="s">
        <v>26</v>
      </c>
      <c r="C626" s="20" t="s">
        <v>3700</v>
      </c>
      <c r="D626" s="21" t="s">
        <v>5440</v>
      </c>
      <c r="E626" s="20" t="s">
        <v>5441</v>
      </c>
      <c r="F626" s="20" t="s">
        <v>5442</v>
      </c>
      <c r="G626" s="20"/>
      <c r="H626" s="20"/>
    </row>
    <row r="627" customFormat="false" ht="23.85" hidden="false" customHeight="false" outlineLevel="0" collapsed="false">
      <c r="A627" s="20" t="s">
        <v>5443</v>
      </c>
      <c r="B627" s="20" t="s">
        <v>21</v>
      </c>
      <c r="C627" s="20" t="s">
        <v>356</v>
      </c>
      <c r="D627" s="21" t="s">
        <v>5444</v>
      </c>
      <c r="E627" s="20" t="s">
        <v>5445</v>
      </c>
      <c r="F627" s="20"/>
      <c r="G627" s="20" t="n">
        <v>2</v>
      </c>
      <c r="H627" s="20" t="n">
        <v>1</v>
      </c>
    </row>
    <row r="628" customFormat="false" ht="15" hidden="false" customHeight="false" outlineLevel="0" collapsed="false">
      <c r="A628" s="20" t="s">
        <v>5446</v>
      </c>
      <c r="B628" s="20" t="s">
        <v>21</v>
      </c>
      <c r="C628" s="20" t="s">
        <v>347</v>
      </c>
      <c r="D628" s="21" t="s">
        <v>5447</v>
      </c>
      <c r="E628" s="20" t="s">
        <v>5448</v>
      </c>
      <c r="F628" s="20"/>
      <c r="G628" s="20"/>
      <c r="H628" s="20"/>
    </row>
    <row r="629" customFormat="false" ht="15" hidden="false" customHeight="false" outlineLevel="0" collapsed="false">
      <c r="A629" s="20" t="s">
        <v>5449</v>
      </c>
      <c r="B629" s="20" t="s">
        <v>21</v>
      </c>
      <c r="C629" s="20" t="s">
        <v>356</v>
      </c>
      <c r="D629" s="21" t="s">
        <v>5450</v>
      </c>
      <c r="E629" s="20"/>
      <c r="F629" s="20"/>
      <c r="G629" s="20"/>
      <c r="H629" s="20"/>
    </row>
    <row r="630" customFormat="false" ht="23.85" hidden="false" customHeight="false" outlineLevel="0" collapsed="false">
      <c r="A630" s="20" t="s">
        <v>5451</v>
      </c>
      <c r="B630" s="20" t="s">
        <v>28</v>
      </c>
      <c r="C630" s="20" t="s">
        <v>907</v>
      </c>
      <c r="D630" s="21" t="s">
        <v>5452</v>
      </c>
      <c r="E630" s="20" t="s">
        <v>5453</v>
      </c>
      <c r="F630" s="20" t="s">
        <v>5454</v>
      </c>
      <c r="G630" s="20" t="n">
        <v>4.7</v>
      </c>
      <c r="H630" s="20" t="n">
        <v>9</v>
      </c>
    </row>
    <row r="631" customFormat="false" ht="23.85" hidden="false" customHeight="false" outlineLevel="0" collapsed="false">
      <c r="A631" s="20" t="s">
        <v>5455</v>
      </c>
      <c r="B631" s="20" t="s">
        <v>29</v>
      </c>
      <c r="C631" s="20" t="s">
        <v>1188</v>
      </c>
      <c r="D631" s="21" t="s">
        <v>5456</v>
      </c>
      <c r="E631" s="20" t="s">
        <v>5457</v>
      </c>
      <c r="F631" s="20"/>
      <c r="G631" s="20"/>
      <c r="H631" s="20"/>
    </row>
    <row r="632" customFormat="false" ht="15" hidden="false" customHeight="false" outlineLevel="0" collapsed="false">
      <c r="A632" s="20" t="s">
        <v>5458</v>
      </c>
      <c r="B632" s="20" t="s">
        <v>30</v>
      </c>
      <c r="C632" s="20" t="s">
        <v>1322</v>
      </c>
      <c r="D632" s="21" t="s">
        <v>5459</v>
      </c>
      <c r="E632" s="20" t="s">
        <v>5460</v>
      </c>
      <c r="F632" s="20"/>
      <c r="G632" s="20" t="n">
        <v>4</v>
      </c>
      <c r="H632" s="20" t="n">
        <v>2</v>
      </c>
    </row>
    <row r="633" customFormat="false" ht="23.85" hidden="false" customHeight="false" outlineLevel="0" collapsed="false">
      <c r="A633" s="20" t="s">
        <v>5461</v>
      </c>
      <c r="B633" s="20" t="s">
        <v>32</v>
      </c>
      <c r="C633" s="20" t="s">
        <v>5462</v>
      </c>
      <c r="D633" s="21" t="s">
        <v>5463</v>
      </c>
      <c r="E633" s="20" t="s">
        <v>5464</v>
      </c>
      <c r="F633" s="20" t="s">
        <v>5465</v>
      </c>
      <c r="G633" s="20" t="n">
        <v>4.3</v>
      </c>
      <c r="H633" s="20" t="n">
        <v>44</v>
      </c>
    </row>
    <row r="634" customFormat="false" ht="15" hidden="false" customHeight="false" outlineLevel="0" collapsed="false">
      <c r="A634" s="20" t="s">
        <v>5466</v>
      </c>
      <c r="B634" s="20" t="s">
        <v>31</v>
      </c>
      <c r="C634" s="20" t="s">
        <v>1542</v>
      </c>
      <c r="D634" s="21" t="s">
        <v>5467</v>
      </c>
      <c r="E634" s="20" t="s">
        <v>5468</v>
      </c>
      <c r="F634" s="20" t="s">
        <v>5469</v>
      </c>
      <c r="G634" s="20"/>
      <c r="H634" s="20"/>
    </row>
    <row r="635" customFormat="false" ht="15" hidden="false" customHeight="false" outlineLevel="0" collapsed="false">
      <c r="A635" s="20" t="s">
        <v>5470</v>
      </c>
      <c r="B635" s="20" t="s">
        <v>32</v>
      </c>
      <c r="C635" s="20" t="s">
        <v>5415</v>
      </c>
      <c r="D635" s="21" t="s">
        <v>5471</v>
      </c>
      <c r="E635" s="20"/>
      <c r="F635" s="20"/>
      <c r="G635" s="20" t="n">
        <v>4.2</v>
      </c>
      <c r="H635" s="20" t="n">
        <v>19</v>
      </c>
    </row>
    <row r="636" customFormat="false" ht="23.85" hidden="false" customHeight="false" outlineLevel="0" collapsed="false">
      <c r="A636" s="20" t="s">
        <v>5472</v>
      </c>
      <c r="B636" s="20" t="s">
        <v>23</v>
      </c>
      <c r="C636" s="20" t="s">
        <v>5473</v>
      </c>
      <c r="D636" s="21" t="s">
        <v>5474</v>
      </c>
      <c r="E636" s="20" t="s">
        <v>5475</v>
      </c>
      <c r="F636" s="20"/>
      <c r="G636" s="20" t="n">
        <v>4</v>
      </c>
      <c r="H636" s="20" t="n">
        <v>1</v>
      </c>
    </row>
    <row r="637" customFormat="false" ht="15" hidden="false" customHeight="false" outlineLevel="0" collapsed="false">
      <c r="A637" s="20" t="s">
        <v>5476</v>
      </c>
      <c r="B637" s="20" t="s">
        <v>32</v>
      </c>
      <c r="C637" s="20" t="s">
        <v>1767</v>
      </c>
      <c r="D637" s="21" t="s">
        <v>5477</v>
      </c>
      <c r="E637" s="20" t="s">
        <v>5478</v>
      </c>
      <c r="F637" s="20"/>
      <c r="G637" s="20"/>
      <c r="H637" s="20"/>
    </row>
    <row r="638" customFormat="false" ht="23.85" hidden="false" customHeight="false" outlineLevel="0" collapsed="false">
      <c r="A638" s="20" t="s">
        <v>5479</v>
      </c>
      <c r="B638" s="20" t="s">
        <v>29</v>
      </c>
      <c r="C638" s="20" t="s">
        <v>1188</v>
      </c>
      <c r="D638" s="21" t="s">
        <v>5480</v>
      </c>
      <c r="E638" s="20" t="s">
        <v>5481</v>
      </c>
      <c r="F638" s="20"/>
      <c r="G638" s="20"/>
      <c r="H638" s="20"/>
    </row>
    <row r="639" customFormat="false" ht="23.85" hidden="false" customHeight="false" outlineLevel="0" collapsed="false">
      <c r="A639" s="20" t="s">
        <v>5482</v>
      </c>
      <c r="B639" s="20" t="s">
        <v>18</v>
      </c>
      <c r="C639" s="20" t="s">
        <v>82</v>
      </c>
      <c r="D639" s="21" t="s">
        <v>5483</v>
      </c>
      <c r="E639" s="20" t="s">
        <v>5484</v>
      </c>
      <c r="F639" s="20"/>
      <c r="G639" s="20" t="n">
        <v>4</v>
      </c>
      <c r="H639" s="20" t="n">
        <v>2</v>
      </c>
    </row>
    <row r="640" customFormat="false" ht="15" hidden="false" customHeight="false" outlineLevel="0" collapsed="false">
      <c r="A640" s="20" t="s">
        <v>5485</v>
      </c>
      <c r="B640" s="20" t="s">
        <v>32</v>
      </c>
      <c r="C640" s="20" t="s">
        <v>1757</v>
      </c>
      <c r="D640" s="21" t="s">
        <v>5486</v>
      </c>
      <c r="E640" s="20" t="s">
        <v>5487</v>
      </c>
      <c r="F640" s="20"/>
      <c r="G640" s="20" t="n">
        <v>5</v>
      </c>
      <c r="H640" s="20" t="n">
        <v>1</v>
      </c>
    </row>
    <row r="641" customFormat="false" ht="15" hidden="false" customHeight="false" outlineLevel="0" collapsed="false">
      <c r="A641" s="20" t="s">
        <v>5488</v>
      </c>
      <c r="B641" s="20" t="s">
        <v>26</v>
      </c>
      <c r="C641" s="20" t="s">
        <v>823</v>
      </c>
      <c r="D641" s="21" t="s">
        <v>5489</v>
      </c>
      <c r="E641" s="20"/>
      <c r="F641" s="20"/>
      <c r="G641" s="20"/>
      <c r="H641" s="20"/>
    </row>
    <row r="642" customFormat="false" ht="35.05" hidden="false" customHeight="false" outlineLevel="0" collapsed="false">
      <c r="A642" s="20" t="s">
        <v>5490</v>
      </c>
      <c r="B642" s="20" t="s">
        <v>24</v>
      </c>
      <c r="C642" s="20" t="s">
        <v>715</v>
      </c>
      <c r="D642" s="21" t="s">
        <v>5491</v>
      </c>
      <c r="E642" s="20" t="s">
        <v>5492</v>
      </c>
      <c r="F642" s="20" t="s">
        <v>5493</v>
      </c>
      <c r="G642" s="20" t="n">
        <v>4.5</v>
      </c>
      <c r="H642" s="20" t="n">
        <v>50</v>
      </c>
    </row>
    <row r="643" customFormat="false" ht="15" hidden="false" customHeight="false" outlineLevel="0" collapsed="false">
      <c r="A643" s="20" t="s">
        <v>5494</v>
      </c>
      <c r="B643" s="20" t="s">
        <v>31</v>
      </c>
      <c r="C643" s="20" t="s">
        <v>1542</v>
      </c>
      <c r="D643" s="21" t="s">
        <v>5495</v>
      </c>
      <c r="E643" s="20" t="s">
        <v>5496</v>
      </c>
      <c r="F643" s="20"/>
      <c r="G643" s="20"/>
      <c r="H643" s="20"/>
    </row>
    <row r="644" customFormat="false" ht="23.85" hidden="false" customHeight="false" outlineLevel="0" collapsed="false">
      <c r="A644" s="20" t="s">
        <v>5497</v>
      </c>
      <c r="B644" s="20" t="s">
        <v>31</v>
      </c>
      <c r="C644" s="20" t="s">
        <v>1542</v>
      </c>
      <c r="D644" s="21" t="s">
        <v>5498</v>
      </c>
      <c r="E644" s="20" t="s">
        <v>5499</v>
      </c>
      <c r="F644" s="20" t="s">
        <v>5500</v>
      </c>
      <c r="G644" s="20" t="n">
        <v>4.6</v>
      </c>
      <c r="H644" s="20" t="n">
        <v>12</v>
      </c>
    </row>
    <row r="645" customFormat="false" ht="23.85" hidden="false" customHeight="false" outlineLevel="0" collapsed="false">
      <c r="A645" s="20" t="s">
        <v>5501</v>
      </c>
      <c r="B645" s="20" t="s">
        <v>26</v>
      </c>
      <c r="C645" s="20" t="s">
        <v>3700</v>
      </c>
      <c r="D645" s="21" t="s">
        <v>5502</v>
      </c>
      <c r="E645" s="20"/>
      <c r="F645" s="20"/>
      <c r="G645" s="20"/>
      <c r="H645" s="20"/>
    </row>
    <row r="646" customFormat="false" ht="15" hidden="false" customHeight="false" outlineLevel="0" collapsed="false">
      <c r="A646" s="20" t="s">
        <v>5503</v>
      </c>
      <c r="B646" s="20" t="s">
        <v>26</v>
      </c>
      <c r="C646" s="20"/>
      <c r="D646" s="21" t="s">
        <v>4765</v>
      </c>
      <c r="E646" s="20"/>
      <c r="F646" s="20"/>
      <c r="G646" s="20"/>
      <c r="H646" s="20"/>
    </row>
    <row r="647" customFormat="false" ht="23.85" hidden="false" customHeight="false" outlineLevel="0" collapsed="false">
      <c r="A647" s="20" t="s">
        <v>5504</v>
      </c>
      <c r="B647" s="20" t="s">
        <v>26</v>
      </c>
      <c r="C647" s="20" t="s">
        <v>4174</v>
      </c>
      <c r="D647" s="21" t="s">
        <v>5505</v>
      </c>
      <c r="E647" s="20" t="s">
        <v>5506</v>
      </c>
      <c r="F647" s="20"/>
      <c r="G647" s="20"/>
      <c r="H647" s="20"/>
    </row>
    <row r="648" customFormat="false" ht="23.85" hidden="false" customHeight="false" outlineLevel="0" collapsed="false">
      <c r="A648" s="20" t="s">
        <v>5507</v>
      </c>
      <c r="B648" s="20" t="s">
        <v>32</v>
      </c>
      <c r="C648" s="20" t="s">
        <v>1894</v>
      </c>
      <c r="D648" s="21" t="s">
        <v>5508</v>
      </c>
      <c r="E648" s="20" t="s">
        <v>5509</v>
      </c>
      <c r="F648" s="20"/>
      <c r="G648" s="20"/>
      <c r="H648" s="20"/>
    </row>
    <row r="649" customFormat="false" ht="23.85" hidden="false" customHeight="false" outlineLevel="0" collapsed="false">
      <c r="A649" s="20" t="s">
        <v>5510</v>
      </c>
      <c r="B649" s="20" t="s">
        <v>28</v>
      </c>
      <c r="C649" s="20" t="s">
        <v>5318</v>
      </c>
      <c r="D649" s="21" t="s">
        <v>5511</v>
      </c>
      <c r="E649" s="20" t="s">
        <v>5512</v>
      </c>
      <c r="F649" s="20"/>
      <c r="G649" s="20" t="n">
        <v>4</v>
      </c>
      <c r="H649" s="20" t="n">
        <v>1</v>
      </c>
    </row>
    <row r="650" customFormat="false" ht="23.85" hidden="false" customHeight="false" outlineLevel="0" collapsed="false">
      <c r="A650" s="20" t="s">
        <v>5513</v>
      </c>
      <c r="B650" s="20" t="s">
        <v>22</v>
      </c>
      <c r="C650" s="20" t="s">
        <v>540</v>
      </c>
      <c r="D650" s="21" t="s">
        <v>5514</v>
      </c>
      <c r="E650" s="20" t="s">
        <v>5515</v>
      </c>
      <c r="F650" s="20"/>
      <c r="G650" s="20" t="n">
        <v>5</v>
      </c>
      <c r="H650" s="20" t="n">
        <v>1</v>
      </c>
    </row>
    <row r="651" customFormat="false" ht="23.85" hidden="false" customHeight="false" outlineLevel="0" collapsed="false">
      <c r="A651" s="20" t="s">
        <v>5516</v>
      </c>
      <c r="B651" s="20" t="s">
        <v>35</v>
      </c>
      <c r="C651" s="20" t="s">
        <v>2202</v>
      </c>
      <c r="D651" s="21" t="s">
        <v>5517</v>
      </c>
      <c r="E651" s="20" t="s">
        <v>5518</v>
      </c>
      <c r="F651" s="20"/>
      <c r="G651" s="20"/>
      <c r="H651" s="20"/>
    </row>
    <row r="652" customFormat="false" ht="23.85" hidden="false" customHeight="false" outlineLevel="0" collapsed="false">
      <c r="A652" s="20" t="s">
        <v>5519</v>
      </c>
      <c r="B652" s="20" t="s">
        <v>26</v>
      </c>
      <c r="C652" s="20" t="s">
        <v>823</v>
      </c>
      <c r="D652" s="21" t="s">
        <v>5520</v>
      </c>
      <c r="E652" s="20"/>
      <c r="F652" s="20"/>
      <c r="G652" s="20"/>
      <c r="H652" s="20"/>
    </row>
    <row r="653" customFormat="false" ht="15" hidden="false" customHeight="false" outlineLevel="0" collapsed="false">
      <c r="A653" s="20" t="s">
        <v>5521</v>
      </c>
      <c r="B653" s="20" t="s">
        <v>30</v>
      </c>
      <c r="C653" s="20" t="s">
        <v>1330</v>
      </c>
      <c r="D653" s="21" t="s">
        <v>5522</v>
      </c>
      <c r="E653" s="20"/>
      <c r="F653" s="20"/>
      <c r="G653" s="20"/>
      <c r="H653" s="20"/>
    </row>
    <row r="654" customFormat="false" ht="23.85" hidden="false" customHeight="false" outlineLevel="0" collapsed="false">
      <c r="A654" s="20" t="s">
        <v>5523</v>
      </c>
      <c r="B654" s="20" t="s">
        <v>18</v>
      </c>
      <c r="C654" s="20" t="s">
        <v>121</v>
      </c>
      <c r="D654" s="21" t="s">
        <v>5524</v>
      </c>
      <c r="E654" s="20" t="s">
        <v>5525</v>
      </c>
      <c r="F654" s="20"/>
      <c r="G654" s="20" t="n">
        <v>3.7</v>
      </c>
      <c r="H654" s="20" t="n">
        <v>3</v>
      </c>
    </row>
    <row r="655" customFormat="false" ht="23.85" hidden="false" customHeight="false" outlineLevel="0" collapsed="false">
      <c r="A655" s="20" t="s">
        <v>5526</v>
      </c>
      <c r="B655" s="20" t="s">
        <v>28</v>
      </c>
      <c r="C655" s="20" t="s">
        <v>907</v>
      </c>
      <c r="D655" s="21" t="s">
        <v>5527</v>
      </c>
      <c r="E655" s="20" t="s">
        <v>5528</v>
      </c>
      <c r="F655" s="20"/>
      <c r="G655" s="20" t="n">
        <v>5</v>
      </c>
      <c r="H655" s="20" t="n">
        <v>4</v>
      </c>
    </row>
    <row r="656" customFormat="false" ht="23.85" hidden="false" customHeight="false" outlineLevel="0" collapsed="false">
      <c r="A656" s="20" t="s">
        <v>5529</v>
      </c>
      <c r="B656" s="20" t="s">
        <v>30</v>
      </c>
      <c r="C656" s="20" t="s">
        <v>4257</v>
      </c>
      <c r="D656" s="21" t="s">
        <v>5530</v>
      </c>
      <c r="E656" s="20" t="s">
        <v>5531</v>
      </c>
      <c r="F656" s="20"/>
      <c r="G656" s="20"/>
      <c r="H656" s="20"/>
    </row>
    <row r="657" customFormat="false" ht="15" hidden="false" customHeight="false" outlineLevel="0" collapsed="false">
      <c r="A657" s="20" t="s">
        <v>5532</v>
      </c>
      <c r="B657" s="20" t="s">
        <v>31</v>
      </c>
      <c r="C657" s="20" t="s">
        <v>1522</v>
      </c>
      <c r="D657" s="21" t="s">
        <v>5533</v>
      </c>
      <c r="E657" s="20" t="s">
        <v>5534</v>
      </c>
      <c r="F657" s="20"/>
      <c r="G657" s="20" t="n">
        <v>5</v>
      </c>
      <c r="H657" s="20" t="n">
        <v>2</v>
      </c>
    </row>
    <row r="658" customFormat="false" ht="15" hidden="false" customHeight="false" outlineLevel="0" collapsed="false">
      <c r="A658" s="20" t="s">
        <v>5535</v>
      </c>
      <c r="B658" s="20" t="s">
        <v>30</v>
      </c>
      <c r="C658" s="20" t="s">
        <v>1377</v>
      </c>
      <c r="D658" s="21" t="s">
        <v>5536</v>
      </c>
      <c r="E658" s="20" t="s">
        <v>5537</v>
      </c>
      <c r="F658" s="20" t="s">
        <v>5538</v>
      </c>
      <c r="G658" s="20" t="n">
        <v>5</v>
      </c>
      <c r="H658" s="20" t="n">
        <v>2</v>
      </c>
    </row>
    <row r="659" customFormat="false" ht="15" hidden="false" customHeight="false" outlineLevel="0" collapsed="false">
      <c r="A659" s="20" t="s">
        <v>5539</v>
      </c>
      <c r="B659" s="20" t="s">
        <v>28</v>
      </c>
      <c r="C659" s="20" t="s">
        <v>892</v>
      </c>
      <c r="D659" s="21" t="s">
        <v>5540</v>
      </c>
      <c r="E659" s="20" t="s">
        <v>5541</v>
      </c>
      <c r="F659" s="20"/>
      <c r="G659" s="20" t="n">
        <v>1</v>
      </c>
      <c r="H659" s="20" t="n">
        <v>1</v>
      </c>
    </row>
    <row r="660" customFormat="false" ht="23.85" hidden="false" customHeight="false" outlineLevel="0" collapsed="false">
      <c r="A660" s="20" t="s">
        <v>5542</v>
      </c>
      <c r="B660" s="20" t="s">
        <v>28</v>
      </c>
      <c r="C660" s="20" t="s">
        <v>1076</v>
      </c>
      <c r="D660" s="21" t="s">
        <v>5543</v>
      </c>
      <c r="E660" s="20" t="s">
        <v>5544</v>
      </c>
      <c r="F660" s="20"/>
      <c r="G660" s="20"/>
      <c r="H660" s="20"/>
    </row>
    <row r="661" customFormat="false" ht="23.85" hidden="false" customHeight="false" outlineLevel="0" collapsed="false">
      <c r="A661" s="20" t="s">
        <v>5545</v>
      </c>
      <c r="B661" s="20" t="s">
        <v>23</v>
      </c>
      <c r="C661" s="20" t="s">
        <v>563</v>
      </c>
      <c r="D661" s="21" t="s">
        <v>5546</v>
      </c>
      <c r="E661" s="20"/>
      <c r="F661" s="20"/>
      <c r="G661" s="20" t="n">
        <v>1</v>
      </c>
      <c r="H661" s="20" t="n">
        <v>1</v>
      </c>
    </row>
    <row r="662" customFormat="false" ht="15" hidden="false" customHeight="false" outlineLevel="0" collapsed="false">
      <c r="A662" s="20" t="s">
        <v>5547</v>
      </c>
      <c r="B662" s="20" t="s">
        <v>30</v>
      </c>
      <c r="C662" s="20" t="s">
        <v>1377</v>
      </c>
      <c r="D662" s="21" t="s">
        <v>5548</v>
      </c>
      <c r="E662" s="20" t="s">
        <v>5549</v>
      </c>
      <c r="F662" s="20" t="s">
        <v>5550</v>
      </c>
      <c r="G662" s="20" t="n">
        <v>5</v>
      </c>
      <c r="H662" s="20" t="n">
        <v>3</v>
      </c>
    </row>
    <row r="663" customFormat="false" ht="15" hidden="false" customHeight="false" outlineLevel="0" collapsed="false">
      <c r="A663" s="20" t="s">
        <v>5551</v>
      </c>
      <c r="B663" s="20" t="s">
        <v>32</v>
      </c>
      <c r="C663" s="20" t="s">
        <v>1869</v>
      </c>
      <c r="D663" s="21" t="s">
        <v>5552</v>
      </c>
      <c r="E663" s="20" t="s">
        <v>5553</v>
      </c>
      <c r="F663" s="20"/>
      <c r="G663" s="20"/>
      <c r="H663" s="20"/>
    </row>
    <row r="664" customFormat="false" ht="15" hidden="false" customHeight="false" outlineLevel="0" collapsed="false">
      <c r="A664" s="20" t="s">
        <v>5554</v>
      </c>
      <c r="B664" s="20" t="s">
        <v>21</v>
      </c>
      <c r="C664" s="20" t="s">
        <v>356</v>
      </c>
      <c r="D664" s="21" t="s">
        <v>5555</v>
      </c>
      <c r="E664" s="20" t="s">
        <v>5556</v>
      </c>
      <c r="F664" s="20"/>
      <c r="G664" s="20"/>
      <c r="H664" s="20"/>
    </row>
    <row r="665" customFormat="false" ht="23.85" hidden="false" customHeight="false" outlineLevel="0" collapsed="false">
      <c r="A665" s="20" t="s">
        <v>5557</v>
      </c>
      <c r="B665" s="20" t="s">
        <v>30</v>
      </c>
      <c r="C665" s="20" t="s">
        <v>5558</v>
      </c>
      <c r="D665" s="21" t="s">
        <v>5559</v>
      </c>
      <c r="E665" s="20" t="s">
        <v>5560</v>
      </c>
      <c r="F665" s="20"/>
      <c r="G665" s="20"/>
      <c r="H665" s="20"/>
    </row>
    <row r="666" customFormat="false" ht="23.85" hidden="false" customHeight="false" outlineLevel="0" collapsed="false">
      <c r="A666" s="20" t="s">
        <v>5561</v>
      </c>
      <c r="B666" s="20" t="s">
        <v>24</v>
      </c>
      <c r="C666" s="20" t="s">
        <v>715</v>
      </c>
      <c r="D666" s="21" t="s">
        <v>5562</v>
      </c>
      <c r="E666" s="20" t="s">
        <v>5563</v>
      </c>
      <c r="F666" s="20" t="s">
        <v>5564</v>
      </c>
      <c r="G666" s="20" t="n">
        <v>5</v>
      </c>
      <c r="H666" s="20" t="n">
        <v>105</v>
      </c>
    </row>
    <row r="667" customFormat="false" ht="23.85" hidden="false" customHeight="false" outlineLevel="0" collapsed="false">
      <c r="A667" s="20" t="s">
        <v>5565</v>
      </c>
      <c r="B667" s="20" t="s">
        <v>23</v>
      </c>
      <c r="C667" s="20" t="s">
        <v>4543</v>
      </c>
      <c r="D667" s="21" t="s">
        <v>5566</v>
      </c>
      <c r="E667" s="20"/>
      <c r="F667" s="20"/>
      <c r="G667" s="20" t="n">
        <v>4</v>
      </c>
      <c r="H667" s="20" t="n">
        <v>3</v>
      </c>
    </row>
    <row r="668" customFormat="false" ht="23.85" hidden="false" customHeight="false" outlineLevel="0" collapsed="false">
      <c r="A668" s="20" t="s">
        <v>5567</v>
      </c>
      <c r="B668" s="20" t="s">
        <v>19</v>
      </c>
      <c r="C668" s="20" t="s">
        <v>3637</v>
      </c>
      <c r="D668" s="21" t="s">
        <v>5568</v>
      </c>
      <c r="E668" s="20"/>
      <c r="F668" s="20"/>
      <c r="G668" s="20" t="n">
        <v>2.3</v>
      </c>
      <c r="H668" s="20" t="n">
        <v>6</v>
      </c>
    </row>
    <row r="669" customFormat="false" ht="23.85" hidden="false" customHeight="false" outlineLevel="0" collapsed="false">
      <c r="A669" s="20" t="s">
        <v>5569</v>
      </c>
      <c r="B669" s="20" t="s">
        <v>29</v>
      </c>
      <c r="C669" s="20" t="s">
        <v>1312</v>
      </c>
      <c r="D669" s="21" t="s">
        <v>5570</v>
      </c>
      <c r="E669" s="20" t="s">
        <v>5571</v>
      </c>
      <c r="F669" s="20"/>
      <c r="G669" s="20"/>
      <c r="H669" s="20"/>
    </row>
    <row r="670" customFormat="false" ht="15" hidden="false" customHeight="false" outlineLevel="0" collapsed="false">
      <c r="A670" s="20" t="s">
        <v>5572</v>
      </c>
      <c r="B670" s="20" t="s">
        <v>23</v>
      </c>
      <c r="C670" s="20" t="s">
        <v>563</v>
      </c>
      <c r="D670" s="21" t="s">
        <v>5573</v>
      </c>
      <c r="E670" s="20"/>
      <c r="F670" s="20"/>
      <c r="G670" s="20"/>
      <c r="H670" s="20"/>
    </row>
    <row r="671" customFormat="false" ht="23.85" hidden="false" customHeight="false" outlineLevel="0" collapsed="false">
      <c r="A671" s="20" t="s">
        <v>5574</v>
      </c>
      <c r="B671" s="20" t="s">
        <v>28</v>
      </c>
      <c r="C671" s="20" t="s">
        <v>913</v>
      </c>
      <c r="D671" s="21" t="s">
        <v>5575</v>
      </c>
      <c r="E671" s="20" t="s">
        <v>5576</v>
      </c>
      <c r="F671" s="20"/>
      <c r="G671" s="20" t="n">
        <v>5</v>
      </c>
      <c r="H671" s="20" t="n">
        <v>1</v>
      </c>
    </row>
    <row r="672" customFormat="false" ht="15" hidden="false" customHeight="false" outlineLevel="0" collapsed="false">
      <c r="A672" s="20" t="s">
        <v>5577</v>
      </c>
      <c r="B672" s="20" t="s">
        <v>28</v>
      </c>
      <c r="C672" s="20" t="s">
        <v>1076</v>
      </c>
      <c r="D672" s="21" t="s">
        <v>5578</v>
      </c>
      <c r="E672" s="20" t="s">
        <v>5579</v>
      </c>
      <c r="F672" s="20"/>
      <c r="G672" s="20"/>
      <c r="H672" s="20"/>
    </row>
    <row r="673" customFormat="false" ht="23.85" hidden="false" customHeight="false" outlineLevel="0" collapsed="false">
      <c r="A673" s="20" t="s">
        <v>5580</v>
      </c>
      <c r="B673" s="20"/>
      <c r="C673" s="20" t="s">
        <v>4526</v>
      </c>
      <c r="D673" s="21" t="s">
        <v>5581</v>
      </c>
      <c r="E673" s="20" t="s">
        <v>5582</v>
      </c>
      <c r="F673" s="20"/>
      <c r="G673" s="20"/>
      <c r="H673" s="20"/>
    </row>
    <row r="674" customFormat="false" ht="23.85" hidden="false" customHeight="false" outlineLevel="0" collapsed="false">
      <c r="A674" s="20" t="s">
        <v>5583</v>
      </c>
      <c r="B674" s="20" t="s">
        <v>28</v>
      </c>
      <c r="C674" s="20" t="s">
        <v>913</v>
      </c>
      <c r="D674" s="21" t="s">
        <v>5584</v>
      </c>
      <c r="E674" s="20" t="s">
        <v>5585</v>
      </c>
      <c r="F674" s="20"/>
      <c r="G674" s="20"/>
      <c r="H674" s="20"/>
    </row>
    <row r="675" customFormat="false" ht="23.85" hidden="false" customHeight="false" outlineLevel="0" collapsed="false">
      <c r="A675" s="20" t="s">
        <v>5586</v>
      </c>
      <c r="B675" s="20" t="s">
        <v>28</v>
      </c>
      <c r="C675" s="20" t="s">
        <v>934</v>
      </c>
      <c r="D675" s="21" t="s">
        <v>5587</v>
      </c>
      <c r="E675" s="20" t="s">
        <v>5588</v>
      </c>
      <c r="F675" s="20"/>
      <c r="G675" s="20" t="n">
        <v>4.3</v>
      </c>
      <c r="H675" s="20" t="n">
        <v>3</v>
      </c>
    </row>
    <row r="676" customFormat="false" ht="15" hidden="false" customHeight="false" outlineLevel="0" collapsed="false">
      <c r="A676" s="20" t="s">
        <v>5589</v>
      </c>
      <c r="B676" s="20" t="s">
        <v>23</v>
      </c>
      <c r="C676" s="20" t="s">
        <v>5590</v>
      </c>
      <c r="D676" s="21" t="s">
        <v>5591</v>
      </c>
      <c r="E676" s="20" t="s">
        <v>5592</v>
      </c>
      <c r="F676" s="20"/>
      <c r="G676" s="20"/>
      <c r="H676" s="20"/>
    </row>
    <row r="677" customFormat="false" ht="15" hidden="false" customHeight="false" outlineLevel="0" collapsed="false">
      <c r="A677" s="20" t="s">
        <v>5593</v>
      </c>
      <c r="B677" s="20" t="s">
        <v>30</v>
      </c>
      <c r="C677" s="20" t="s">
        <v>1503</v>
      </c>
      <c r="D677" s="21" t="s">
        <v>5594</v>
      </c>
      <c r="E677" s="20" t="s">
        <v>5595</v>
      </c>
      <c r="F677" s="20"/>
      <c r="G677" s="20"/>
      <c r="H677" s="20"/>
    </row>
    <row r="678" customFormat="false" ht="23.85" hidden="false" customHeight="false" outlineLevel="0" collapsed="false">
      <c r="A678" s="20" t="s">
        <v>5596</v>
      </c>
      <c r="B678" s="20" t="s">
        <v>30</v>
      </c>
      <c r="C678" s="20" t="s">
        <v>1330</v>
      </c>
      <c r="D678" s="21" t="s">
        <v>5597</v>
      </c>
      <c r="E678" s="20" t="s">
        <v>5598</v>
      </c>
      <c r="F678" s="20"/>
      <c r="G678" s="20"/>
      <c r="H678" s="20"/>
    </row>
    <row r="679" customFormat="false" ht="23.85" hidden="false" customHeight="false" outlineLevel="0" collapsed="false">
      <c r="A679" s="20" t="s">
        <v>5599</v>
      </c>
      <c r="B679" s="20" t="s">
        <v>28</v>
      </c>
      <c r="C679" s="20" t="s">
        <v>901</v>
      </c>
      <c r="D679" s="21" t="s">
        <v>5600</v>
      </c>
      <c r="E679" s="20" t="s">
        <v>5601</v>
      </c>
      <c r="F679" s="20"/>
      <c r="G679" s="20"/>
      <c r="H679" s="20"/>
    </row>
    <row r="680" customFormat="false" ht="15" hidden="false" customHeight="false" outlineLevel="0" collapsed="false">
      <c r="A680" s="20" t="s">
        <v>5602</v>
      </c>
      <c r="B680" s="20" t="s">
        <v>32</v>
      </c>
      <c r="C680" s="20" t="s">
        <v>3680</v>
      </c>
      <c r="D680" s="21" t="s">
        <v>5603</v>
      </c>
      <c r="E680" s="20" t="s">
        <v>5604</v>
      </c>
      <c r="F680" s="20"/>
      <c r="G680" s="20" t="n">
        <v>5</v>
      </c>
      <c r="H680" s="20" t="n">
        <v>1</v>
      </c>
    </row>
    <row r="681" customFormat="false" ht="23.85" hidden="false" customHeight="false" outlineLevel="0" collapsed="false">
      <c r="A681" s="20" t="s">
        <v>5605</v>
      </c>
      <c r="B681" s="20" t="s">
        <v>30</v>
      </c>
      <c r="C681" s="20" t="s">
        <v>4257</v>
      </c>
      <c r="D681" s="21" t="s">
        <v>5606</v>
      </c>
      <c r="E681" s="20"/>
      <c r="F681" s="20"/>
      <c r="G681" s="20"/>
      <c r="H681" s="20"/>
    </row>
    <row r="682" customFormat="false" ht="23.85" hidden="false" customHeight="false" outlineLevel="0" collapsed="false">
      <c r="A682" s="20" t="s">
        <v>5607</v>
      </c>
      <c r="B682" s="20" t="s">
        <v>30</v>
      </c>
      <c r="C682" s="20" t="s">
        <v>5608</v>
      </c>
      <c r="D682" s="21" t="s">
        <v>5609</v>
      </c>
      <c r="E682" s="20" t="s">
        <v>5610</v>
      </c>
      <c r="F682" s="20"/>
      <c r="G682" s="20" t="n">
        <v>4.2</v>
      </c>
      <c r="H682" s="20" t="n">
        <v>9</v>
      </c>
    </row>
    <row r="683" customFormat="false" ht="15" hidden="false" customHeight="false" outlineLevel="0" collapsed="false">
      <c r="A683" s="20" t="s">
        <v>5611</v>
      </c>
      <c r="B683" s="20" t="s">
        <v>21</v>
      </c>
      <c r="C683" s="20" t="s">
        <v>5407</v>
      </c>
      <c r="D683" s="21" t="s">
        <v>5612</v>
      </c>
      <c r="E683" s="20" t="s">
        <v>5613</v>
      </c>
      <c r="F683" s="20" t="s">
        <v>5614</v>
      </c>
      <c r="G683" s="20" t="n">
        <v>4.8</v>
      </c>
      <c r="H683" s="20" t="n">
        <v>67</v>
      </c>
    </row>
    <row r="684" customFormat="false" ht="15" hidden="false" customHeight="false" outlineLevel="0" collapsed="false">
      <c r="A684" s="20" t="s">
        <v>5615</v>
      </c>
      <c r="B684" s="20" t="s">
        <v>34</v>
      </c>
      <c r="C684" s="20" t="s">
        <v>2157</v>
      </c>
      <c r="D684" s="21" t="s">
        <v>5616</v>
      </c>
      <c r="E684" s="20"/>
      <c r="F684" s="20"/>
      <c r="G684" s="20" t="n">
        <v>3.9</v>
      </c>
      <c r="H684" s="20" t="n">
        <v>26</v>
      </c>
    </row>
    <row r="685" customFormat="false" ht="23.85" hidden="false" customHeight="false" outlineLevel="0" collapsed="false">
      <c r="A685" s="20" t="s">
        <v>5617</v>
      </c>
      <c r="B685" s="20" t="s">
        <v>22</v>
      </c>
      <c r="C685" s="20" t="s">
        <v>356</v>
      </c>
      <c r="D685" s="21" t="s">
        <v>5618</v>
      </c>
      <c r="E685" s="20" t="s">
        <v>5619</v>
      </c>
      <c r="F685" s="20"/>
      <c r="G685" s="20"/>
      <c r="H685" s="20"/>
    </row>
    <row r="686" customFormat="false" ht="23.85" hidden="false" customHeight="false" outlineLevel="0" collapsed="false">
      <c r="A686" s="20" t="s">
        <v>5620</v>
      </c>
      <c r="B686" s="20" t="s">
        <v>28</v>
      </c>
      <c r="C686" s="20" t="s">
        <v>913</v>
      </c>
      <c r="D686" s="21" t="s">
        <v>5621</v>
      </c>
      <c r="E686" s="20"/>
      <c r="F686" s="20"/>
      <c r="G686" s="20" t="n">
        <v>5</v>
      </c>
      <c r="H686" s="20" t="n">
        <v>1</v>
      </c>
    </row>
    <row r="687" customFormat="false" ht="23.85" hidden="false" customHeight="false" outlineLevel="0" collapsed="false">
      <c r="A687" s="20" t="s">
        <v>5622</v>
      </c>
      <c r="B687" s="20" t="s">
        <v>30</v>
      </c>
      <c r="C687" s="20" t="s">
        <v>1330</v>
      </c>
      <c r="D687" s="21" t="s">
        <v>5623</v>
      </c>
      <c r="E687" s="20" t="s">
        <v>5624</v>
      </c>
      <c r="F687" s="20"/>
      <c r="G687" s="20" t="n">
        <v>1</v>
      </c>
      <c r="H687" s="20" t="n">
        <v>1</v>
      </c>
    </row>
    <row r="688" customFormat="false" ht="23.85" hidden="false" customHeight="false" outlineLevel="0" collapsed="false">
      <c r="A688" s="20" t="s">
        <v>5625</v>
      </c>
      <c r="B688" s="20" t="s">
        <v>26</v>
      </c>
      <c r="C688" s="20" t="s">
        <v>811</v>
      </c>
      <c r="D688" s="21" t="s">
        <v>5626</v>
      </c>
      <c r="E688" s="20" t="s">
        <v>5627</v>
      </c>
      <c r="F688" s="20"/>
      <c r="G688" s="20"/>
      <c r="H688" s="20"/>
    </row>
    <row r="689" customFormat="false" ht="15" hidden="false" customHeight="false" outlineLevel="0" collapsed="false">
      <c r="A689" s="20" t="s">
        <v>5628</v>
      </c>
      <c r="B689" s="20" t="s">
        <v>26</v>
      </c>
      <c r="C689" s="20" t="s">
        <v>823</v>
      </c>
      <c r="D689" s="21" t="s">
        <v>5629</v>
      </c>
      <c r="E689" s="20" t="s">
        <v>5630</v>
      </c>
      <c r="F689" s="20"/>
      <c r="G689" s="20"/>
      <c r="H689" s="20"/>
    </row>
    <row r="690" customFormat="false" ht="15" hidden="false" customHeight="false" outlineLevel="0" collapsed="false">
      <c r="A690" s="20" t="s">
        <v>5631</v>
      </c>
      <c r="B690" s="20" t="s">
        <v>21</v>
      </c>
      <c r="C690" s="20" t="s">
        <v>347</v>
      </c>
      <c r="D690" s="21" t="s">
        <v>5632</v>
      </c>
      <c r="E690" s="20" t="s">
        <v>5633</v>
      </c>
      <c r="F690" s="20"/>
      <c r="G690" s="20" t="n">
        <v>5</v>
      </c>
      <c r="H690" s="20" t="n">
        <v>1</v>
      </c>
    </row>
    <row r="691" customFormat="false" ht="23.85" hidden="false" customHeight="false" outlineLevel="0" collapsed="false">
      <c r="A691" s="20" t="s">
        <v>5634</v>
      </c>
      <c r="B691" s="20" t="s">
        <v>25</v>
      </c>
      <c r="C691" s="20" t="s">
        <v>738</v>
      </c>
      <c r="D691" s="21" t="s">
        <v>5635</v>
      </c>
      <c r="E691" s="20" t="s">
        <v>5636</v>
      </c>
      <c r="F691" s="20"/>
      <c r="G691" s="20"/>
      <c r="H691" s="20"/>
    </row>
    <row r="692" customFormat="false" ht="15" hidden="false" customHeight="false" outlineLevel="0" collapsed="false">
      <c r="A692" s="20" t="s">
        <v>5637</v>
      </c>
      <c r="B692" s="20" t="s">
        <v>23</v>
      </c>
      <c r="C692" s="20" t="s">
        <v>597</v>
      </c>
      <c r="D692" s="21" t="s">
        <v>5638</v>
      </c>
      <c r="E692" s="20" t="s">
        <v>5639</v>
      </c>
      <c r="F692" s="20" t="s">
        <v>5640</v>
      </c>
      <c r="G692" s="20" t="n">
        <v>3.9</v>
      </c>
      <c r="H692" s="20" t="n">
        <v>34</v>
      </c>
    </row>
    <row r="693" customFormat="false" ht="23.85" hidden="false" customHeight="false" outlineLevel="0" collapsed="false">
      <c r="A693" s="20" t="s">
        <v>5641</v>
      </c>
      <c r="B693" s="20" t="s">
        <v>31</v>
      </c>
      <c r="C693" s="20" t="s">
        <v>1542</v>
      </c>
      <c r="D693" s="21" t="s">
        <v>5642</v>
      </c>
      <c r="E693" s="20" t="s">
        <v>5643</v>
      </c>
      <c r="F693" s="20"/>
      <c r="G693" s="20" t="n">
        <v>4.7</v>
      </c>
      <c r="H693" s="20" t="n">
        <v>3</v>
      </c>
    </row>
    <row r="694" customFormat="false" ht="15" hidden="false" customHeight="false" outlineLevel="0" collapsed="false">
      <c r="A694" s="20" t="s">
        <v>5644</v>
      </c>
      <c r="B694" s="20" t="s">
        <v>23</v>
      </c>
      <c r="C694" s="20" t="s">
        <v>4323</v>
      </c>
      <c r="D694" s="21" t="s">
        <v>5645</v>
      </c>
      <c r="E694" s="20" t="s">
        <v>5646</v>
      </c>
      <c r="F694" s="20"/>
      <c r="G694" s="20" t="n">
        <v>4</v>
      </c>
      <c r="H694" s="20" t="n">
        <v>2</v>
      </c>
    </row>
    <row r="695" customFormat="false" ht="23.85" hidden="false" customHeight="false" outlineLevel="0" collapsed="false">
      <c r="A695" s="20" t="s">
        <v>5647</v>
      </c>
      <c r="B695" s="20" t="s">
        <v>34</v>
      </c>
      <c r="C695" s="20" t="s">
        <v>2122</v>
      </c>
      <c r="D695" s="21" t="s">
        <v>5648</v>
      </c>
      <c r="E695" s="20" t="s">
        <v>5649</v>
      </c>
      <c r="F695" s="20"/>
      <c r="G695" s="20"/>
      <c r="H695" s="20"/>
    </row>
    <row r="696" customFormat="false" ht="23.85" hidden="false" customHeight="false" outlineLevel="0" collapsed="false">
      <c r="A696" s="20" t="s">
        <v>5650</v>
      </c>
      <c r="B696" s="20" t="s">
        <v>32</v>
      </c>
      <c r="C696" s="20" t="s">
        <v>1729</v>
      </c>
      <c r="D696" s="21" t="s">
        <v>5651</v>
      </c>
      <c r="E696" s="20" t="s">
        <v>5652</v>
      </c>
      <c r="F696" s="20"/>
      <c r="G696" s="20"/>
      <c r="H696" s="20"/>
    </row>
    <row r="697" customFormat="false" ht="23.85" hidden="false" customHeight="false" outlineLevel="0" collapsed="false">
      <c r="A697" s="20" t="s">
        <v>5653</v>
      </c>
      <c r="B697" s="20" t="s">
        <v>32</v>
      </c>
      <c r="C697" s="20" t="s">
        <v>1767</v>
      </c>
      <c r="D697" s="21" t="s">
        <v>5654</v>
      </c>
      <c r="E697" s="20" t="s">
        <v>5655</v>
      </c>
      <c r="F697" s="20"/>
      <c r="G697" s="20"/>
      <c r="H697" s="20"/>
    </row>
    <row r="698" customFormat="false" ht="15" hidden="false" customHeight="false" outlineLevel="0" collapsed="false">
      <c r="A698" s="20" t="s">
        <v>5656</v>
      </c>
      <c r="B698" s="20" t="s">
        <v>30</v>
      </c>
      <c r="C698" s="20" t="s">
        <v>1322</v>
      </c>
      <c r="D698" s="21" t="s">
        <v>5657</v>
      </c>
      <c r="E698" s="20"/>
      <c r="F698" s="20"/>
      <c r="G698" s="20"/>
      <c r="H698" s="20"/>
    </row>
    <row r="699" customFormat="false" ht="15" hidden="false" customHeight="false" outlineLevel="0" collapsed="false">
      <c r="A699" s="20" t="s">
        <v>5658</v>
      </c>
      <c r="B699" s="20" t="s">
        <v>30</v>
      </c>
      <c r="C699" s="20" t="s">
        <v>1330</v>
      </c>
      <c r="D699" s="21" t="s">
        <v>5659</v>
      </c>
      <c r="E699" s="20" t="s">
        <v>5660</v>
      </c>
      <c r="F699" s="20"/>
      <c r="G699" s="20"/>
      <c r="H699" s="20"/>
    </row>
    <row r="700" customFormat="false" ht="15" hidden="false" customHeight="false" outlineLevel="0" collapsed="false">
      <c r="A700" s="20" t="s">
        <v>5661</v>
      </c>
      <c r="B700" s="20" t="s">
        <v>31</v>
      </c>
      <c r="C700" s="20" t="s">
        <v>1542</v>
      </c>
      <c r="D700" s="21" t="s">
        <v>5477</v>
      </c>
      <c r="E700" s="20" t="s">
        <v>5662</v>
      </c>
      <c r="F700" s="20"/>
      <c r="G700" s="20"/>
      <c r="H700" s="20"/>
    </row>
    <row r="701" customFormat="false" ht="23.85" hidden="false" customHeight="false" outlineLevel="0" collapsed="false">
      <c r="A701" s="20" t="s">
        <v>5663</v>
      </c>
      <c r="B701" s="20" t="s">
        <v>32</v>
      </c>
      <c r="C701" s="20" t="s">
        <v>1869</v>
      </c>
      <c r="D701" s="21" t="s">
        <v>5664</v>
      </c>
      <c r="E701" s="20" t="s">
        <v>5665</v>
      </c>
      <c r="F701" s="20"/>
      <c r="G701" s="20" t="n">
        <v>5</v>
      </c>
      <c r="H701" s="20" t="n">
        <v>3</v>
      </c>
    </row>
    <row r="702" customFormat="false" ht="23.85" hidden="false" customHeight="false" outlineLevel="0" collapsed="false">
      <c r="A702" s="20" t="s">
        <v>5666</v>
      </c>
      <c r="B702" s="20" t="s">
        <v>29</v>
      </c>
      <c r="C702" s="20" t="s">
        <v>1312</v>
      </c>
      <c r="D702" s="21" t="s">
        <v>5667</v>
      </c>
      <c r="E702" s="20" t="s">
        <v>5668</v>
      </c>
      <c r="F702" s="20" t="s">
        <v>5669</v>
      </c>
      <c r="G702" s="20" t="n">
        <v>4.4</v>
      </c>
      <c r="H702" s="20" t="n">
        <v>9</v>
      </c>
    </row>
    <row r="703" customFormat="false" ht="23.85" hidden="false" customHeight="false" outlineLevel="0" collapsed="false">
      <c r="A703" s="20" t="s">
        <v>5670</v>
      </c>
      <c r="B703" s="20" t="s">
        <v>20</v>
      </c>
      <c r="C703" s="20" t="s">
        <v>287</v>
      </c>
      <c r="D703" s="21" t="s">
        <v>5671</v>
      </c>
      <c r="E703" s="20" t="s">
        <v>5672</v>
      </c>
      <c r="F703" s="20"/>
      <c r="G703" s="20" t="n">
        <v>5</v>
      </c>
      <c r="H703" s="20" t="n">
        <v>1</v>
      </c>
    </row>
    <row r="704" customFormat="false" ht="23.85" hidden="false" customHeight="false" outlineLevel="0" collapsed="false">
      <c r="A704" s="20" t="s">
        <v>5673</v>
      </c>
      <c r="B704" s="20" t="s">
        <v>29</v>
      </c>
      <c r="C704" s="20" t="s">
        <v>1312</v>
      </c>
      <c r="D704" s="21" t="s">
        <v>5674</v>
      </c>
      <c r="E704" s="20" t="s">
        <v>5675</v>
      </c>
      <c r="F704" s="20"/>
      <c r="G704" s="20" t="n">
        <v>1</v>
      </c>
      <c r="H704" s="20" t="n">
        <v>2</v>
      </c>
    </row>
    <row r="705" customFormat="false" ht="23.85" hidden="false" customHeight="false" outlineLevel="0" collapsed="false">
      <c r="A705" s="20" t="s">
        <v>5676</v>
      </c>
      <c r="B705" s="20" t="s">
        <v>34</v>
      </c>
      <c r="C705" s="20" t="s">
        <v>2122</v>
      </c>
      <c r="D705" s="21" t="s">
        <v>5677</v>
      </c>
      <c r="E705" s="20" t="s">
        <v>5678</v>
      </c>
      <c r="F705" s="20"/>
      <c r="G705" s="20" t="n">
        <v>5</v>
      </c>
      <c r="H705" s="20" t="n">
        <v>1</v>
      </c>
    </row>
    <row r="706" customFormat="false" ht="23.85" hidden="false" customHeight="false" outlineLevel="0" collapsed="false">
      <c r="A706" s="20" t="s">
        <v>5679</v>
      </c>
      <c r="B706" s="20" t="s">
        <v>32</v>
      </c>
      <c r="C706" s="20" t="s">
        <v>1734</v>
      </c>
      <c r="D706" s="21" t="s">
        <v>5680</v>
      </c>
      <c r="E706" s="20" t="s">
        <v>5681</v>
      </c>
      <c r="F706" s="20"/>
      <c r="G706" s="20"/>
      <c r="H706" s="20"/>
    </row>
    <row r="707" customFormat="false" ht="15" hidden="false" customHeight="false" outlineLevel="0" collapsed="false">
      <c r="A707" s="20" t="s">
        <v>5682</v>
      </c>
      <c r="B707" s="20" t="s">
        <v>32</v>
      </c>
      <c r="C707" s="20" t="s">
        <v>1706</v>
      </c>
      <c r="D707" s="21" t="s">
        <v>5683</v>
      </c>
      <c r="E707" s="20" t="s">
        <v>5684</v>
      </c>
      <c r="F707" s="20" t="s">
        <v>5685</v>
      </c>
      <c r="G707" s="20" t="n">
        <v>4.6</v>
      </c>
      <c r="H707" s="20" t="n">
        <v>150</v>
      </c>
    </row>
    <row r="708" customFormat="false" ht="23.85" hidden="false" customHeight="false" outlineLevel="0" collapsed="false">
      <c r="A708" s="20" t="s">
        <v>5686</v>
      </c>
      <c r="B708" s="20" t="s">
        <v>32</v>
      </c>
      <c r="C708" s="20" t="s">
        <v>1869</v>
      </c>
      <c r="D708" s="21" t="s">
        <v>5687</v>
      </c>
      <c r="E708" s="20" t="s">
        <v>5688</v>
      </c>
      <c r="F708" s="20"/>
      <c r="G708" s="20" t="n">
        <v>5</v>
      </c>
      <c r="H708" s="20" t="n">
        <v>1</v>
      </c>
    </row>
    <row r="709" customFormat="false" ht="23.85" hidden="false" customHeight="false" outlineLevel="0" collapsed="false">
      <c r="A709" s="20" t="s">
        <v>1377</v>
      </c>
      <c r="B709" s="20" t="s">
        <v>30</v>
      </c>
      <c r="C709" s="20" t="s">
        <v>1377</v>
      </c>
      <c r="D709" s="21" t="s">
        <v>5689</v>
      </c>
      <c r="E709" s="20" t="s">
        <v>5690</v>
      </c>
      <c r="F709" s="20"/>
      <c r="G709" s="20" t="n">
        <v>5</v>
      </c>
      <c r="H709" s="20" t="n">
        <v>1</v>
      </c>
    </row>
    <row r="710" customFormat="false" ht="15" hidden="false" customHeight="false" outlineLevel="0" collapsed="false">
      <c r="A710" s="20" t="s">
        <v>5691</v>
      </c>
      <c r="B710" s="20" t="s">
        <v>18</v>
      </c>
      <c r="C710" s="20" t="s">
        <v>82</v>
      </c>
      <c r="D710" s="21" t="s">
        <v>5692</v>
      </c>
      <c r="E710" s="20" t="s">
        <v>5693</v>
      </c>
      <c r="F710" s="20"/>
      <c r="G710" s="20" t="n">
        <v>4.3</v>
      </c>
      <c r="H710" s="20" t="n">
        <v>1111</v>
      </c>
    </row>
    <row r="711" customFormat="false" ht="15" hidden="false" customHeight="false" outlineLevel="0" collapsed="false">
      <c r="A711" s="20" t="s">
        <v>5694</v>
      </c>
      <c r="B711" s="20" t="s">
        <v>34</v>
      </c>
      <c r="C711" s="20" t="s">
        <v>2090</v>
      </c>
      <c r="D711" s="21" t="s">
        <v>5695</v>
      </c>
      <c r="E711" s="20" t="s">
        <v>5696</v>
      </c>
      <c r="F711" s="20" t="s">
        <v>5697</v>
      </c>
      <c r="G711" s="20"/>
      <c r="H711" s="20"/>
    </row>
    <row r="712" customFormat="false" ht="23.85" hidden="false" customHeight="false" outlineLevel="0" collapsed="false">
      <c r="A712" s="20" t="s">
        <v>5698</v>
      </c>
      <c r="B712" s="20" t="s">
        <v>21</v>
      </c>
      <c r="C712" s="20" t="s">
        <v>2467</v>
      </c>
      <c r="D712" s="21" t="s">
        <v>5699</v>
      </c>
      <c r="E712" s="20" t="s">
        <v>5700</v>
      </c>
      <c r="F712" s="20"/>
      <c r="G712" s="20" t="n">
        <v>5</v>
      </c>
      <c r="H712" s="20" t="n">
        <v>1</v>
      </c>
    </row>
    <row r="713" customFormat="false" ht="15" hidden="false" customHeight="false" outlineLevel="0" collapsed="false">
      <c r="A713" s="20" t="s">
        <v>5701</v>
      </c>
      <c r="B713" s="20" t="s">
        <v>30</v>
      </c>
      <c r="C713" s="20" t="s">
        <v>1503</v>
      </c>
      <c r="D713" s="21" t="s">
        <v>5702</v>
      </c>
      <c r="E713" s="20" t="s">
        <v>5703</v>
      </c>
      <c r="F713" s="20"/>
      <c r="G713" s="20" t="n">
        <v>4</v>
      </c>
      <c r="H713" s="20" t="n">
        <v>1</v>
      </c>
    </row>
    <row r="714" customFormat="false" ht="15" hidden="false" customHeight="false" outlineLevel="0" collapsed="false">
      <c r="A714" s="20" t="s">
        <v>5704</v>
      </c>
      <c r="B714" s="20" t="s">
        <v>28</v>
      </c>
      <c r="C714" s="20" t="s">
        <v>892</v>
      </c>
      <c r="D714" s="21" t="s">
        <v>5382</v>
      </c>
      <c r="E714" s="20" t="s">
        <v>5705</v>
      </c>
      <c r="F714" s="20"/>
      <c r="G714" s="20"/>
      <c r="H714" s="20"/>
    </row>
    <row r="715" customFormat="false" ht="15" hidden="false" customHeight="false" outlineLevel="0" collapsed="false">
      <c r="A715" s="20" t="s">
        <v>5706</v>
      </c>
      <c r="B715" s="20" t="s">
        <v>32</v>
      </c>
      <c r="C715" s="20" t="s">
        <v>1869</v>
      </c>
      <c r="D715" s="21" t="s">
        <v>5707</v>
      </c>
      <c r="E715" s="20"/>
      <c r="F715" s="20"/>
      <c r="G715" s="20"/>
      <c r="H715" s="20"/>
    </row>
    <row r="716" customFormat="false" ht="23.85" hidden="false" customHeight="false" outlineLevel="0" collapsed="false">
      <c r="A716" s="20" t="s">
        <v>5708</v>
      </c>
      <c r="B716" s="20" t="s">
        <v>21</v>
      </c>
      <c r="C716" s="20" t="s">
        <v>347</v>
      </c>
      <c r="D716" s="21" t="s">
        <v>5709</v>
      </c>
      <c r="E716" s="20" t="s">
        <v>4636</v>
      </c>
      <c r="F716" s="20"/>
      <c r="G716" s="20" t="n">
        <v>5</v>
      </c>
      <c r="H716" s="20" t="n">
        <v>2</v>
      </c>
    </row>
    <row r="717" customFormat="false" ht="23.85" hidden="false" customHeight="false" outlineLevel="0" collapsed="false">
      <c r="A717" s="20" t="s">
        <v>5710</v>
      </c>
      <c r="B717" s="20" t="s">
        <v>26</v>
      </c>
      <c r="C717" s="20" t="s">
        <v>823</v>
      </c>
      <c r="D717" s="21" t="s">
        <v>5711</v>
      </c>
      <c r="E717" s="20"/>
      <c r="F717" s="20"/>
      <c r="G717" s="20"/>
      <c r="H717" s="20"/>
    </row>
    <row r="718" customFormat="false" ht="15" hidden="false" customHeight="false" outlineLevel="0" collapsed="false">
      <c r="A718" s="20" t="s">
        <v>5712</v>
      </c>
      <c r="B718" s="20" t="s">
        <v>20</v>
      </c>
      <c r="C718" s="20" t="s">
        <v>2386</v>
      </c>
      <c r="D718" s="21" t="s">
        <v>5713</v>
      </c>
      <c r="E718" s="20" t="s">
        <v>5714</v>
      </c>
      <c r="F718" s="20"/>
      <c r="G718" s="20" t="n">
        <v>3.9</v>
      </c>
      <c r="H718" s="20" t="n">
        <v>81</v>
      </c>
    </row>
    <row r="719" customFormat="false" ht="15" hidden="false" customHeight="false" outlineLevel="0" collapsed="false">
      <c r="A719" s="20" t="s">
        <v>5715</v>
      </c>
      <c r="B719" s="20" t="s">
        <v>29</v>
      </c>
      <c r="C719" s="20" t="s">
        <v>1188</v>
      </c>
      <c r="D719" s="21" t="s">
        <v>5716</v>
      </c>
      <c r="E719" s="20" t="s">
        <v>5717</v>
      </c>
      <c r="F719" s="20"/>
      <c r="G719" s="20"/>
      <c r="H719" s="20"/>
    </row>
    <row r="720" customFormat="false" ht="15" hidden="false" customHeight="false" outlineLevel="0" collapsed="false">
      <c r="A720" s="20" t="s">
        <v>5718</v>
      </c>
      <c r="B720" s="20" t="s">
        <v>32</v>
      </c>
      <c r="C720" s="20" t="s">
        <v>1847</v>
      </c>
      <c r="D720" s="21" t="s">
        <v>5719</v>
      </c>
      <c r="E720" s="20" t="s">
        <v>5720</v>
      </c>
      <c r="F720" s="20"/>
      <c r="G720" s="20" t="n">
        <v>4.2</v>
      </c>
      <c r="H720" s="20" t="n">
        <v>5</v>
      </c>
    </row>
    <row r="721" customFormat="false" ht="15" hidden="false" customHeight="false" outlineLevel="0" collapsed="false">
      <c r="A721" s="20" t="s">
        <v>5721</v>
      </c>
      <c r="B721" s="20" t="s">
        <v>32</v>
      </c>
      <c r="C721" s="20" t="s">
        <v>3650</v>
      </c>
      <c r="D721" s="21" t="s">
        <v>5722</v>
      </c>
      <c r="E721" s="20" t="s">
        <v>5723</v>
      </c>
      <c r="F721" s="20" t="s">
        <v>5724</v>
      </c>
      <c r="G721" s="20" t="n">
        <v>4.8</v>
      </c>
      <c r="H721" s="20" t="n">
        <v>89</v>
      </c>
    </row>
    <row r="722" customFormat="false" ht="15" hidden="false" customHeight="false" outlineLevel="0" collapsed="false">
      <c r="A722" s="20" t="s">
        <v>5725</v>
      </c>
      <c r="B722" s="20" t="s">
        <v>20</v>
      </c>
      <c r="C722" s="20" t="s">
        <v>287</v>
      </c>
      <c r="D722" s="21" t="s">
        <v>5726</v>
      </c>
      <c r="E722" s="20" t="s">
        <v>5727</v>
      </c>
      <c r="F722" s="20" t="s">
        <v>5728</v>
      </c>
      <c r="G722" s="20" t="n">
        <v>4.5</v>
      </c>
      <c r="H722" s="20" t="n">
        <v>110</v>
      </c>
    </row>
    <row r="723" customFormat="false" ht="23.85" hidden="false" customHeight="false" outlineLevel="0" collapsed="false">
      <c r="A723" s="20" t="s">
        <v>5729</v>
      </c>
      <c r="B723" s="20" t="s">
        <v>28</v>
      </c>
      <c r="C723" s="20" t="s">
        <v>934</v>
      </c>
      <c r="D723" s="21" t="s">
        <v>5730</v>
      </c>
      <c r="E723" s="20"/>
      <c r="F723" s="20"/>
      <c r="G723" s="20"/>
      <c r="H723" s="20"/>
    </row>
    <row r="724" customFormat="false" ht="23.85" hidden="false" customHeight="false" outlineLevel="0" collapsed="false">
      <c r="A724" s="20" t="s">
        <v>5731</v>
      </c>
      <c r="B724" s="20" t="s">
        <v>20</v>
      </c>
      <c r="C724" s="20" t="s">
        <v>2386</v>
      </c>
      <c r="D724" s="21" t="s">
        <v>5732</v>
      </c>
      <c r="E724" s="20"/>
      <c r="F724" s="20"/>
      <c r="G724" s="20" t="n">
        <v>4</v>
      </c>
      <c r="H724" s="20" t="n">
        <v>40</v>
      </c>
    </row>
    <row r="725" customFormat="false" ht="15" hidden="false" customHeight="false" outlineLevel="0" collapsed="false">
      <c r="A725" s="20" t="s">
        <v>5733</v>
      </c>
      <c r="B725" s="20" t="s">
        <v>30</v>
      </c>
      <c r="C725" s="20" t="s">
        <v>1336</v>
      </c>
      <c r="D725" s="21" t="s">
        <v>5734</v>
      </c>
      <c r="E725" s="20" t="s">
        <v>5735</v>
      </c>
      <c r="F725" s="20"/>
      <c r="G725" s="20"/>
      <c r="H725" s="20"/>
    </row>
    <row r="726" customFormat="false" ht="23.85" hidden="false" customHeight="false" outlineLevel="0" collapsed="false">
      <c r="A726" s="20" t="s">
        <v>5736</v>
      </c>
      <c r="B726" s="20" t="s">
        <v>34</v>
      </c>
      <c r="C726" s="20" t="s">
        <v>2157</v>
      </c>
      <c r="D726" s="21" t="s">
        <v>5737</v>
      </c>
      <c r="E726" s="20"/>
      <c r="F726" s="20"/>
      <c r="G726" s="20" t="n">
        <v>3.9</v>
      </c>
      <c r="H726" s="20" t="n">
        <v>360</v>
      </c>
    </row>
    <row r="727" customFormat="false" ht="15" hidden="false" customHeight="false" outlineLevel="0" collapsed="false">
      <c r="A727" s="20" t="s">
        <v>5738</v>
      </c>
      <c r="B727" s="20" t="s">
        <v>34</v>
      </c>
      <c r="C727" s="20" t="s">
        <v>2090</v>
      </c>
      <c r="D727" s="21" t="s">
        <v>5739</v>
      </c>
      <c r="E727" s="20" t="s">
        <v>5740</v>
      </c>
      <c r="F727" s="20"/>
      <c r="G727" s="20" t="n">
        <v>5</v>
      </c>
      <c r="H727" s="20" t="n">
        <v>1</v>
      </c>
    </row>
    <row r="728" customFormat="false" ht="23.85" hidden="false" customHeight="false" outlineLevel="0" collapsed="false">
      <c r="A728" s="20" t="s">
        <v>5741</v>
      </c>
      <c r="B728" s="20" t="s">
        <v>33</v>
      </c>
      <c r="C728" s="20" t="s">
        <v>719</v>
      </c>
      <c r="D728" s="21" t="s">
        <v>5742</v>
      </c>
      <c r="E728" s="20" t="s">
        <v>5743</v>
      </c>
      <c r="F728" s="20" t="s">
        <v>5744</v>
      </c>
      <c r="G728" s="20"/>
      <c r="H728" s="20"/>
    </row>
    <row r="729" customFormat="false" ht="23.85" hidden="false" customHeight="false" outlineLevel="0" collapsed="false">
      <c r="A729" s="20" t="s">
        <v>5745</v>
      </c>
      <c r="B729" s="20" t="s">
        <v>29</v>
      </c>
      <c r="C729" s="20" t="s">
        <v>1188</v>
      </c>
      <c r="D729" s="21" t="s">
        <v>5746</v>
      </c>
      <c r="E729" s="20" t="s">
        <v>5747</v>
      </c>
      <c r="F729" s="20"/>
      <c r="G729" s="20"/>
      <c r="H729" s="20"/>
    </row>
    <row r="730" customFormat="false" ht="15" hidden="false" customHeight="false" outlineLevel="0" collapsed="false">
      <c r="A730" s="20" t="s">
        <v>5748</v>
      </c>
      <c r="B730" s="20" t="s">
        <v>30</v>
      </c>
      <c r="C730" s="20" t="s">
        <v>1322</v>
      </c>
      <c r="D730" s="21" t="s">
        <v>4862</v>
      </c>
      <c r="E730" s="20" t="s">
        <v>5749</v>
      </c>
      <c r="F730" s="20"/>
      <c r="G730" s="20"/>
      <c r="H730" s="20"/>
    </row>
    <row r="731" customFormat="false" ht="15" hidden="false" customHeight="false" outlineLevel="0" collapsed="false">
      <c r="A731" s="20" t="s">
        <v>5750</v>
      </c>
      <c r="B731" s="20" t="s">
        <v>23</v>
      </c>
      <c r="C731" s="20" t="s">
        <v>655</v>
      </c>
      <c r="D731" s="21" t="s">
        <v>5751</v>
      </c>
      <c r="E731" s="20" t="s">
        <v>5752</v>
      </c>
      <c r="F731" s="20" t="s">
        <v>5753</v>
      </c>
      <c r="G731" s="20" t="n">
        <v>2.9</v>
      </c>
      <c r="H731" s="20" t="n">
        <v>297</v>
      </c>
    </row>
    <row r="732" customFormat="false" ht="23.85" hidden="false" customHeight="false" outlineLevel="0" collapsed="false">
      <c r="A732" s="20" t="s">
        <v>5754</v>
      </c>
      <c r="B732" s="20" t="s">
        <v>24</v>
      </c>
      <c r="C732" s="20" t="s">
        <v>715</v>
      </c>
      <c r="D732" s="21" t="s">
        <v>5755</v>
      </c>
      <c r="E732" s="20"/>
      <c r="F732" s="20"/>
      <c r="G732" s="20"/>
      <c r="H732" s="20"/>
    </row>
    <row r="733" customFormat="false" ht="15" hidden="false" customHeight="false" outlineLevel="0" collapsed="false">
      <c r="A733" s="20" t="s">
        <v>5756</v>
      </c>
      <c r="B733" s="20" t="s">
        <v>23</v>
      </c>
      <c r="C733" s="20" t="s">
        <v>4229</v>
      </c>
      <c r="D733" s="21" t="s">
        <v>5757</v>
      </c>
      <c r="E733" s="20" t="s">
        <v>5758</v>
      </c>
      <c r="F733" s="20" t="s">
        <v>5759</v>
      </c>
      <c r="G733" s="20" t="n">
        <v>5</v>
      </c>
      <c r="H733" s="20" t="n">
        <v>22</v>
      </c>
    </row>
    <row r="734" customFormat="false" ht="15" hidden="false" customHeight="false" outlineLevel="0" collapsed="false">
      <c r="A734" s="20" t="s">
        <v>5760</v>
      </c>
      <c r="B734" s="20" t="s">
        <v>32</v>
      </c>
      <c r="C734" s="20" t="s">
        <v>3650</v>
      </c>
      <c r="D734" s="21" t="s">
        <v>5761</v>
      </c>
      <c r="E734" s="20" t="s">
        <v>5762</v>
      </c>
      <c r="F734" s="20"/>
      <c r="G734" s="20"/>
      <c r="H734" s="20"/>
    </row>
    <row r="735" customFormat="false" ht="23.85" hidden="false" customHeight="false" outlineLevel="0" collapsed="false">
      <c r="A735" s="20" t="s">
        <v>5763</v>
      </c>
      <c r="B735" s="20" t="s">
        <v>27</v>
      </c>
      <c r="C735" s="20" t="s">
        <v>4345</v>
      </c>
      <c r="D735" s="21" t="s">
        <v>5764</v>
      </c>
      <c r="E735" s="20" t="s">
        <v>5765</v>
      </c>
      <c r="F735" s="20" t="s">
        <v>5766</v>
      </c>
      <c r="G735" s="20" t="n">
        <v>4.4</v>
      </c>
      <c r="H735" s="20" t="n">
        <v>24</v>
      </c>
    </row>
    <row r="736" customFormat="false" ht="23.85" hidden="false" customHeight="false" outlineLevel="0" collapsed="false">
      <c r="A736" s="20" t="s">
        <v>5767</v>
      </c>
      <c r="B736" s="20" t="s">
        <v>27</v>
      </c>
      <c r="C736" s="20" t="s">
        <v>850</v>
      </c>
      <c r="D736" s="21" t="s">
        <v>5768</v>
      </c>
      <c r="E736" s="20" t="s">
        <v>5769</v>
      </c>
      <c r="F736" s="20"/>
      <c r="G736" s="20" t="n">
        <v>5</v>
      </c>
      <c r="H736" s="20" t="n">
        <v>2</v>
      </c>
    </row>
    <row r="737" customFormat="false" ht="23.85" hidden="false" customHeight="false" outlineLevel="0" collapsed="false">
      <c r="A737" s="20" t="s">
        <v>5770</v>
      </c>
      <c r="B737" s="20" t="s">
        <v>32</v>
      </c>
      <c r="C737" s="20" t="s">
        <v>1734</v>
      </c>
      <c r="D737" s="21" t="s">
        <v>5771</v>
      </c>
      <c r="E737" s="20" t="s">
        <v>5772</v>
      </c>
      <c r="F737" s="20" t="s">
        <v>5773</v>
      </c>
      <c r="G737" s="20" t="n">
        <v>4.2</v>
      </c>
      <c r="H737" s="20" t="n">
        <v>41</v>
      </c>
    </row>
    <row r="738" customFormat="false" ht="15" hidden="false" customHeight="false" outlineLevel="0" collapsed="false">
      <c r="A738" s="20" t="s">
        <v>5774</v>
      </c>
      <c r="B738" s="20" t="s">
        <v>33</v>
      </c>
      <c r="C738" s="20" t="s">
        <v>1991</v>
      </c>
      <c r="D738" s="21" t="s">
        <v>5775</v>
      </c>
      <c r="E738" s="20"/>
      <c r="F738" s="20"/>
      <c r="G738" s="20" t="n">
        <v>3</v>
      </c>
      <c r="H738" s="20" t="n">
        <v>2</v>
      </c>
    </row>
    <row r="739" customFormat="false" ht="23.85" hidden="false" customHeight="false" outlineLevel="0" collapsed="false">
      <c r="A739" s="20" t="s">
        <v>5776</v>
      </c>
      <c r="B739" s="20" t="s">
        <v>32</v>
      </c>
      <c r="C739" s="20" t="s">
        <v>1757</v>
      </c>
      <c r="D739" s="21" t="s">
        <v>5777</v>
      </c>
      <c r="E739" s="20" t="s">
        <v>5778</v>
      </c>
      <c r="F739" s="20" t="s">
        <v>5779</v>
      </c>
      <c r="G739" s="20" t="n">
        <v>5</v>
      </c>
      <c r="H739" s="20" t="n">
        <v>4</v>
      </c>
    </row>
    <row r="740" customFormat="false" ht="23.85" hidden="false" customHeight="false" outlineLevel="0" collapsed="false">
      <c r="A740" s="20" t="s">
        <v>5780</v>
      </c>
      <c r="B740" s="20" t="s">
        <v>25</v>
      </c>
      <c r="C740" s="20" t="s">
        <v>738</v>
      </c>
      <c r="D740" s="21" t="s">
        <v>5781</v>
      </c>
      <c r="E740" s="20"/>
      <c r="F740" s="20"/>
      <c r="G740" s="20"/>
      <c r="H740" s="20"/>
    </row>
    <row r="741" customFormat="false" ht="23.85" hidden="false" customHeight="false" outlineLevel="0" collapsed="false">
      <c r="A741" s="20" t="s">
        <v>5782</v>
      </c>
      <c r="B741" s="20" t="s">
        <v>30</v>
      </c>
      <c r="C741" s="20" t="s">
        <v>1479</v>
      </c>
      <c r="D741" s="21" t="s">
        <v>5783</v>
      </c>
      <c r="E741" s="20" t="s">
        <v>5784</v>
      </c>
      <c r="F741" s="20"/>
      <c r="G741" s="20" t="n">
        <v>3.5</v>
      </c>
      <c r="H741" s="20" t="n">
        <v>2</v>
      </c>
    </row>
    <row r="742" customFormat="false" ht="15" hidden="false" customHeight="false" outlineLevel="0" collapsed="false">
      <c r="A742" s="20" t="s">
        <v>5785</v>
      </c>
      <c r="B742" s="20" t="s">
        <v>23</v>
      </c>
      <c r="C742" s="20" t="s">
        <v>4229</v>
      </c>
      <c r="D742" s="21" t="s">
        <v>5786</v>
      </c>
      <c r="E742" s="20" t="s">
        <v>5787</v>
      </c>
      <c r="F742" s="20"/>
      <c r="G742" s="20" t="n">
        <v>4.8</v>
      </c>
      <c r="H742" s="20" t="n">
        <v>4</v>
      </c>
    </row>
    <row r="743" customFormat="false" ht="23.85" hidden="false" customHeight="false" outlineLevel="0" collapsed="false">
      <c r="A743" s="20" t="s">
        <v>5788</v>
      </c>
      <c r="B743" s="20" t="s">
        <v>24</v>
      </c>
      <c r="C743" s="20" t="s">
        <v>715</v>
      </c>
      <c r="D743" s="21" t="s">
        <v>5789</v>
      </c>
      <c r="E743" s="20" t="s">
        <v>5790</v>
      </c>
      <c r="F743" s="20" t="s">
        <v>5791</v>
      </c>
      <c r="G743" s="20" t="n">
        <v>4.9</v>
      </c>
      <c r="H743" s="20" t="n">
        <v>95</v>
      </c>
    </row>
    <row r="744" customFormat="false" ht="23.85" hidden="false" customHeight="false" outlineLevel="0" collapsed="false">
      <c r="A744" s="20" t="s">
        <v>5792</v>
      </c>
      <c r="B744" s="20" t="s">
        <v>35</v>
      </c>
      <c r="C744" s="20" t="s">
        <v>2202</v>
      </c>
      <c r="D744" s="21" t="s">
        <v>5793</v>
      </c>
      <c r="E744" s="20" t="s">
        <v>5794</v>
      </c>
      <c r="F744" s="20"/>
      <c r="G744" s="20"/>
      <c r="H744" s="20"/>
    </row>
    <row r="745" customFormat="false" ht="23.85" hidden="false" customHeight="false" outlineLevel="0" collapsed="false">
      <c r="A745" s="20" t="s">
        <v>5795</v>
      </c>
      <c r="B745" s="20" t="s">
        <v>31</v>
      </c>
      <c r="C745" s="20" t="s">
        <v>3150</v>
      </c>
      <c r="D745" s="21" t="s">
        <v>5796</v>
      </c>
      <c r="E745" s="20" t="s">
        <v>5797</v>
      </c>
      <c r="F745" s="20" t="s">
        <v>5798</v>
      </c>
      <c r="G745" s="20" t="n">
        <v>4.8</v>
      </c>
      <c r="H745" s="20" t="n">
        <v>4</v>
      </c>
    </row>
    <row r="746" customFormat="false" ht="23.85" hidden="false" customHeight="false" outlineLevel="0" collapsed="false">
      <c r="A746" s="20" t="s">
        <v>5799</v>
      </c>
      <c r="B746" s="20" t="s">
        <v>22</v>
      </c>
      <c r="C746" s="20" t="s">
        <v>540</v>
      </c>
      <c r="D746" s="21" t="s">
        <v>5800</v>
      </c>
      <c r="E746" s="20"/>
      <c r="F746" s="20"/>
      <c r="G746" s="20"/>
      <c r="H746" s="20"/>
    </row>
    <row r="747" customFormat="false" ht="23.85" hidden="false" customHeight="false" outlineLevel="0" collapsed="false">
      <c r="A747" s="20" t="s">
        <v>5801</v>
      </c>
      <c r="B747" s="20" t="s">
        <v>20</v>
      </c>
      <c r="C747" s="20" t="s">
        <v>2386</v>
      </c>
      <c r="D747" s="21" t="s">
        <v>5802</v>
      </c>
      <c r="E747" s="20" t="s">
        <v>5803</v>
      </c>
      <c r="F747" s="20" t="s">
        <v>5804</v>
      </c>
      <c r="G747" s="20" t="n">
        <v>4.6</v>
      </c>
      <c r="H747" s="20" t="n">
        <v>336</v>
      </c>
    </row>
    <row r="748" customFormat="false" ht="15" hidden="false" customHeight="false" outlineLevel="0" collapsed="false">
      <c r="A748" s="20" t="s">
        <v>5805</v>
      </c>
      <c r="B748" s="20" t="s">
        <v>30</v>
      </c>
      <c r="C748" s="20" t="s">
        <v>1336</v>
      </c>
      <c r="D748" s="21" t="s">
        <v>5806</v>
      </c>
      <c r="E748" s="20" t="s">
        <v>5807</v>
      </c>
      <c r="F748" s="20"/>
      <c r="G748" s="20"/>
      <c r="H748" s="20"/>
    </row>
    <row r="749" customFormat="false" ht="23.85" hidden="false" customHeight="false" outlineLevel="0" collapsed="false">
      <c r="A749" s="20" t="s">
        <v>5808</v>
      </c>
      <c r="B749" s="20" t="s">
        <v>35</v>
      </c>
      <c r="C749" s="20" t="s">
        <v>2205</v>
      </c>
      <c r="D749" s="21" t="s">
        <v>5809</v>
      </c>
      <c r="E749" s="20" t="s">
        <v>5810</v>
      </c>
      <c r="F749" s="20"/>
      <c r="G749" s="20" t="n">
        <v>5</v>
      </c>
      <c r="H749" s="20" t="n">
        <v>1</v>
      </c>
    </row>
    <row r="750" customFormat="false" ht="23.85" hidden="false" customHeight="false" outlineLevel="0" collapsed="false">
      <c r="A750" s="20" t="s">
        <v>5811</v>
      </c>
      <c r="B750" s="20" t="s">
        <v>29</v>
      </c>
      <c r="C750" s="20" t="s">
        <v>1188</v>
      </c>
      <c r="D750" s="21" t="s">
        <v>5812</v>
      </c>
      <c r="E750" s="20" t="s">
        <v>5813</v>
      </c>
      <c r="F750" s="20"/>
      <c r="G750" s="20"/>
      <c r="H750" s="20"/>
    </row>
    <row r="751" customFormat="false" ht="23.85" hidden="false" customHeight="false" outlineLevel="0" collapsed="false">
      <c r="A751" s="20" t="s">
        <v>5814</v>
      </c>
      <c r="B751" s="20" t="s">
        <v>30</v>
      </c>
      <c r="C751" s="20" t="s">
        <v>1322</v>
      </c>
      <c r="D751" s="21" t="s">
        <v>5815</v>
      </c>
      <c r="E751" s="20" t="s">
        <v>5816</v>
      </c>
      <c r="F751" s="20"/>
      <c r="G751" s="20"/>
      <c r="H751" s="20"/>
    </row>
    <row r="752" customFormat="false" ht="15" hidden="false" customHeight="false" outlineLevel="0" collapsed="false">
      <c r="A752" s="20" t="s">
        <v>5817</v>
      </c>
      <c r="B752" s="20" t="s">
        <v>26</v>
      </c>
      <c r="C752" s="20" t="s">
        <v>811</v>
      </c>
      <c r="D752" s="21" t="s">
        <v>5818</v>
      </c>
      <c r="E752" s="20" t="s">
        <v>5819</v>
      </c>
      <c r="F752" s="20"/>
      <c r="G752" s="20"/>
      <c r="H752" s="20"/>
    </row>
    <row r="753" customFormat="false" ht="15" hidden="false" customHeight="false" outlineLevel="0" collapsed="false">
      <c r="A753" s="20" t="s">
        <v>5820</v>
      </c>
      <c r="B753" s="20" t="s">
        <v>32</v>
      </c>
      <c r="C753" s="20" t="s">
        <v>3588</v>
      </c>
      <c r="D753" s="21" t="s">
        <v>5821</v>
      </c>
      <c r="E753" s="20" t="s">
        <v>5822</v>
      </c>
      <c r="F753" s="20" t="s">
        <v>5823</v>
      </c>
      <c r="G753" s="20" t="n">
        <v>4.8</v>
      </c>
      <c r="H753" s="20" t="n">
        <v>180</v>
      </c>
    </row>
    <row r="754" customFormat="false" ht="15" hidden="false" customHeight="false" outlineLevel="0" collapsed="false">
      <c r="A754" s="20" t="s">
        <v>5824</v>
      </c>
      <c r="B754" s="20" t="s">
        <v>34</v>
      </c>
      <c r="C754" s="20" t="s">
        <v>2084</v>
      </c>
      <c r="D754" s="21" t="s">
        <v>5825</v>
      </c>
      <c r="E754" s="20" t="s">
        <v>5826</v>
      </c>
      <c r="F754" s="20"/>
      <c r="G754" s="20" t="n">
        <v>5</v>
      </c>
      <c r="H754" s="20" t="n">
        <v>1</v>
      </c>
    </row>
    <row r="755" customFormat="false" ht="23.85" hidden="false" customHeight="false" outlineLevel="0" collapsed="false">
      <c r="A755" s="20" t="s">
        <v>5827</v>
      </c>
      <c r="B755" s="20" t="s">
        <v>28</v>
      </c>
      <c r="C755" s="20" t="s">
        <v>1076</v>
      </c>
      <c r="D755" s="21" t="s">
        <v>5828</v>
      </c>
      <c r="E755" s="20" t="s">
        <v>5829</v>
      </c>
      <c r="F755" s="20"/>
      <c r="G755" s="20"/>
      <c r="H755" s="20"/>
    </row>
    <row r="756" customFormat="false" ht="23.85" hidden="false" customHeight="false" outlineLevel="0" collapsed="false">
      <c r="A756" s="20" t="s">
        <v>5830</v>
      </c>
      <c r="B756" s="20" t="s">
        <v>35</v>
      </c>
      <c r="C756" s="20" t="s">
        <v>2202</v>
      </c>
      <c r="D756" s="21" t="s">
        <v>5831</v>
      </c>
      <c r="E756" s="20" t="s">
        <v>5832</v>
      </c>
      <c r="F756" s="20"/>
      <c r="G756" s="20"/>
      <c r="H756" s="20"/>
    </row>
    <row r="757" customFormat="false" ht="23.85" hidden="false" customHeight="false" outlineLevel="0" collapsed="false">
      <c r="A757" s="20" t="s">
        <v>5833</v>
      </c>
      <c r="B757" s="20" t="s">
        <v>26</v>
      </c>
      <c r="C757" s="20" t="s">
        <v>3743</v>
      </c>
      <c r="D757" s="21" t="s">
        <v>5834</v>
      </c>
      <c r="E757" s="20" t="s">
        <v>5835</v>
      </c>
      <c r="F757" s="20"/>
      <c r="G757" s="20" t="n">
        <v>4</v>
      </c>
      <c r="H757" s="20" t="n">
        <v>1</v>
      </c>
    </row>
    <row r="758" customFormat="false" ht="23.85" hidden="false" customHeight="false" outlineLevel="0" collapsed="false">
      <c r="A758" s="20" t="s">
        <v>5836</v>
      </c>
      <c r="B758" s="20" t="s">
        <v>23</v>
      </c>
      <c r="C758" s="20" t="s">
        <v>4229</v>
      </c>
      <c r="D758" s="21" t="s">
        <v>5837</v>
      </c>
      <c r="E758" s="20" t="s">
        <v>5838</v>
      </c>
      <c r="F758" s="20" t="s">
        <v>5839</v>
      </c>
      <c r="G758" s="20" t="n">
        <v>4.5</v>
      </c>
      <c r="H758" s="20" t="n">
        <v>139</v>
      </c>
    </row>
    <row r="759" customFormat="false" ht="23.85" hidden="false" customHeight="false" outlineLevel="0" collapsed="false">
      <c r="A759" s="20" t="s">
        <v>5840</v>
      </c>
      <c r="B759" s="20" t="s">
        <v>28</v>
      </c>
      <c r="C759" s="20" t="s">
        <v>934</v>
      </c>
      <c r="D759" s="21" t="s">
        <v>5841</v>
      </c>
      <c r="E759" s="20" t="s">
        <v>5842</v>
      </c>
      <c r="F759" s="20"/>
      <c r="G759" s="20" t="n">
        <v>5</v>
      </c>
      <c r="H759" s="20" t="n">
        <v>1</v>
      </c>
    </row>
    <row r="760" customFormat="false" ht="15" hidden="false" customHeight="false" outlineLevel="0" collapsed="false">
      <c r="A760" s="20" t="s">
        <v>5843</v>
      </c>
      <c r="B760" s="20" t="s">
        <v>30</v>
      </c>
      <c r="C760" s="20" t="s">
        <v>1330</v>
      </c>
      <c r="D760" s="21" t="s">
        <v>5522</v>
      </c>
      <c r="E760" s="20" t="s">
        <v>5844</v>
      </c>
      <c r="F760" s="20"/>
      <c r="G760" s="20"/>
      <c r="H760" s="20"/>
    </row>
    <row r="761" customFormat="false" ht="23.85" hidden="false" customHeight="false" outlineLevel="0" collapsed="false">
      <c r="A761" s="20" t="s">
        <v>5845</v>
      </c>
      <c r="B761" s="20" t="s">
        <v>26</v>
      </c>
      <c r="C761" s="20" t="s">
        <v>2825</v>
      </c>
      <c r="D761" s="21" t="s">
        <v>5846</v>
      </c>
      <c r="E761" s="20" t="s">
        <v>5847</v>
      </c>
      <c r="F761" s="20" t="s">
        <v>5848</v>
      </c>
      <c r="G761" s="20"/>
      <c r="H761" s="20"/>
    </row>
    <row r="762" customFormat="false" ht="23.85" hidden="false" customHeight="false" outlineLevel="0" collapsed="false">
      <c r="A762" s="20" t="s">
        <v>5849</v>
      </c>
      <c r="B762" s="20" t="s">
        <v>29</v>
      </c>
      <c r="C762" s="20" t="s">
        <v>1188</v>
      </c>
      <c r="D762" s="21" t="s">
        <v>5850</v>
      </c>
      <c r="E762" s="20" t="s">
        <v>5851</v>
      </c>
      <c r="F762" s="20"/>
      <c r="G762" s="20"/>
      <c r="H762" s="20"/>
    </row>
    <row r="763" customFormat="false" ht="23.85" hidden="false" customHeight="false" outlineLevel="0" collapsed="false">
      <c r="A763" s="20" t="s">
        <v>5852</v>
      </c>
      <c r="B763" s="20" t="s">
        <v>33</v>
      </c>
      <c r="C763" s="20" t="s">
        <v>1991</v>
      </c>
      <c r="D763" s="21" t="s">
        <v>5853</v>
      </c>
      <c r="E763" s="20" t="s">
        <v>5854</v>
      </c>
      <c r="F763" s="20"/>
      <c r="G763" s="20"/>
      <c r="H763" s="20"/>
    </row>
    <row r="764" customFormat="false" ht="23.85" hidden="false" customHeight="false" outlineLevel="0" collapsed="false">
      <c r="A764" s="20" t="s">
        <v>5855</v>
      </c>
      <c r="B764" s="20" t="s">
        <v>30</v>
      </c>
      <c r="C764" s="20" t="s">
        <v>5856</v>
      </c>
      <c r="D764" s="21" t="s">
        <v>5857</v>
      </c>
      <c r="E764" s="20" t="s">
        <v>5858</v>
      </c>
      <c r="F764" s="20"/>
      <c r="G764" s="20" t="n">
        <v>1</v>
      </c>
      <c r="H764" s="20" t="n">
        <v>1</v>
      </c>
    </row>
    <row r="765" customFormat="false" ht="15" hidden="false" customHeight="false" outlineLevel="0" collapsed="false">
      <c r="A765" s="20" t="s">
        <v>5859</v>
      </c>
      <c r="B765" s="20" t="s">
        <v>23</v>
      </c>
      <c r="C765" s="20" t="s">
        <v>597</v>
      </c>
      <c r="D765" s="21" t="s">
        <v>5860</v>
      </c>
      <c r="E765" s="20" t="s">
        <v>5861</v>
      </c>
      <c r="F765" s="20"/>
      <c r="G765" s="20" t="n">
        <v>4.5</v>
      </c>
      <c r="H765" s="20" t="n">
        <v>8</v>
      </c>
    </row>
    <row r="766" customFormat="false" ht="15" hidden="false" customHeight="false" outlineLevel="0" collapsed="false">
      <c r="A766" s="20" t="s">
        <v>5862</v>
      </c>
      <c r="B766" s="20" t="s">
        <v>26</v>
      </c>
      <c r="C766" s="20" t="s">
        <v>5863</v>
      </c>
      <c r="D766" s="21" t="s">
        <v>5864</v>
      </c>
      <c r="E766" s="20" t="s">
        <v>5865</v>
      </c>
      <c r="F766" s="20" t="s">
        <v>5866</v>
      </c>
      <c r="G766" s="20"/>
      <c r="H766" s="20"/>
    </row>
    <row r="767" customFormat="false" ht="23.85" hidden="false" customHeight="false" outlineLevel="0" collapsed="false">
      <c r="A767" s="20" t="s">
        <v>5867</v>
      </c>
      <c r="B767" s="20" t="s">
        <v>25</v>
      </c>
      <c r="C767" s="20" t="s">
        <v>2100</v>
      </c>
      <c r="D767" s="21" t="s">
        <v>5868</v>
      </c>
      <c r="E767" s="20" t="s">
        <v>5869</v>
      </c>
      <c r="F767" s="20" t="s">
        <v>5870</v>
      </c>
      <c r="G767" s="20" t="n">
        <v>5</v>
      </c>
      <c r="H767" s="20" t="n">
        <v>2</v>
      </c>
    </row>
    <row r="768" customFormat="false" ht="23.85" hidden="false" customHeight="false" outlineLevel="0" collapsed="false">
      <c r="A768" s="20" t="s">
        <v>5871</v>
      </c>
      <c r="B768" s="20" t="s">
        <v>28</v>
      </c>
      <c r="C768" s="20" t="s">
        <v>892</v>
      </c>
      <c r="D768" s="21" t="s">
        <v>5872</v>
      </c>
      <c r="E768" s="20" t="s">
        <v>5873</v>
      </c>
      <c r="F768" s="20"/>
      <c r="G768" s="20"/>
      <c r="H768" s="20"/>
    </row>
    <row r="769" customFormat="false" ht="23.85" hidden="false" customHeight="false" outlineLevel="0" collapsed="false">
      <c r="A769" s="20" t="s">
        <v>5874</v>
      </c>
      <c r="B769" s="20" t="s">
        <v>25</v>
      </c>
      <c r="C769" s="20" t="s">
        <v>738</v>
      </c>
      <c r="D769" s="21" t="s">
        <v>5875</v>
      </c>
      <c r="E769" s="20" t="s">
        <v>5876</v>
      </c>
      <c r="F769" s="20"/>
      <c r="G769" s="20" t="n">
        <v>5</v>
      </c>
      <c r="H769" s="20" t="n">
        <v>1</v>
      </c>
    </row>
    <row r="770" customFormat="false" ht="15" hidden="false" customHeight="false" outlineLevel="0" collapsed="false">
      <c r="A770" s="20" t="s">
        <v>5877</v>
      </c>
      <c r="B770" s="20" t="s">
        <v>32</v>
      </c>
      <c r="C770" s="20" t="s">
        <v>1776</v>
      </c>
      <c r="D770" s="21" t="s">
        <v>5878</v>
      </c>
      <c r="E770" s="20" t="s">
        <v>5879</v>
      </c>
      <c r="F770" s="20" t="s">
        <v>5880</v>
      </c>
      <c r="G770" s="20" t="n">
        <v>4.7</v>
      </c>
      <c r="H770" s="20" t="n">
        <v>3</v>
      </c>
    </row>
    <row r="771" customFormat="false" ht="15" hidden="false" customHeight="false" outlineLevel="0" collapsed="false">
      <c r="A771" s="20" t="s">
        <v>5881</v>
      </c>
      <c r="B771" s="20" t="s">
        <v>28</v>
      </c>
      <c r="C771" s="20" t="s">
        <v>907</v>
      </c>
      <c r="D771" s="21" t="s">
        <v>5882</v>
      </c>
      <c r="E771" s="20" t="s">
        <v>5883</v>
      </c>
      <c r="F771" s="20"/>
      <c r="G771" s="20" t="n">
        <v>2</v>
      </c>
      <c r="H771" s="20" t="n">
        <v>2</v>
      </c>
    </row>
    <row r="772" customFormat="false" ht="15" hidden="false" customHeight="false" outlineLevel="0" collapsed="false">
      <c r="A772" s="20" t="s">
        <v>5884</v>
      </c>
      <c r="B772" s="20" t="s">
        <v>34</v>
      </c>
      <c r="C772" s="20" t="s">
        <v>2073</v>
      </c>
      <c r="D772" s="21" t="s">
        <v>5885</v>
      </c>
      <c r="E772" s="20"/>
      <c r="F772" s="20"/>
      <c r="G772" s="20"/>
      <c r="H772" s="20"/>
    </row>
    <row r="773" customFormat="false" ht="23.85" hidden="false" customHeight="false" outlineLevel="0" collapsed="false">
      <c r="A773" s="20" t="s">
        <v>5886</v>
      </c>
      <c r="B773" s="20" t="s">
        <v>34</v>
      </c>
      <c r="C773" s="20" t="s">
        <v>2090</v>
      </c>
      <c r="D773" s="21" t="s">
        <v>5887</v>
      </c>
      <c r="E773" s="20" t="s">
        <v>5888</v>
      </c>
      <c r="F773" s="20"/>
      <c r="G773" s="20" t="n">
        <v>5</v>
      </c>
      <c r="H773" s="20" t="n">
        <v>1</v>
      </c>
    </row>
    <row r="774" customFormat="false" ht="23.85" hidden="false" customHeight="false" outlineLevel="0" collapsed="false">
      <c r="A774" s="20" t="s">
        <v>5889</v>
      </c>
      <c r="B774" s="20" t="s">
        <v>33</v>
      </c>
      <c r="C774" s="20" t="s">
        <v>719</v>
      </c>
      <c r="D774" s="21" t="s">
        <v>5890</v>
      </c>
      <c r="E774" s="20"/>
      <c r="F774" s="20"/>
      <c r="G774" s="20"/>
      <c r="H774" s="20"/>
    </row>
    <row r="775" customFormat="false" ht="23.85" hidden="false" customHeight="false" outlineLevel="0" collapsed="false">
      <c r="A775" s="20" t="s">
        <v>5891</v>
      </c>
      <c r="B775" s="20" t="s">
        <v>29</v>
      </c>
      <c r="C775" s="20" t="s">
        <v>1188</v>
      </c>
      <c r="D775" s="21" t="s">
        <v>5892</v>
      </c>
      <c r="E775" s="20" t="s">
        <v>5893</v>
      </c>
      <c r="F775" s="20"/>
      <c r="G775" s="20"/>
      <c r="H775" s="20"/>
    </row>
    <row r="776" customFormat="false" ht="15" hidden="false" customHeight="false" outlineLevel="0" collapsed="false">
      <c r="A776" s="20" t="s">
        <v>5894</v>
      </c>
      <c r="B776" s="20" t="s">
        <v>21</v>
      </c>
      <c r="C776" s="20" t="s">
        <v>347</v>
      </c>
      <c r="D776" s="21" t="s">
        <v>5895</v>
      </c>
      <c r="E776" s="20" t="s">
        <v>5896</v>
      </c>
      <c r="F776" s="20"/>
      <c r="G776" s="20"/>
      <c r="H776" s="20"/>
    </row>
    <row r="777" customFormat="false" ht="23.85" hidden="false" customHeight="false" outlineLevel="0" collapsed="false">
      <c r="A777" s="20" t="s">
        <v>5897</v>
      </c>
      <c r="B777" s="20" t="s">
        <v>30</v>
      </c>
      <c r="C777" s="20" t="s">
        <v>1377</v>
      </c>
      <c r="D777" s="21" t="s">
        <v>5898</v>
      </c>
      <c r="E777" s="20" t="s">
        <v>5899</v>
      </c>
      <c r="F777" s="20"/>
      <c r="G777" s="20" t="n">
        <v>5</v>
      </c>
      <c r="H777" s="20" t="n">
        <v>1</v>
      </c>
    </row>
    <row r="778" customFormat="false" ht="23.85" hidden="false" customHeight="false" outlineLevel="0" collapsed="false">
      <c r="A778" s="20" t="s">
        <v>5900</v>
      </c>
      <c r="B778" s="20" t="s">
        <v>34</v>
      </c>
      <c r="C778" s="20" t="s">
        <v>2157</v>
      </c>
      <c r="D778" s="21" t="s">
        <v>5901</v>
      </c>
      <c r="E778" s="20" t="s">
        <v>5902</v>
      </c>
      <c r="F778" s="20"/>
      <c r="G778" s="20" t="n">
        <v>4.1</v>
      </c>
      <c r="H778" s="20" t="n">
        <v>46</v>
      </c>
    </row>
    <row r="779" customFormat="false" ht="23.85" hidden="false" customHeight="false" outlineLevel="0" collapsed="false">
      <c r="A779" s="20" t="s">
        <v>5903</v>
      </c>
      <c r="B779" s="20" t="s">
        <v>19</v>
      </c>
      <c r="C779" s="20" t="s">
        <v>3637</v>
      </c>
      <c r="D779" s="21" t="s">
        <v>5904</v>
      </c>
      <c r="E779" s="20" t="s">
        <v>5905</v>
      </c>
      <c r="F779" s="20"/>
      <c r="G779" s="20" t="n">
        <v>3.8</v>
      </c>
      <c r="H779" s="20" t="n">
        <v>52</v>
      </c>
    </row>
    <row r="780" customFormat="false" ht="15" hidden="false" customHeight="false" outlineLevel="0" collapsed="false">
      <c r="A780" s="20" t="s">
        <v>5906</v>
      </c>
      <c r="B780" s="20" t="s">
        <v>30</v>
      </c>
      <c r="C780" s="20" t="s">
        <v>5907</v>
      </c>
      <c r="D780" s="21" t="s">
        <v>5908</v>
      </c>
      <c r="E780" s="20" t="s">
        <v>5909</v>
      </c>
      <c r="F780" s="20"/>
      <c r="G780" s="20" t="n">
        <v>4.5</v>
      </c>
      <c r="H780" s="20" t="n">
        <v>8</v>
      </c>
    </row>
    <row r="781" customFormat="false" ht="15" hidden="false" customHeight="false" outlineLevel="0" collapsed="false">
      <c r="A781" s="20" t="s">
        <v>5910</v>
      </c>
      <c r="B781" s="20" t="s">
        <v>24</v>
      </c>
      <c r="C781" s="20" t="s">
        <v>715</v>
      </c>
      <c r="D781" s="21" t="s">
        <v>5911</v>
      </c>
      <c r="E781" s="20" t="s">
        <v>5912</v>
      </c>
      <c r="F781" s="20" t="s">
        <v>5913</v>
      </c>
      <c r="G781" s="20" t="n">
        <v>4.8</v>
      </c>
      <c r="H781" s="20" t="n">
        <v>80</v>
      </c>
    </row>
    <row r="782" customFormat="false" ht="23.85" hidden="false" customHeight="false" outlineLevel="0" collapsed="false">
      <c r="A782" s="20" t="s">
        <v>5914</v>
      </c>
      <c r="B782" s="20" t="s">
        <v>26</v>
      </c>
      <c r="C782" s="20" t="s">
        <v>3700</v>
      </c>
      <c r="D782" s="21" t="s">
        <v>5915</v>
      </c>
      <c r="E782" s="20"/>
      <c r="F782" s="20"/>
      <c r="G782" s="20"/>
      <c r="H782" s="20"/>
    </row>
    <row r="783" customFormat="false" ht="23.85" hidden="false" customHeight="false" outlineLevel="0" collapsed="false">
      <c r="A783" s="20" t="s">
        <v>5916</v>
      </c>
      <c r="B783" s="20" t="s">
        <v>28</v>
      </c>
      <c r="C783" s="20" t="s">
        <v>901</v>
      </c>
      <c r="D783" s="21" t="s">
        <v>5917</v>
      </c>
      <c r="E783" s="20" t="s">
        <v>5918</v>
      </c>
      <c r="F783" s="20"/>
      <c r="G783" s="20"/>
      <c r="H783" s="20"/>
    </row>
    <row r="784" customFormat="false" ht="23.85" hidden="false" customHeight="false" outlineLevel="0" collapsed="false">
      <c r="A784" s="20" t="s">
        <v>5919</v>
      </c>
      <c r="B784" s="20" t="s">
        <v>28</v>
      </c>
      <c r="C784" s="20" t="s">
        <v>901</v>
      </c>
      <c r="D784" s="21" t="s">
        <v>5920</v>
      </c>
      <c r="E784" s="20" t="s">
        <v>5921</v>
      </c>
      <c r="F784" s="20"/>
      <c r="G784" s="20" t="n">
        <v>5</v>
      </c>
      <c r="H784" s="20" t="n">
        <v>1</v>
      </c>
    </row>
    <row r="785" customFormat="false" ht="23.85" hidden="false" customHeight="false" outlineLevel="0" collapsed="false">
      <c r="A785" s="20" t="s">
        <v>5922</v>
      </c>
      <c r="B785" s="20" t="s">
        <v>29</v>
      </c>
      <c r="C785" s="20" t="s">
        <v>1312</v>
      </c>
      <c r="D785" s="21" t="s">
        <v>5508</v>
      </c>
      <c r="E785" s="20" t="s">
        <v>5923</v>
      </c>
      <c r="F785" s="20"/>
      <c r="G785" s="20"/>
      <c r="H785" s="20"/>
    </row>
    <row r="786" customFormat="false" ht="23.85" hidden="false" customHeight="false" outlineLevel="0" collapsed="false">
      <c r="A786" s="20" t="s">
        <v>5924</v>
      </c>
      <c r="B786" s="20" t="s">
        <v>34</v>
      </c>
      <c r="C786" s="20" t="s">
        <v>2090</v>
      </c>
      <c r="D786" s="21" t="s">
        <v>5925</v>
      </c>
      <c r="E786" s="20" t="s">
        <v>5926</v>
      </c>
      <c r="F786" s="20"/>
      <c r="G786" s="20"/>
      <c r="H786" s="20"/>
    </row>
    <row r="787" customFormat="false" ht="23.85" hidden="false" customHeight="false" outlineLevel="0" collapsed="false">
      <c r="A787" s="20" t="s">
        <v>5927</v>
      </c>
      <c r="B787" s="20" t="s">
        <v>24</v>
      </c>
      <c r="C787" s="20" t="s">
        <v>715</v>
      </c>
      <c r="D787" s="21" t="s">
        <v>5928</v>
      </c>
      <c r="E787" s="20" t="s">
        <v>5929</v>
      </c>
      <c r="F787" s="20" t="s">
        <v>5930</v>
      </c>
      <c r="G787" s="20" t="n">
        <v>4.9</v>
      </c>
      <c r="H787" s="20" t="n">
        <v>277</v>
      </c>
    </row>
    <row r="788" customFormat="false" ht="23.85" hidden="false" customHeight="false" outlineLevel="0" collapsed="false">
      <c r="A788" s="20" t="s">
        <v>5931</v>
      </c>
      <c r="B788" s="20" t="s">
        <v>24</v>
      </c>
      <c r="C788" s="20" t="s">
        <v>715</v>
      </c>
      <c r="D788" s="21" t="s">
        <v>5932</v>
      </c>
      <c r="E788" s="20" t="s">
        <v>5933</v>
      </c>
      <c r="F788" s="20" t="s">
        <v>5934</v>
      </c>
      <c r="G788" s="20" t="n">
        <v>5</v>
      </c>
      <c r="H788" s="20" t="n">
        <v>96</v>
      </c>
    </row>
    <row r="789" customFormat="false" ht="23.85" hidden="false" customHeight="false" outlineLevel="0" collapsed="false">
      <c r="A789" s="20" t="s">
        <v>5935</v>
      </c>
      <c r="B789" s="20" t="s">
        <v>24</v>
      </c>
      <c r="C789" s="20" t="s">
        <v>715</v>
      </c>
      <c r="D789" s="21" t="s">
        <v>5936</v>
      </c>
      <c r="E789" s="20" t="s">
        <v>5937</v>
      </c>
      <c r="F789" s="20" t="s">
        <v>5938</v>
      </c>
      <c r="G789" s="20" t="n">
        <v>4.9</v>
      </c>
      <c r="H789" s="20" t="n">
        <v>57</v>
      </c>
    </row>
    <row r="790" customFormat="false" ht="15" hidden="false" customHeight="false" outlineLevel="0" collapsed="false">
      <c r="A790" s="20" t="s">
        <v>5939</v>
      </c>
      <c r="B790" s="20" t="s">
        <v>21</v>
      </c>
      <c r="C790" s="20" t="s">
        <v>446</v>
      </c>
      <c r="D790" s="21" t="s">
        <v>5940</v>
      </c>
      <c r="E790" s="20" t="s">
        <v>5941</v>
      </c>
      <c r="F790" s="20"/>
      <c r="G790" s="20"/>
      <c r="H790" s="20"/>
    </row>
    <row r="791" customFormat="false" ht="15" hidden="false" customHeight="false" outlineLevel="0" collapsed="false">
      <c r="A791" s="20" t="s">
        <v>5942</v>
      </c>
      <c r="B791" s="20" t="s">
        <v>22</v>
      </c>
      <c r="C791" s="20"/>
      <c r="D791" s="21" t="s">
        <v>5943</v>
      </c>
      <c r="E791" s="20" t="s">
        <v>5944</v>
      </c>
      <c r="F791" s="20"/>
      <c r="G791" s="20"/>
      <c r="H791" s="20"/>
    </row>
    <row r="792" customFormat="false" ht="23.85" hidden="false" customHeight="false" outlineLevel="0" collapsed="false">
      <c r="A792" s="20" t="s">
        <v>5945</v>
      </c>
      <c r="B792" s="20" t="s">
        <v>30</v>
      </c>
      <c r="C792" s="20" t="s">
        <v>1322</v>
      </c>
      <c r="D792" s="21" t="s">
        <v>5946</v>
      </c>
      <c r="E792" s="20" t="s">
        <v>5947</v>
      </c>
      <c r="F792" s="20"/>
      <c r="G792" s="20"/>
      <c r="H792" s="20"/>
    </row>
    <row r="793" customFormat="false" ht="23.85" hidden="false" customHeight="false" outlineLevel="0" collapsed="false">
      <c r="A793" s="20" t="s">
        <v>5948</v>
      </c>
      <c r="B793" s="20"/>
      <c r="C793" s="20" t="s">
        <v>5949</v>
      </c>
      <c r="D793" s="21" t="s">
        <v>5950</v>
      </c>
      <c r="E793" s="20" t="s">
        <v>5951</v>
      </c>
      <c r="F793" s="20" t="s">
        <v>5952</v>
      </c>
      <c r="G793" s="20" t="n">
        <v>5</v>
      </c>
      <c r="H793" s="20" t="n">
        <v>33</v>
      </c>
    </row>
    <row r="794" customFormat="false" ht="15" hidden="false" customHeight="false" outlineLevel="0" collapsed="false">
      <c r="A794" s="20" t="s">
        <v>5953</v>
      </c>
      <c r="B794" s="20" t="s">
        <v>19</v>
      </c>
      <c r="C794" s="20" t="s">
        <v>3637</v>
      </c>
      <c r="D794" s="21" t="s">
        <v>5954</v>
      </c>
      <c r="E794" s="20" t="s">
        <v>5955</v>
      </c>
      <c r="F794" s="20"/>
      <c r="G794" s="20" t="n">
        <v>3.6</v>
      </c>
      <c r="H794" s="20" t="n">
        <v>97</v>
      </c>
    </row>
    <row r="795" customFormat="false" ht="23.85" hidden="false" customHeight="false" outlineLevel="0" collapsed="false">
      <c r="A795" s="20" t="s">
        <v>5956</v>
      </c>
      <c r="B795" s="20" t="s">
        <v>18</v>
      </c>
      <c r="C795" s="20" t="s">
        <v>82</v>
      </c>
      <c r="D795" s="21" t="s">
        <v>5957</v>
      </c>
      <c r="E795" s="20" t="s">
        <v>5958</v>
      </c>
      <c r="F795" s="20" t="s">
        <v>5959</v>
      </c>
      <c r="G795" s="20" t="n">
        <v>4.2</v>
      </c>
      <c r="H795" s="20" t="n">
        <v>250</v>
      </c>
    </row>
    <row r="796" customFormat="false" ht="15" hidden="false" customHeight="false" outlineLevel="0" collapsed="false">
      <c r="A796" s="20" t="s">
        <v>5960</v>
      </c>
      <c r="B796" s="20" t="s">
        <v>35</v>
      </c>
      <c r="C796" s="20" t="s">
        <v>2202</v>
      </c>
      <c r="D796" s="21" t="s">
        <v>5961</v>
      </c>
      <c r="E796" s="20" t="s">
        <v>5962</v>
      </c>
      <c r="F796" s="20"/>
      <c r="G796" s="20"/>
      <c r="H796" s="20"/>
    </row>
    <row r="797" customFormat="false" ht="23.85" hidden="false" customHeight="false" outlineLevel="0" collapsed="false">
      <c r="A797" s="20" t="s">
        <v>5963</v>
      </c>
      <c r="B797" s="20" t="s">
        <v>34</v>
      </c>
      <c r="C797" s="20" t="s">
        <v>2090</v>
      </c>
      <c r="D797" s="21" t="s">
        <v>5964</v>
      </c>
      <c r="E797" s="20" t="s">
        <v>5965</v>
      </c>
      <c r="F797" s="20"/>
      <c r="G797" s="20" t="n">
        <v>5</v>
      </c>
      <c r="H797" s="20" t="n">
        <v>1</v>
      </c>
    </row>
    <row r="798" customFormat="false" ht="23.85" hidden="false" customHeight="false" outlineLevel="0" collapsed="false">
      <c r="A798" s="20" t="s">
        <v>5966</v>
      </c>
      <c r="B798" s="20" t="s">
        <v>28</v>
      </c>
      <c r="C798" s="20" t="s">
        <v>913</v>
      </c>
      <c r="D798" s="21" t="s">
        <v>5967</v>
      </c>
      <c r="E798" s="20" t="s">
        <v>5968</v>
      </c>
      <c r="F798" s="20" t="s">
        <v>5969</v>
      </c>
      <c r="G798" s="20" t="n">
        <v>4.3</v>
      </c>
      <c r="H798" s="20" t="n">
        <v>5741</v>
      </c>
    </row>
    <row r="799" customFormat="false" ht="23.85" hidden="false" customHeight="false" outlineLevel="0" collapsed="false">
      <c r="A799" s="20" t="s">
        <v>5970</v>
      </c>
      <c r="B799" s="20" t="s">
        <v>33</v>
      </c>
      <c r="C799" s="20" t="s">
        <v>1991</v>
      </c>
      <c r="D799" s="21" t="s">
        <v>5971</v>
      </c>
      <c r="E799" s="20" t="s">
        <v>5972</v>
      </c>
      <c r="F799" s="20"/>
      <c r="G799" s="20" t="n">
        <v>4.6</v>
      </c>
      <c r="H799" s="20" t="n">
        <v>19</v>
      </c>
    </row>
    <row r="800" customFormat="false" ht="35.05" hidden="false" customHeight="false" outlineLevel="0" collapsed="false">
      <c r="A800" s="20" t="s">
        <v>5973</v>
      </c>
      <c r="B800" s="20" t="s">
        <v>32</v>
      </c>
      <c r="C800" s="20" t="s">
        <v>3650</v>
      </c>
      <c r="D800" s="21" t="s">
        <v>5974</v>
      </c>
      <c r="E800" s="20" t="s">
        <v>5975</v>
      </c>
      <c r="F800" s="20"/>
      <c r="G800" s="20" t="n">
        <v>5</v>
      </c>
      <c r="H800" s="20" t="n">
        <v>2</v>
      </c>
    </row>
    <row r="801" customFormat="false" ht="15" hidden="false" customHeight="false" outlineLevel="0" collapsed="false">
      <c r="A801" s="20" t="s">
        <v>5976</v>
      </c>
      <c r="B801" s="20" t="s">
        <v>18</v>
      </c>
      <c r="C801" s="20" t="s">
        <v>82</v>
      </c>
      <c r="D801" s="21" t="s">
        <v>5977</v>
      </c>
      <c r="E801" s="20" t="s">
        <v>5978</v>
      </c>
      <c r="F801" s="20"/>
      <c r="G801" s="20" t="n">
        <v>4.2</v>
      </c>
      <c r="H801" s="20" t="n">
        <v>189</v>
      </c>
    </row>
    <row r="802" customFormat="false" ht="15" hidden="false" customHeight="false" outlineLevel="0" collapsed="false">
      <c r="A802" s="20" t="s">
        <v>5979</v>
      </c>
      <c r="B802" s="20" t="s">
        <v>18</v>
      </c>
      <c r="C802" s="20" t="s">
        <v>4061</v>
      </c>
      <c r="D802" s="21" t="s">
        <v>5980</v>
      </c>
      <c r="E802" s="20" t="s">
        <v>5981</v>
      </c>
      <c r="F802" s="20"/>
      <c r="G802" s="20" t="n">
        <v>4.3</v>
      </c>
      <c r="H802" s="20" t="n">
        <v>107</v>
      </c>
    </row>
    <row r="803" customFormat="false" ht="15" hidden="false" customHeight="false" outlineLevel="0" collapsed="false">
      <c r="A803" s="20" t="s">
        <v>5982</v>
      </c>
      <c r="B803" s="20" t="s">
        <v>25</v>
      </c>
      <c r="C803" s="20" t="s">
        <v>738</v>
      </c>
      <c r="D803" s="21" t="s">
        <v>5983</v>
      </c>
      <c r="E803" s="20" t="s">
        <v>5984</v>
      </c>
      <c r="F803" s="20"/>
      <c r="G803" s="20"/>
      <c r="H803" s="20"/>
    </row>
    <row r="804" customFormat="false" ht="15" hidden="false" customHeight="false" outlineLevel="0" collapsed="false">
      <c r="A804" s="20" t="s">
        <v>5985</v>
      </c>
      <c r="B804" s="20" t="s">
        <v>33</v>
      </c>
      <c r="C804" s="20" t="s">
        <v>1991</v>
      </c>
      <c r="D804" s="21" t="s">
        <v>5986</v>
      </c>
      <c r="E804" s="20" t="s">
        <v>5987</v>
      </c>
      <c r="F804" s="20" t="s">
        <v>5988</v>
      </c>
      <c r="G804" s="20" t="n">
        <v>5</v>
      </c>
      <c r="H804" s="20" t="n">
        <v>8</v>
      </c>
    </row>
    <row r="805" customFormat="false" ht="23.85" hidden="false" customHeight="false" outlineLevel="0" collapsed="false">
      <c r="A805" s="20" t="s">
        <v>5989</v>
      </c>
      <c r="B805" s="20" t="s">
        <v>24</v>
      </c>
      <c r="C805" s="20" t="s">
        <v>715</v>
      </c>
      <c r="D805" s="21" t="s">
        <v>5990</v>
      </c>
      <c r="E805" s="20" t="s">
        <v>5991</v>
      </c>
      <c r="F805" s="20" t="s">
        <v>5992</v>
      </c>
      <c r="G805" s="20" t="n">
        <v>5</v>
      </c>
      <c r="H805" s="20" t="n">
        <v>18</v>
      </c>
    </row>
    <row r="806" customFormat="false" ht="15" hidden="false" customHeight="false" outlineLevel="0" collapsed="false">
      <c r="A806" s="20" t="s">
        <v>5993</v>
      </c>
      <c r="B806" s="20" t="s">
        <v>32</v>
      </c>
      <c r="C806" s="20" t="s">
        <v>1690</v>
      </c>
      <c r="D806" s="21" t="s">
        <v>5994</v>
      </c>
      <c r="E806" s="20"/>
      <c r="F806" s="20"/>
      <c r="G806" s="20"/>
      <c r="H806" s="20"/>
    </row>
    <row r="807" customFormat="false" ht="23.85" hidden="false" customHeight="false" outlineLevel="0" collapsed="false">
      <c r="A807" s="20" t="s">
        <v>5995</v>
      </c>
      <c r="B807" s="20" t="s">
        <v>27</v>
      </c>
      <c r="C807" s="20" t="s">
        <v>5996</v>
      </c>
      <c r="D807" s="21" t="s">
        <v>5997</v>
      </c>
      <c r="E807" s="20"/>
      <c r="F807" s="20"/>
      <c r="G807" s="20"/>
      <c r="H807" s="20"/>
    </row>
    <row r="808" customFormat="false" ht="23.85" hidden="false" customHeight="false" outlineLevel="0" collapsed="false">
      <c r="A808" s="20" t="s">
        <v>5998</v>
      </c>
      <c r="B808" s="20" t="s">
        <v>27</v>
      </c>
      <c r="C808" s="20" t="s">
        <v>5996</v>
      </c>
      <c r="D808" s="21" t="s">
        <v>5999</v>
      </c>
      <c r="E808" s="20"/>
      <c r="F808" s="20"/>
      <c r="G808" s="20"/>
      <c r="H808" s="20"/>
    </row>
    <row r="809" customFormat="false" ht="15" hidden="false" customHeight="false" outlineLevel="0" collapsed="false">
      <c r="A809" s="20" t="s">
        <v>6000</v>
      </c>
      <c r="B809" s="20" t="s">
        <v>25</v>
      </c>
      <c r="C809" s="20" t="s">
        <v>738</v>
      </c>
      <c r="D809" s="21" t="s">
        <v>6001</v>
      </c>
      <c r="E809" s="20" t="s">
        <v>6002</v>
      </c>
      <c r="F809" s="20"/>
      <c r="G809" s="20"/>
      <c r="H809" s="20"/>
    </row>
    <row r="810" customFormat="false" ht="23.85" hidden="false" customHeight="false" outlineLevel="0" collapsed="false">
      <c r="A810" s="20" t="s">
        <v>6003</v>
      </c>
      <c r="B810" s="20" t="s">
        <v>28</v>
      </c>
      <c r="C810" s="20" t="s">
        <v>6004</v>
      </c>
      <c r="D810" s="21" t="s">
        <v>6005</v>
      </c>
      <c r="E810" s="20" t="s">
        <v>6006</v>
      </c>
      <c r="F810" s="20" t="s">
        <v>6007</v>
      </c>
      <c r="G810" s="20" t="n">
        <v>4.8</v>
      </c>
      <c r="H810" s="20" t="n">
        <v>9</v>
      </c>
    </row>
    <row r="811" customFormat="false" ht="15" hidden="false" customHeight="false" outlineLevel="0" collapsed="false">
      <c r="A811" s="20" t="s">
        <v>6008</v>
      </c>
      <c r="B811" s="20" t="s">
        <v>28</v>
      </c>
      <c r="C811" s="20" t="s">
        <v>934</v>
      </c>
      <c r="D811" s="21" t="s">
        <v>6009</v>
      </c>
      <c r="E811" s="20" t="s">
        <v>6010</v>
      </c>
      <c r="F811" s="20"/>
      <c r="G811" s="20"/>
      <c r="H811" s="20"/>
    </row>
    <row r="812" customFormat="false" ht="23.85" hidden="false" customHeight="false" outlineLevel="0" collapsed="false">
      <c r="A812" s="20" t="s">
        <v>6011</v>
      </c>
      <c r="B812" s="20" t="s">
        <v>20</v>
      </c>
      <c r="C812" s="20" t="s">
        <v>2386</v>
      </c>
      <c r="D812" s="21" t="s">
        <v>6012</v>
      </c>
      <c r="E812" s="20" t="s">
        <v>6013</v>
      </c>
      <c r="F812" s="20"/>
      <c r="G812" s="20" t="n">
        <v>5</v>
      </c>
      <c r="H812" s="20" t="n">
        <v>1</v>
      </c>
    </row>
    <row r="813" customFormat="false" ht="23.85" hidden="false" customHeight="false" outlineLevel="0" collapsed="false">
      <c r="A813" s="20" t="s">
        <v>6014</v>
      </c>
      <c r="B813" s="20" t="s">
        <v>34</v>
      </c>
      <c r="C813" s="20" t="s">
        <v>2157</v>
      </c>
      <c r="D813" s="21" t="s">
        <v>6015</v>
      </c>
      <c r="E813" s="20" t="s">
        <v>6016</v>
      </c>
      <c r="F813" s="20"/>
      <c r="G813" s="20" t="n">
        <v>4</v>
      </c>
      <c r="H813" s="20" t="n">
        <v>4</v>
      </c>
    </row>
    <row r="814" customFormat="false" ht="15" hidden="false" customHeight="false" outlineLevel="0" collapsed="false">
      <c r="A814" s="20" t="s">
        <v>6017</v>
      </c>
      <c r="B814" s="20" t="s">
        <v>28</v>
      </c>
      <c r="C814" s="20" t="s">
        <v>913</v>
      </c>
      <c r="D814" s="21" t="s">
        <v>6018</v>
      </c>
      <c r="E814" s="20" t="s">
        <v>6019</v>
      </c>
      <c r="F814" s="20"/>
      <c r="G814" s="20" t="n">
        <v>5</v>
      </c>
      <c r="H814" s="20" t="n">
        <v>1</v>
      </c>
    </row>
    <row r="815" customFormat="false" ht="23.85" hidden="false" customHeight="false" outlineLevel="0" collapsed="false">
      <c r="A815" s="20" t="s">
        <v>6020</v>
      </c>
      <c r="B815" s="20" t="s">
        <v>26</v>
      </c>
      <c r="C815" s="20" t="s">
        <v>811</v>
      </c>
      <c r="D815" s="21" t="s">
        <v>6021</v>
      </c>
      <c r="E815" s="20" t="s">
        <v>6022</v>
      </c>
      <c r="F815" s="20"/>
      <c r="G815" s="20"/>
      <c r="H815" s="20"/>
    </row>
    <row r="816" customFormat="false" ht="23.85" hidden="false" customHeight="false" outlineLevel="0" collapsed="false">
      <c r="A816" s="20" t="s">
        <v>6023</v>
      </c>
      <c r="B816" s="20" t="s">
        <v>32</v>
      </c>
      <c r="C816" s="20" t="s">
        <v>1869</v>
      </c>
      <c r="D816" s="21" t="s">
        <v>6024</v>
      </c>
      <c r="E816" s="20" t="s">
        <v>6025</v>
      </c>
      <c r="F816" s="20"/>
      <c r="G816" s="20" t="n">
        <v>2.5</v>
      </c>
      <c r="H816" s="20" t="n">
        <v>2</v>
      </c>
    </row>
    <row r="817" customFormat="false" ht="15" hidden="false" customHeight="false" outlineLevel="0" collapsed="false">
      <c r="A817" s="20" t="s">
        <v>6026</v>
      </c>
      <c r="B817" s="20" t="s">
        <v>32</v>
      </c>
      <c r="C817" s="20" t="s">
        <v>1690</v>
      </c>
      <c r="D817" s="21" t="s">
        <v>6027</v>
      </c>
      <c r="E817" s="20" t="s">
        <v>6028</v>
      </c>
      <c r="F817" s="20"/>
      <c r="G817" s="20"/>
      <c r="H817" s="20"/>
    </row>
    <row r="818" customFormat="false" ht="23.85" hidden="false" customHeight="false" outlineLevel="0" collapsed="false">
      <c r="A818" s="20" t="s">
        <v>6029</v>
      </c>
      <c r="B818" s="20" t="s">
        <v>21</v>
      </c>
      <c r="C818" s="20" t="s">
        <v>433</v>
      </c>
      <c r="D818" s="21" t="s">
        <v>6030</v>
      </c>
      <c r="E818" s="20" t="s">
        <v>6031</v>
      </c>
      <c r="F818" s="20"/>
      <c r="G818" s="20"/>
      <c r="H818" s="20"/>
    </row>
    <row r="819" customFormat="false" ht="15" hidden="false" customHeight="false" outlineLevel="0" collapsed="false">
      <c r="A819" s="20" t="s">
        <v>6032</v>
      </c>
      <c r="B819" s="20" t="s">
        <v>28</v>
      </c>
      <c r="C819" s="20" t="s">
        <v>1076</v>
      </c>
      <c r="D819" s="21" t="s">
        <v>6033</v>
      </c>
      <c r="E819" s="20" t="s">
        <v>6034</v>
      </c>
      <c r="F819" s="20"/>
      <c r="G819" s="20"/>
      <c r="H819" s="20"/>
    </row>
    <row r="820" customFormat="false" ht="15" hidden="false" customHeight="false" outlineLevel="0" collapsed="false">
      <c r="A820" s="20" t="s">
        <v>6035</v>
      </c>
      <c r="B820" s="20" t="s">
        <v>30</v>
      </c>
      <c r="C820" s="20" t="s">
        <v>4094</v>
      </c>
      <c r="D820" s="21" t="s">
        <v>6036</v>
      </c>
      <c r="E820" s="20" t="s">
        <v>6037</v>
      </c>
      <c r="F820" s="20"/>
      <c r="G820" s="20"/>
      <c r="H820" s="20"/>
    </row>
    <row r="821" customFormat="false" ht="15" hidden="false" customHeight="false" outlineLevel="0" collapsed="false">
      <c r="A821" s="20" t="s">
        <v>6038</v>
      </c>
      <c r="B821" s="20" t="s">
        <v>20</v>
      </c>
      <c r="C821" s="20" t="s">
        <v>2386</v>
      </c>
      <c r="D821" s="21" t="s">
        <v>6039</v>
      </c>
      <c r="E821" s="20" t="s">
        <v>6040</v>
      </c>
      <c r="F821" s="20" t="s">
        <v>6041</v>
      </c>
      <c r="G821" s="20" t="n">
        <v>5</v>
      </c>
      <c r="H821" s="20" t="n">
        <v>1</v>
      </c>
    </row>
    <row r="822" customFormat="false" ht="35.05" hidden="false" customHeight="false" outlineLevel="0" collapsed="false">
      <c r="A822" s="20" t="s">
        <v>6042</v>
      </c>
      <c r="B822" s="20" t="s">
        <v>30</v>
      </c>
      <c r="C822" s="20" t="s">
        <v>4094</v>
      </c>
      <c r="D822" s="21" t="s">
        <v>6043</v>
      </c>
      <c r="E822" s="20" t="s">
        <v>6044</v>
      </c>
      <c r="F822" s="20"/>
      <c r="G822" s="20" t="n">
        <v>5</v>
      </c>
      <c r="H822" s="20" t="n">
        <v>1</v>
      </c>
    </row>
    <row r="823" customFormat="false" ht="23.85" hidden="false" customHeight="false" outlineLevel="0" collapsed="false">
      <c r="A823" s="20" t="s">
        <v>6045</v>
      </c>
      <c r="B823" s="20" t="s">
        <v>29</v>
      </c>
      <c r="C823" s="20" t="s">
        <v>1188</v>
      </c>
      <c r="D823" s="21" t="s">
        <v>6046</v>
      </c>
      <c r="E823" s="20" t="s">
        <v>6047</v>
      </c>
      <c r="F823" s="20"/>
      <c r="G823" s="20"/>
      <c r="H823" s="20"/>
    </row>
    <row r="824" customFormat="false" ht="23.85" hidden="false" customHeight="false" outlineLevel="0" collapsed="false">
      <c r="A824" s="20" t="s">
        <v>6048</v>
      </c>
      <c r="B824" s="20" t="s">
        <v>29</v>
      </c>
      <c r="C824" s="20" t="s">
        <v>2971</v>
      </c>
      <c r="D824" s="21" t="s">
        <v>6049</v>
      </c>
      <c r="E824" s="20" t="s">
        <v>6050</v>
      </c>
      <c r="F824" s="20" t="s">
        <v>6051</v>
      </c>
      <c r="G824" s="20" t="n">
        <v>5</v>
      </c>
      <c r="H824" s="20" t="n">
        <v>5</v>
      </c>
    </row>
    <row r="825" customFormat="false" ht="23.85" hidden="false" customHeight="false" outlineLevel="0" collapsed="false">
      <c r="A825" s="20" t="s">
        <v>6052</v>
      </c>
      <c r="B825" s="20" t="s">
        <v>35</v>
      </c>
      <c r="C825" s="20" t="s">
        <v>2195</v>
      </c>
      <c r="D825" s="21" t="s">
        <v>6053</v>
      </c>
      <c r="E825" s="20" t="s">
        <v>6054</v>
      </c>
      <c r="F825" s="20"/>
      <c r="G825" s="20" t="n">
        <v>4.6</v>
      </c>
      <c r="H825" s="20" t="n">
        <v>16</v>
      </c>
    </row>
    <row r="826" customFormat="false" ht="23.85" hidden="false" customHeight="false" outlineLevel="0" collapsed="false">
      <c r="A826" s="20" t="s">
        <v>6055</v>
      </c>
      <c r="B826" s="20" t="s">
        <v>26</v>
      </c>
      <c r="C826" s="20" t="s">
        <v>2825</v>
      </c>
      <c r="D826" s="21" t="s">
        <v>6056</v>
      </c>
      <c r="E826" s="20" t="s">
        <v>6057</v>
      </c>
      <c r="F826" s="20"/>
      <c r="G826" s="20"/>
      <c r="H826" s="20"/>
    </row>
    <row r="827" customFormat="false" ht="23.85" hidden="false" customHeight="false" outlineLevel="0" collapsed="false">
      <c r="A827" s="20" t="s">
        <v>6058</v>
      </c>
      <c r="B827" s="20" t="s">
        <v>30</v>
      </c>
      <c r="C827" s="20" t="s">
        <v>1389</v>
      </c>
      <c r="D827" s="21" t="s">
        <v>6059</v>
      </c>
      <c r="E827" s="20" t="s">
        <v>6060</v>
      </c>
      <c r="F827" s="20" t="s">
        <v>6061</v>
      </c>
      <c r="G827" s="20" t="n">
        <v>5</v>
      </c>
      <c r="H827" s="20" t="n">
        <v>2</v>
      </c>
    </row>
    <row r="828" customFormat="false" ht="15" hidden="false" customHeight="false" outlineLevel="0" collapsed="false">
      <c r="A828" s="20" t="s">
        <v>6062</v>
      </c>
      <c r="B828" s="20" t="s">
        <v>23</v>
      </c>
      <c r="C828" s="20" t="s">
        <v>4229</v>
      </c>
      <c r="D828" s="21" t="s">
        <v>6063</v>
      </c>
      <c r="E828" s="20" t="s">
        <v>6064</v>
      </c>
      <c r="F828" s="20" t="s">
        <v>6065</v>
      </c>
      <c r="G828" s="20" t="n">
        <v>4.3</v>
      </c>
      <c r="H828" s="20" t="n">
        <v>88</v>
      </c>
    </row>
    <row r="829" customFormat="false" ht="23.85" hidden="false" customHeight="false" outlineLevel="0" collapsed="false">
      <c r="A829" s="20" t="s">
        <v>6066</v>
      </c>
      <c r="B829" s="20" t="s">
        <v>21</v>
      </c>
      <c r="C829" s="20" t="s">
        <v>347</v>
      </c>
      <c r="D829" s="21" t="s">
        <v>6067</v>
      </c>
      <c r="E829" s="20"/>
      <c r="F829" s="20"/>
      <c r="G829" s="20" t="n">
        <v>4</v>
      </c>
      <c r="H829" s="20" t="n">
        <v>1</v>
      </c>
    </row>
    <row r="830" customFormat="false" ht="15" hidden="false" customHeight="false" outlineLevel="0" collapsed="false">
      <c r="A830" s="20" t="s">
        <v>6068</v>
      </c>
      <c r="B830" s="20" t="s">
        <v>21</v>
      </c>
      <c r="C830" s="20" t="s">
        <v>347</v>
      </c>
      <c r="D830" s="21" t="s">
        <v>6069</v>
      </c>
      <c r="E830" s="20"/>
      <c r="F830" s="20"/>
      <c r="G830" s="20" t="s">
        <v>4698</v>
      </c>
      <c r="H830" s="20" t="s">
        <v>6070</v>
      </c>
    </row>
    <row r="831" customFormat="false" ht="23.85" hidden="false" customHeight="false" outlineLevel="0" collapsed="false">
      <c r="A831" s="20" t="s">
        <v>6071</v>
      </c>
      <c r="B831" s="20" t="s">
        <v>30</v>
      </c>
      <c r="C831" s="20" t="s">
        <v>4094</v>
      </c>
      <c r="D831" s="21" t="s">
        <v>6072</v>
      </c>
      <c r="E831" s="20" t="s">
        <v>6073</v>
      </c>
      <c r="F831" s="20"/>
      <c r="G831" s="20" t="n">
        <v>5</v>
      </c>
      <c r="H831" s="20" t="n">
        <v>1</v>
      </c>
    </row>
    <row r="832" customFormat="false" ht="15" hidden="false" customHeight="false" outlineLevel="0" collapsed="false">
      <c r="A832" s="20" t="s">
        <v>6074</v>
      </c>
      <c r="B832" s="20" t="s">
        <v>26</v>
      </c>
      <c r="C832" s="20" t="s">
        <v>3743</v>
      </c>
      <c r="D832" s="21" t="s">
        <v>6075</v>
      </c>
      <c r="E832" s="20"/>
      <c r="F832" s="20"/>
      <c r="G832" s="20"/>
      <c r="H832" s="20"/>
    </row>
    <row r="833" customFormat="false" ht="23.85" hidden="false" customHeight="false" outlineLevel="0" collapsed="false">
      <c r="A833" s="20" t="s">
        <v>6076</v>
      </c>
      <c r="B833" s="20" t="s">
        <v>30</v>
      </c>
      <c r="C833" s="20" t="s">
        <v>4094</v>
      </c>
      <c r="D833" s="21" t="s">
        <v>6077</v>
      </c>
      <c r="E833" s="20" t="s">
        <v>6078</v>
      </c>
      <c r="F833" s="20"/>
      <c r="G833" s="20"/>
      <c r="H833" s="20"/>
    </row>
    <row r="834" customFormat="false" ht="23.85" hidden="false" customHeight="false" outlineLevel="0" collapsed="false">
      <c r="A834" s="20" t="s">
        <v>6079</v>
      </c>
      <c r="B834" s="20" t="s">
        <v>35</v>
      </c>
      <c r="C834" s="20" t="s">
        <v>6080</v>
      </c>
      <c r="D834" s="21" t="s">
        <v>6081</v>
      </c>
      <c r="E834" s="20" t="s">
        <v>6082</v>
      </c>
      <c r="F834" s="20"/>
      <c r="G834" s="20" t="n">
        <v>2</v>
      </c>
      <c r="H834" s="20" t="n">
        <v>1</v>
      </c>
    </row>
    <row r="835" customFormat="false" ht="23.85" hidden="false" customHeight="false" outlineLevel="0" collapsed="false">
      <c r="A835" s="20" t="s">
        <v>6083</v>
      </c>
      <c r="B835" s="20" t="s">
        <v>28</v>
      </c>
      <c r="C835" s="20" t="s">
        <v>1025</v>
      </c>
      <c r="D835" s="21" t="s">
        <v>5793</v>
      </c>
      <c r="E835" s="20" t="s">
        <v>6084</v>
      </c>
      <c r="F835" s="20"/>
      <c r="G835" s="20" t="n">
        <v>3</v>
      </c>
      <c r="H835" s="20" t="n">
        <v>1</v>
      </c>
    </row>
    <row r="836" customFormat="false" ht="15" hidden="false" customHeight="false" outlineLevel="0" collapsed="false">
      <c r="A836" s="20" t="s">
        <v>6085</v>
      </c>
      <c r="B836" s="20" t="s">
        <v>26</v>
      </c>
      <c r="C836" s="20" t="s">
        <v>3743</v>
      </c>
      <c r="D836" s="21" t="s">
        <v>6086</v>
      </c>
      <c r="E836" s="20"/>
      <c r="F836" s="20"/>
      <c r="G836" s="20"/>
      <c r="H836" s="20"/>
    </row>
    <row r="837" customFormat="false" ht="23.85" hidden="false" customHeight="false" outlineLevel="0" collapsed="false">
      <c r="A837" s="20" t="s">
        <v>6087</v>
      </c>
      <c r="B837" s="20" t="s">
        <v>28</v>
      </c>
      <c r="C837" s="20" t="s">
        <v>3633</v>
      </c>
      <c r="D837" s="21" t="s">
        <v>6088</v>
      </c>
      <c r="E837" s="20" t="s">
        <v>6089</v>
      </c>
      <c r="F837" s="20"/>
      <c r="G837" s="20"/>
      <c r="H837" s="20"/>
    </row>
    <row r="838" customFormat="false" ht="23.85" hidden="false" customHeight="false" outlineLevel="0" collapsed="false">
      <c r="A838" s="20" t="s">
        <v>6090</v>
      </c>
      <c r="B838" s="20" t="s">
        <v>21</v>
      </c>
      <c r="C838" s="20" t="s">
        <v>347</v>
      </c>
      <c r="D838" s="21" t="s">
        <v>6091</v>
      </c>
      <c r="E838" s="20"/>
      <c r="F838" s="20"/>
      <c r="G838" s="20"/>
      <c r="H838" s="20"/>
    </row>
    <row r="839" customFormat="false" ht="15" hidden="false" customHeight="false" outlineLevel="0" collapsed="false">
      <c r="A839" s="20" t="s">
        <v>6092</v>
      </c>
      <c r="B839" s="20" t="s">
        <v>27</v>
      </c>
      <c r="C839" s="20" t="s">
        <v>850</v>
      </c>
      <c r="D839" s="21" t="s">
        <v>6093</v>
      </c>
      <c r="E839" s="20"/>
      <c r="F839" s="20"/>
      <c r="G839" s="20" t="n">
        <v>5</v>
      </c>
      <c r="H839" s="20" t="n">
        <v>1</v>
      </c>
    </row>
    <row r="840" customFormat="false" ht="23.85" hidden="false" customHeight="false" outlineLevel="0" collapsed="false">
      <c r="A840" s="20" t="s">
        <v>6094</v>
      </c>
      <c r="B840" s="20" t="s">
        <v>35</v>
      </c>
      <c r="C840" s="20" t="s">
        <v>2202</v>
      </c>
      <c r="D840" s="21" t="s">
        <v>6095</v>
      </c>
      <c r="E840" s="20" t="s">
        <v>6096</v>
      </c>
      <c r="F840" s="20"/>
      <c r="G840" s="20"/>
      <c r="H840" s="20"/>
    </row>
    <row r="841" customFormat="false" ht="23.85" hidden="false" customHeight="false" outlineLevel="0" collapsed="false">
      <c r="A841" s="20" t="s">
        <v>6097</v>
      </c>
      <c r="B841" s="20" t="s">
        <v>28</v>
      </c>
      <c r="C841" s="20" t="s">
        <v>913</v>
      </c>
      <c r="D841" s="21" t="s">
        <v>6098</v>
      </c>
      <c r="E841" s="20"/>
      <c r="F841" s="20" t="s">
        <v>6099</v>
      </c>
      <c r="G841" s="20" t="n">
        <v>4.8</v>
      </c>
      <c r="H841" s="20" t="n">
        <v>24</v>
      </c>
    </row>
    <row r="842" customFormat="false" ht="23.85" hidden="false" customHeight="false" outlineLevel="0" collapsed="false">
      <c r="A842" s="20" t="s">
        <v>6100</v>
      </c>
      <c r="B842" s="20" t="s">
        <v>18</v>
      </c>
      <c r="C842" s="20" t="s">
        <v>82</v>
      </c>
      <c r="D842" s="21" t="s">
        <v>6101</v>
      </c>
      <c r="E842" s="20"/>
      <c r="F842" s="20"/>
      <c r="G842" s="20"/>
      <c r="H842" s="20"/>
    </row>
    <row r="843" customFormat="false" ht="15" hidden="false" customHeight="false" outlineLevel="0" collapsed="false">
      <c r="A843" s="20" t="s">
        <v>6102</v>
      </c>
      <c r="B843" s="20" t="s">
        <v>18</v>
      </c>
      <c r="C843" s="20" t="s">
        <v>82</v>
      </c>
      <c r="D843" s="21" t="s">
        <v>6103</v>
      </c>
      <c r="E843" s="20" t="s">
        <v>6104</v>
      </c>
      <c r="F843" s="20"/>
      <c r="G843" s="20" t="n">
        <v>4.3</v>
      </c>
      <c r="H843" s="20" t="n">
        <v>26</v>
      </c>
    </row>
    <row r="844" customFormat="false" ht="23.85" hidden="false" customHeight="false" outlineLevel="0" collapsed="false">
      <c r="A844" s="20" t="s">
        <v>6105</v>
      </c>
      <c r="B844" s="20" t="s">
        <v>34</v>
      </c>
      <c r="C844" s="20" t="s">
        <v>2157</v>
      </c>
      <c r="D844" s="21" t="s">
        <v>6106</v>
      </c>
      <c r="E844" s="20" t="s">
        <v>6107</v>
      </c>
      <c r="F844" s="20" t="s">
        <v>6108</v>
      </c>
      <c r="G844" s="20" t="n">
        <v>4</v>
      </c>
      <c r="H844" s="20" t="n">
        <v>33</v>
      </c>
    </row>
    <row r="845" customFormat="false" ht="15" hidden="false" customHeight="false" outlineLevel="0" collapsed="false">
      <c r="A845" s="20" t="s">
        <v>6109</v>
      </c>
      <c r="B845" s="20" t="s">
        <v>27</v>
      </c>
      <c r="C845" s="20" t="s">
        <v>850</v>
      </c>
      <c r="D845" s="21" t="s">
        <v>6110</v>
      </c>
      <c r="E845" s="20"/>
      <c r="F845" s="20"/>
      <c r="G845" s="20" t="n">
        <v>5</v>
      </c>
      <c r="H845" s="20" t="n">
        <v>3</v>
      </c>
    </row>
    <row r="846" customFormat="false" ht="23.85" hidden="false" customHeight="false" outlineLevel="0" collapsed="false">
      <c r="A846" s="20" t="s">
        <v>6111</v>
      </c>
      <c r="B846" s="20" t="s">
        <v>27</v>
      </c>
      <c r="C846" s="20" t="s">
        <v>850</v>
      </c>
      <c r="D846" s="21" t="s">
        <v>6112</v>
      </c>
      <c r="E846" s="20" t="s">
        <v>6113</v>
      </c>
      <c r="F846" s="20" t="s">
        <v>6114</v>
      </c>
      <c r="G846" s="20" t="n">
        <v>4.7</v>
      </c>
      <c r="H846" s="20" t="n">
        <v>29</v>
      </c>
    </row>
    <row r="847" customFormat="false" ht="23.85" hidden="false" customHeight="false" outlineLevel="0" collapsed="false">
      <c r="A847" s="20" t="s">
        <v>6115</v>
      </c>
      <c r="B847" s="20" t="s">
        <v>26</v>
      </c>
      <c r="C847" s="20" t="s">
        <v>823</v>
      </c>
      <c r="D847" s="21" t="s">
        <v>6116</v>
      </c>
      <c r="E847" s="20" t="s">
        <v>6117</v>
      </c>
      <c r="F847" s="20" t="s">
        <v>6118</v>
      </c>
      <c r="G847" s="20"/>
      <c r="H847" s="20"/>
    </row>
    <row r="848" customFormat="false" ht="23.85" hidden="false" customHeight="false" outlineLevel="0" collapsed="false">
      <c r="A848" s="20" t="s">
        <v>6119</v>
      </c>
      <c r="B848" s="20" t="s">
        <v>18</v>
      </c>
      <c r="C848" s="20" t="s">
        <v>4143</v>
      </c>
      <c r="D848" s="21" t="s">
        <v>6120</v>
      </c>
      <c r="E848" s="20" t="s">
        <v>6121</v>
      </c>
      <c r="F848" s="20"/>
      <c r="G848" s="20" t="n">
        <v>4.3</v>
      </c>
      <c r="H848" s="20" t="n">
        <v>1154</v>
      </c>
    </row>
    <row r="849" customFormat="false" ht="23.85" hidden="false" customHeight="false" outlineLevel="0" collapsed="false">
      <c r="A849" s="20" t="s">
        <v>6122</v>
      </c>
      <c r="B849" s="20" t="s">
        <v>27</v>
      </c>
      <c r="C849" s="20" t="s">
        <v>6123</v>
      </c>
      <c r="D849" s="21" t="s">
        <v>6124</v>
      </c>
      <c r="E849" s="20"/>
      <c r="F849" s="20"/>
      <c r="G849" s="20" t="n">
        <v>5</v>
      </c>
      <c r="H849" s="20" t="n">
        <v>2</v>
      </c>
    </row>
    <row r="850" customFormat="false" ht="23.85" hidden="false" customHeight="false" outlineLevel="0" collapsed="false">
      <c r="A850" s="20" t="s">
        <v>6125</v>
      </c>
      <c r="B850" s="20" t="s">
        <v>27</v>
      </c>
      <c r="C850" s="20" t="s">
        <v>2890</v>
      </c>
      <c r="D850" s="21" t="s">
        <v>6126</v>
      </c>
      <c r="E850" s="20" t="s">
        <v>6127</v>
      </c>
      <c r="F850" s="20"/>
      <c r="G850" s="20" t="n">
        <v>4.5</v>
      </c>
      <c r="H850" s="20" t="n">
        <v>198</v>
      </c>
    </row>
    <row r="851" customFormat="false" ht="23.85" hidden="false" customHeight="false" outlineLevel="0" collapsed="false">
      <c r="A851" s="20" t="s">
        <v>6128</v>
      </c>
      <c r="B851" s="20" t="s">
        <v>23</v>
      </c>
      <c r="C851" s="20" t="s">
        <v>6129</v>
      </c>
      <c r="D851" s="21" t="s">
        <v>6130</v>
      </c>
      <c r="E851" s="20" t="s">
        <v>6131</v>
      </c>
      <c r="F851" s="20" t="s">
        <v>6132</v>
      </c>
      <c r="G851" s="20" t="n">
        <v>4.8</v>
      </c>
      <c r="H851" s="20" t="n">
        <v>84</v>
      </c>
    </row>
    <row r="852" customFormat="false" ht="15" hidden="false" customHeight="false" outlineLevel="0" collapsed="false">
      <c r="A852" s="20" t="s">
        <v>6133</v>
      </c>
      <c r="B852" s="20" t="s">
        <v>28</v>
      </c>
      <c r="C852" s="20" t="s">
        <v>892</v>
      </c>
      <c r="D852" s="21" t="s">
        <v>6134</v>
      </c>
      <c r="E852" s="20"/>
      <c r="F852" s="20"/>
      <c r="G852" s="20"/>
      <c r="H852" s="20"/>
    </row>
    <row r="853" customFormat="false" ht="23.85" hidden="false" customHeight="false" outlineLevel="0" collapsed="false">
      <c r="A853" s="20" t="s">
        <v>6135</v>
      </c>
      <c r="B853" s="20" t="s">
        <v>19</v>
      </c>
      <c r="C853" s="20" t="s">
        <v>3637</v>
      </c>
      <c r="D853" s="21" t="s">
        <v>6136</v>
      </c>
      <c r="E853" s="20" t="s">
        <v>6137</v>
      </c>
      <c r="F853" s="20"/>
      <c r="G853" s="20" t="n">
        <v>5</v>
      </c>
      <c r="H853" s="20" t="n">
        <v>1</v>
      </c>
    </row>
    <row r="854" customFormat="false" ht="23.85" hidden="false" customHeight="false" outlineLevel="0" collapsed="false">
      <c r="A854" s="20" t="s">
        <v>6138</v>
      </c>
      <c r="B854" s="20" t="s">
        <v>34</v>
      </c>
      <c r="C854" s="20" t="s">
        <v>2106</v>
      </c>
      <c r="D854" s="21" t="s">
        <v>6139</v>
      </c>
      <c r="E854" s="20" t="s">
        <v>6140</v>
      </c>
      <c r="F854" s="20" t="s">
        <v>6141</v>
      </c>
      <c r="G854" s="20" t="n">
        <v>5</v>
      </c>
      <c r="H854" s="20" t="n">
        <v>2</v>
      </c>
    </row>
    <row r="855" customFormat="false" ht="23.85" hidden="false" customHeight="false" outlineLevel="0" collapsed="false">
      <c r="A855" s="20" t="s">
        <v>6142</v>
      </c>
      <c r="B855" s="20" t="s">
        <v>34</v>
      </c>
      <c r="C855" s="20" t="s">
        <v>2157</v>
      </c>
      <c r="D855" s="21" t="s">
        <v>6143</v>
      </c>
      <c r="E855" s="20" t="s">
        <v>6144</v>
      </c>
      <c r="F855" s="20" t="s">
        <v>6145</v>
      </c>
      <c r="G855" s="20" t="n">
        <v>4.5</v>
      </c>
      <c r="H855" s="20" t="n">
        <v>1180</v>
      </c>
    </row>
    <row r="856" customFormat="false" ht="15" hidden="false" customHeight="false" outlineLevel="0" collapsed="false">
      <c r="A856" s="20" t="s">
        <v>6146</v>
      </c>
      <c r="B856" s="20" t="s">
        <v>35</v>
      </c>
      <c r="C856" s="20" t="s">
        <v>6080</v>
      </c>
      <c r="D856" s="21"/>
      <c r="E856" s="20" t="s">
        <v>6147</v>
      </c>
      <c r="F856" s="20"/>
      <c r="G856" s="20"/>
      <c r="H856" s="20"/>
    </row>
    <row r="857" customFormat="false" ht="23.85" hidden="false" customHeight="false" outlineLevel="0" collapsed="false">
      <c r="A857" s="20" t="s">
        <v>6148</v>
      </c>
      <c r="B857" s="20" t="s">
        <v>33</v>
      </c>
      <c r="C857" s="20" t="s">
        <v>719</v>
      </c>
      <c r="D857" s="21" t="s">
        <v>6149</v>
      </c>
      <c r="E857" s="20"/>
      <c r="F857" s="20"/>
      <c r="G857" s="20"/>
      <c r="H857" s="20"/>
    </row>
    <row r="858" customFormat="false" ht="15" hidden="false" customHeight="false" outlineLevel="0" collapsed="false">
      <c r="A858" s="20" t="s">
        <v>6150</v>
      </c>
      <c r="B858" s="20" t="s">
        <v>26</v>
      </c>
      <c r="C858" s="20" t="s">
        <v>4174</v>
      </c>
      <c r="D858" s="21" t="s">
        <v>6151</v>
      </c>
      <c r="E858" s="20"/>
      <c r="F858" s="20"/>
      <c r="G858" s="20"/>
      <c r="H858" s="20"/>
    </row>
    <row r="859" customFormat="false" ht="15" hidden="false" customHeight="false" outlineLevel="0" collapsed="false">
      <c r="A859" s="20" t="s">
        <v>6152</v>
      </c>
      <c r="B859" s="20" t="s">
        <v>28</v>
      </c>
      <c r="C859" s="20" t="s">
        <v>1025</v>
      </c>
      <c r="D859" s="21" t="s">
        <v>6153</v>
      </c>
      <c r="E859" s="20" t="s">
        <v>6154</v>
      </c>
      <c r="F859" s="20"/>
      <c r="G859" s="20" t="n">
        <v>3</v>
      </c>
      <c r="H859" s="20" t="n">
        <v>1</v>
      </c>
    </row>
    <row r="860" customFormat="false" ht="15" hidden="false" customHeight="false" outlineLevel="0" collapsed="false">
      <c r="A860" s="20" t="s">
        <v>6155</v>
      </c>
      <c r="B860" s="20" t="s">
        <v>28</v>
      </c>
      <c r="C860" s="20" t="s">
        <v>4032</v>
      </c>
      <c r="D860" s="21" t="s">
        <v>6156</v>
      </c>
      <c r="E860" s="20" t="s">
        <v>6157</v>
      </c>
      <c r="F860" s="20"/>
      <c r="G860" s="20"/>
      <c r="H860" s="20"/>
    </row>
    <row r="861" customFormat="false" ht="23.85" hidden="false" customHeight="false" outlineLevel="0" collapsed="false">
      <c r="A861" s="20" t="s">
        <v>6158</v>
      </c>
      <c r="B861" s="20" t="s">
        <v>24</v>
      </c>
      <c r="C861" s="20" t="s">
        <v>715</v>
      </c>
      <c r="D861" s="21" t="s">
        <v>6159</v>
      </c>
      <c r="E861" s="20" t="s">
        <v>6160</v>
      </c>
      <c r="F861" s="20" t="s">
        <v>6161</v>
      </c>
      <c r="G861" s="20" t="n">
        <v>5</v>
      </c>
      <c r="H861" s="20" t="n">
        <v>2</v>
      </c>
    </row>
    <row r="862" customFormat="false" ht="23.85" hidden="false" customHeight="false" outlineLevel="0" collapsed="false">
      <c r="A862" s="20" t="s">
        <v>6162</v>
      </c>
      <c r="B862" s="20" t="s">
        <v>24</v>
      </c>
      <c r="C862" s="20" t="s">
        <v>715</v>
      </c>
      <c r="D862" s="21" t="s">
        <v>6163</v>
      </c>
      <c r="E862" s="20" t="s">
        <v>6164</v>
      </c>
      <c r="F862" s="20" t="s">
        <v>6165</v>
      </c>
      <c r="G862" s="20" t="n">
        <v>4.8</v>
      </c>
      <c r="H862" s="20" t="n">
        <v>253</v>
      </c>
    </row>
    <row r="863" customFormat="false" ht="15" hidden="false" customHeight="false" outlineLevel="0" collapsed="false">
      <c r="A863" s="20" t="s">
        <v>6166</v>
      </c>
      <c r="B863" s="20" t="s">
        <v>33</v>
      </c>
      <c r="C863" s="20" t="s">
        <v>719</v>
      </c>
      <c r="D863" s="21" t="s">
        <v>6167</v>
      </c>
      <c r="E863" s="20" t="s">
        <v>6168</v>
      </c>
      <c r="F863" s="20"/>
      <c r="G863" s="20" t="n">
        <v>5</v>
      </c>
      <c r="H863" s="20" t="n">
        <v>13</v>
      </c>
    </row>
    <row r="864" customFormat="false" ht="15" hidden="false" customHeight="false" outlineLevel="0" collapsed="false">
      <c r="A864" s="20" t="s">
        <v>6169</v>
      </c>
      <c r="B864" s="20" t="s">
        <v>30</v>
      </c>
      <c r="C864" s="20" t="s">
        <v>1417</v>
      </c>
      <c r="D864" s="21" t="s">
        <v>6027</v>
      </c>
      <c r="E864" s="20" t="s">
        <v>6170</v>
      </c>
      <c r="F864" s="20"/>
      <c r="G864" s="20" t="n">
        <v>5</v>
      </c>
      <c r="H864" s="20" t="n">
        <v>1</v>
      </c>
    </row>
    <row r="865" customFormat="false" ht="23.85" hidden="false" customHeight="false" outlineLevel="0" collapsed="false">
      <c r="A865" s="20" t="s">
        <v>6171</v>
      </c>
      <c r="B865" s="20" t="s">
        <v>34</v>
      </c>
      <c r="C865" s="20" t="s">
        <v>6172</v>
      </c>
      <c r="D865" s="21" t="s">
        <v>6173</v>
      </c>
      <c r="E865" s="20" t="s">
        <v>6174</v>
      </c>
      <c r="F865" s="20" t="s">
        <v>5744</v>
      </c>
      <c r="G865" s="20" t="n">
        <v>4</v>
      </c>
      <c r="H865" s="20" t="n">
        <v>89</v>
      </c>
    </row>
    <row r="866" customFormat="false" ht="15" hidden="false" customHeight="false" outlineLevel="0" collapsed="false">
      <c r="A866" s="20" t="s">
        <v>6175</v>
      </c>
      <c r="B866" s="20" t="s">
        <v>26</v>
      </c>
      <c r="C866" s="20" t="s">
        <v>6176</v>
      </c>
      <c r="D866" s="21" t="s">
        <v>6177</v>
      </c>
      <c r="E866" s="20"/>
      <c r="F866" s="20"/>
      <c r="G866" s="20"/>
      <c r="H866" s="20"/>
    </row>
    <row r="867" customFormat="false" ht="15" hidden="false" customHeight="false" outlineLevel="0" collapsed="false">
      <c r="A867" s="20" t="s">
        <v>6178</v>
      </c>
      <c r="B867" s="20" t="s">
        <v>21</v>
      </c>
      <c r="C867" s="20" t="s">
        <v>6179</v>
      </c>
      <c r="D867" s="21" t="s">
        <v>6180</v>
      </c>
      <c r="E867" s="20" t="s">
        <v>6181</v>
      </c>
      <c r="F867" s="20"/>
      <c r="G867" s="20" t="n">
        <v>4.7</v>
      </c>
      <c r="H867" s="20" t="n">
        <v>12</v>
      </c>
    </row>
    <row r="868" customFormat="false" ht="23.85" hidden="false" customHeight="false" outlineLevel="0" collapsed="false">
      <c r="A868" s="20" t="s">
        <v>6182</v>
      </c>
      <c r="B868" s="20" t="s">
        <v>27</v>
      </c>
      <c r="C868" s="20" t="s">
        <v>850</v>
      </c>
      <c r="D868" s="21" t="s">
        <v>6183</v>
      </c>
      <c r="E868" s="20"/>
      <c r="F868" s="20"/>
      <c r="G868" s="20"/>
      <c r="H868" s="20"/>
    </row>
    <row r="869" customFormat="false" ht="15" hidden="false" customHeight="false" outlineLevel="0" collapsed="false">
      <c r="A869" s="20" t="s">
        <v>6184</v>
      </c>
      <c r="B869" s="20" t="s">
        <v>29</v>
      </c>
      <c r="C869" s="20" t="s">
        <v>1229</v>
      </c>
      <c r="D869" s="21" t="s">
        <v>6185</v>
      </c>
      <c r="E869" s="20" t="s">
        <v>6186</v>
      </c>
      <c r="F869" s="20" t="s">
        <v>6187</v>
      </c>
      <c r="G869" s="20" t="n">
        <v>4.9</v>
      </c>
      <c r="H869" s="20" t="n">
        <v>10</v>
      </c>
    </row>
    <row r="870" customFormat="false" ht="23.85" hidden="false" customHeight="false" outlineLevel="0" collapsed="false">
      <c r="A870" s="20" t="s">
        <v>6188</v>
      </c>
      <c r="B870" s="20" t="s">
        <v>35</v>
      </c>
      <c r="C870" s="20" t="s">
        <v>2202</v>
      </c>
      <c r="D870" s="21" t="s">
        <v>6189</v>
      </c>
      <c r="E870" s="20" t="s">
        <v>6190</v>
      </c>
      <c r="F870" s="20"/>
      <c r="G870" s="20" t="n">
        <v>4.7</v>
      </c>
      <c r="H870" s="20" t="n">
        <v>3</v>
      </c>
    </row>
    <row r="871" customFormat="false" ht="23.85" hidden="false" customHeight="false" outlineLevel="0" collapsed="false">
      <c r="A871" s="20" t="s">
        <v>6191</v>
      </c>
      <c r="B871" s="20" t="s">
        <v>30</v>
      </c>
      <c r="C871" s="20" t="s">
        <v>1377</v>
      </c>
      <c r="D871" s="21" t="s">
        <v>6192</v>
      </c>
      <c r="E871" s="20" t="s">
        <v>6193</v>
      </c>
      <c r="F871" s="20"/>
      <c r="G871" s="20"/>
      <c r="H871" s="20"/>
    </row>
    <row r="872" customFormat="false" ht="23.85" hidden="false" customHeight="false" outlineLevel="0" collapsed="false">
      <c r="A872" s="20" t="s">
        <v>6194</v>
      </c>
      <c r="B872" s="20" t="s">
        <v>30</v>
      </c>
      <c r="C872" s="20" t="s">
        <v>1330</v>
      </c>
      <c r="D872" s="21" t="s">
        <v>6195</v>
      </c>
      <c r="E872" s="20" t="s">
        <v>6196</v>
      </c>
      <c r="F872" s="20"/>
      <c r="G872" s="20"/>
      <c r="H872" s="20"/>
    </row>
    <row r="873" customFormat="false" ht="23.85" hidden="false" customHeight="false" outlineLevel="0" collapsed="false">
      <c r="A873" s="20" t="s">
        <v>6197</v>
      </c>
      <c r="B873" s="20" t="s">
        <v>28</v>
      </c>
      <c r="C873" s="20" t="s">
        <v>1076</v>
      </c>
      <c r="D873" s="21" t="s">
        <v>6198</v>
      </c>
      <c r="E873" s="20" t="s">
        <v>6199</v>
      </c>
      <c r="F873" s="20"/>
      <c r="G873" s="20"/>
      <c r="H873" s="20"/>
    </row>
    <row r="874" customFormat="false" ht="15" hidden="false" customHeight="false" outlineLevel="0" collapsed="false">
      <c r="A874" s="20" t="s">
        <v>6200</v>
      </c>
      <c r="B874" s="20" t="s">
        <v>32</v>
      </c>
      <c r="C874" s="20" t="s">
        <v>1767</v>
      </c>
      <c r="D874" s="21" t="s">
        <v>6201</v>
      </c>
      <c r="E874" s="20" t="s">
        <v>6202</v>
      </c>
      <c r="F874" s="20"/>
      <c r="G874" s="20" t="n">
        <v>5</v>
      </c>
      <c r="H874" s="20" t="n">
        <v>1</v>
      </c>
    </row>
    <row r="875" customFormat="false" ht="23.85" hidden="false" customHeight="false" outlineLevel="0" collapsed="false">
      <c r="A875" s="20" t="s">
        <v>6203</v>
      </c>
      <c r="B875" s="20" t="s">
        <v>32</v>
      </c>
      <c r="C875" s="20" t="s">
        <v>1894</v>
      </c>
      <c r="D875" s="21" t="s">
        <v>6204</v>
      </c>
      <c r="E875" s="20" t="s">
        <v>6205</v>
      </c>
      <c r="F875" s="20" t="s">
        <v>6206</v>
      </c>
      <c r="G875" s="20" t="n">
        <v>4.7</v>
      </c>
      <c r="H875" s="20" t="n">
        <v>3</v>
      </c>
    </row>
    <row r="876" customFormat="false" ht="23.85" hidden="false" customHeight="false" outlineLevel="0" collapsed="false">
      <c r="A876" s="20" t="s">
        <v>6207</v>
      </c>
      <c r="B876" s="20" t="s">
        <v>30</v>
      </c>
      <c r="C876" s="20" t="s">
        <v>1322</v>
      </c>
      <c r="D876" s="21" t="s">
        <v>6208</v>
      </c>
      <c r="E876" s="20" t="s">
        <v>6209</v>
      </c>
      <c r="F876" s="20"/>
      <c r="G876" s="20" t="n">
        <v>5</v>
      </c>
      <c r="H876" s="20" t="n">
        <v>1</v>
      </c>
    </row>
    <row r="877" customFormat="false" ht="23.85" hidden="false" customHeight="false" outlineLevel="0" collapsed="false">
      <c r="A877" s="20" t="s">
        <v>6210</v>
      </c>
      <c r="B877" s="20" t="s">
        <v>30</v>
      </c>
      <c r="C877" s="20" t="s">
        <v>1479</v>
      </c>
      <c r="D877" s="21" t="s">
        <v>6211</v>
      </c>
      <c r="E877" s="20" t="s">
        <v>6209</v>
      </c>
      <c r="F877" s="20"/>
      <c r="G877" s="20"/>
      <c r="H877" s="20"/>
    </row>
    <row r="878" customFormat="false" ht="15" hidden="false" customHeight="false" outlineLevel="0" collapsed="false">
      <c r="A878" s="20" t="s">
        <v>6212</v>
      </c>
      <c r="B878" s="20" t="s">
        <v>33</v>
      </c>
      <c r="C878" s="20" t="s">
        <v>1991</v>
      </c>
      <c r="D878" s="21" t="s">
        <v>6213</v>
      </c>
      <c r="E878" s="20" t="s">
        <v>6214</v>
      </c>
      <c r="F878" s="20"/>
      <c r="G878" s="20"/>
      <c r="H878" s="20"/>
    </row>
    <row r="879" customFormat="false" ht="23.85" hidden="false" customHeight="false" outlineLevel="0" collapsed="false">
      <c r="A879" s="20" t="s">
        <v>6215</v>
      </c>
      <c r="B879" s="20" t="s">
        <v>21</v>
      </c>
      <c r="C879" s="20" t="s">
        <v>347</v>
      </c>
      <c r="D879" s="21" t="s">
        <v>6216</v>
      </c>
      <c r="E879" s="20"/>
      <c r="F879" s="20"/>
      <c r="G879" s="20" t="n">
        <v>3</v>
      </c>
      <c r="H879" s="20" t="n">
        <v>1</v>
      </c>
    </row>
    <row r="880" customFormat="false" ht="15" hidden="false" customHeight="false" outlineLevel="0" collapsed="false">
      <c r="A880" s="20" t="s">
        <v>6217</v>
      </c>
      <c r="B880" s="20" t="s">
        <v>29</v>
      </c>
      <c r="C880" s="20" t="s">
        <v>1188</v>
      </c>
      <c r="D880" s="21" t="s">
        <v>6218</v>
      </c>
      <c r="E880" s="20" t="s">
        <v>6219</v>
      </c>
      <c r="F880" s="20"/>
      <c r="G880" s="20"/>
      <c r="H880" s="20"/>
    </row>
    <row r="881" customFormat="false" ht="15" hidden="false" customHeight="false" outlineLevel="0" collapsed="false">
      <c r="A881" s="20" t="s">
        <v>6220</v>
      </c>
      <c r="B881" s="20" t="s">
        <v>33</v>
      </c>
      <c r="C881" s="20" t="s">
        <v>1991</v>
      </c>
      <c r="D881" s="21" t="s">
        <v>6221</v>
      </c>
      <c r="E881" s="20"/>
      <c r="F881" s="20"/>
      <c r="G881" s="20"/>
      <c r="H881" s="20"/>
    </row>
    <row r="882" customFormat="false" ht="23.85" hidden="false" customHeight="false" outlineLevel="0" collapsed="false">
      <c r="A882" s="20" t="s">
        <v>6222</v>
      </c>
      <c r="B882" s="20" t="s">
        <v>30</v>
      </c>
      <c r="C882" s="20" t="s">
        <v>1417</v>
      </c>
      <c r="D882" s="21" t="s">
        <v>6223</v>
      </c>
      <c r="E882" s="20" t="s">
        <v>6224</v>
      </c>
      <c r="F882" s="20" t="s">
        <v>6225</v>
      </c>
      <c r="G882" s="20" t="n">
        <v>4.9</v>
      </c>
      <c r="H882" s="20" t="n">
        <v>108</v>
      </c>
    </row>
    <row r="883" customFormat="false" ht="15" hidden="false" customHeight="false" outlineLevel="0" collapsed="false">
      <c r="A883" s="20" t="s">
        <v>6226</v>
      </c>
      <c r="B883" s="20" t="s">
        <v>18</v>
      </c>
      <c r="C883" s="20" t="s">
        <v>82</v>
      </c>
      <c r="D883" s="21" t="s">
        <v>6227</v>
      </c>
      <c r="E883" s="20" t="s">
        <v>6228</v>
      </c>
      <c r="F883" s="20"/>
      <c r="G883" s="20" t="n">
        <v>4</v>
      </c>
      <c r="H883" s="20" t="n">
        <v>3</v>
      </c>
    </row>
    <row r="884" customFormat="false" ht="15" hidden="false" customHeight="false" outlineLevel="0" collapsed="false">
      <c r="A884" s="20" t="s">
        <v>6229</v>
      </c>
      <c r="B884" s="20" t="s">
        <v>28</v>
      </c>
      <c r="C884" s="20" t="s">
        <v>934</v>
      </c>
      <c r="D884" s="21" t="s">
        <v>6230</v>
      </c>
      <c r="E884" s="20" t="s">
        <v>6231</v>
      </c>
      <c r="F884" s="20"/>
      <c r="G884" s="20"/>
      <c r="H884" s="20"/>
    </row>
    <row r="885" customFormat="false" ht="23.85" hidden="false" customHeight="false" outlineLevel="0" collapsed="false">
      <c r="A885" s="20" t="s">
        <v>6232</v>
      </c>
      <c r="B885" s="20" t="s">
        <v>31</v>
      </c>
      <c r="C885" s="20" t="s">
        <v>1542</v>
      </c>
      <c r="D885" s="21" t="s">
        <v>6233</v>
      </c>
      <c r="E885" s="20" t="s">
        <v>6234</v>
      </c>
      <c r="F885" s="20"/>
      <c r="G885" s="20"/>
      <c r="H885" s="20"/>
    </row>
    <row r="886" customFormat="false" ht="23.85" hidden="false" customHeight="false" outlineLevel="0" collapsed="false">
      <c r="A886" s="20" t="s">
        <v>6235</v>
      </c>
      <c r="B886" s="20" t="s">
        <v>31</v>
      </c>
      <c r="C886" s="20" t="s">
        <v>1552</v>
      </c>
      <c r="D886" s="21" t="s">
        <v>6236</v>
      </c>
      <c r="E886" s="20" t="s">
        <v>6237</v>
      </c>
      <c r="F886" s="20" t="s">
        <v>6238</v>
      </c>
      <c r="G886" s="20" t="n">
        <v>5</v>
      </c>
      <c r="H886" s="20" t="n">
        <v>1</v>
      </c>
    </row>
    <row r="887" customFormat="false" ht="23.85" hidden="false" customHeight="false" outlineLevel="0" collapsed="false">
      <c r="A887" s="20" t="s">
        <v>6239</v>
      </c>
      <c r="B887" s="20" t="s">
        <v>32</v>
      </c>
      <c r="C887" s="20" t="s">
        <v>1776</v>
      </c>
      <c r="D887" s="21" t="s">
        <v>6240</v>
      </c>
      <c r="E887" s="20" t="s">
        <v>6241</v>
      </c>
      <c r="F887" s="20" t="s">
        <v>6242</v>
      </c>
      <c r="G887" s="20" t="n">
        <v>5</v>
      </c>
      <c r="H887" s="20" t="n">
        <v>1</v>
      </c>
    </row>
    <row r="888" customFormat="false" ht="23.85" hidden="false" customHeight="false" outlineLevel="0" collapsed="false">
      <c r="A888" s="20" t="s">
        <v>6243</v>
      </c>
      <c r="B888" s="20" t="s">
        <v>30</v>
      </c>
      <c r="C888" s="20" t="s">
        <v>1322</v>
      </c>
      <c r="D888" s="21" t="s">
        <v>6244</v>
      </c>
      <c r="E888" s="20" t="s">
        <v>6245</v>
      </c>
      <c r="F888" s="20"/>
      <c r="G888" s="20"/>
      <c r="H888" s="20"/>
    </row>
    <row r="889" customFormat="false" ht="23.85" hidden="false" customHeight="false" outlineLevel="0" collapsed="false">
      <c r="A889" s="20" t="s">
        <v>6246</v>
      </c>
      <c r="B889" s="20" t="s">
        <v>32</v>
      </c>
      <c r="C889" s="20" t="s">
        <v>1734</v>
      </c>
      <c r="D889" s="21" t="s">
        <v>3589</v>
      </c>
      <c r="E889" s="20" t="s">
        <v>6247</v>
      </c>
      <c r="F889" s="20"/>
      <c r="G889" s="20"/>
      <c r="H889" s="20"/>
    </row>
    <row r="890" customFormat="false" ht="15" hidden="false" customHeight="false" outlineLevel="0" collapsed="false">
      <c r="A890" s="20" t="s">
        <v>6248</v>
      </c>
      <c r="B890" s="20" t="s">
        <v>22</v>
      </c>
      <c r="C890" s="20" t="s">
        <v>540</v>
      </c>
      <c r="D890" s="21" t="s">
        <v>6249</v>
      </c>
      <c r="E890" s="20"/>
      <c r="F890" s="20"/>
      <c r="G890" s="20"/>
      <c r="H890" s="20"/>
    </row>
    <row r="891" customFormat="false" ht="23.85" hidden="false" customHeight="false" outlineLevel="0" collapsed="false">
      <c r="A891" s="20" t="s">
        <v>6250</v>
      </c>
      <c r="B891" s="20" t="s">
        <v>32</v>
      </c>
      <c r="C891" s="20" t="s">
        <v>1767</v>
      </c>
      <c r="D891" s="21" t="s">
        <v>6251</v>
      </c>
      <c r="E891" s="20" t="s">
        <v>6252</v>
      </c>
      <c r="F891" s="20"/>
      <c r="G891" s="20" t="n">
        <v>5</v>
      </c>
      <c r="H891" s="20" t="n">
        <v>1</v>
      </c>
    </row>
    <row r="892" customFormat="false" ht="15" hidden="false" customHeight="false" outlineLevel="0" collapsed="false">
      <c r="A892" s="20" t="s">
        <v>6253</v>
      </c>
      <c r="B892" s="20" t="s">
        <v>34</v>
      </c>
      <c r="C892" s="20" t="s">
        <v>2090</v>
      </c>
      <c r="D892" s="21" t="s">
        <v>6254</v>
      </c>
      <c r="E892" s="20" t="s">
        <v>6255</v>
      </c>
      <c r="F892" s="20"/>
      <c r="G892" s="20" t="n">
        <v>1</v>
      </c>
      <c r="H892" s="20" t="n">
        <v>1</v>
      </c>
    </row>
    <row r="893" customFormat="false" ht="23.85" hidden="false" customHeight="false" outlineLevel="0" collapsed="false">
      <c r="A893" s="20" t="s">
        <v>6256</v>
      </c>
      <c r="B893" s="20" t="s">
        <v>33</v>
      </c>
      <c r="C893" s="20" t="s">
        <v>719</v>
      </c>
      <c r="D893" s="21" t="s">
        <v>6257</v>
      </c>
      <c r="E893" s="20"/>
      <c r="F893" s="20"/>
      <c r="G893" s="20"/>
      <c r="H893" s="20"/>
    </row>
    <row r="894" customFormat="false" ht="15" hidden="false" customHeight="false" outlineLevel="0" collapsed="false">
      <c r="A894" s="20" t="s">
        <v>6258</v>
      </c>
      <c r="B894" s="20" t="s">
        <v>18</v>
      </c>
      <c r="C894" s="20" t="s">
        <v>82</v>
      </c>
      <c r="D894" s="21" t="s">
        <v>6259</v>
      </c>
      <c r="E894" s="20"/>
      <c r="F894" s="20"/>
      <c r="G894" s="20" t="n">
        <v>5</v>
      </c>
      <c r="H894" s="20" t="n">
        <v>1</v>
      </c>
    </row>
    <row r="895" customFormat="false" ht="23.85" hidden="false" customHeight="false" outlineLevel="0" collapsed="false">
      <c r="A895" s="20" t="s">
        <v>6260</v>
      </c>
      <c r="B895" s="20" t="s">
        <v>28</v>
      </c>
      <c r="C895" s="20" t="s">
        <v>901</v>
      </c>
      <c r="D895" s="21" t="s">
        <v>6261</v>
      </c>
      <c r="E895" s="20" t="s">
        <v>6262</v>
      </c>
      <c r="F895" s="20" t="s">
        <v>6263</v>
      </c>
      <c r="G895" s="20" t="n">
        <v>4.5</v>
      </c>
      <c r="H895" s="20" t="n">
        <v>8</v>
      </c>
    </row>
    <row r="896" customFormat="false" ht="23.85" hidden="false" customHeight="false" outlineLevel="0" collapsed="false">
      <c r="A896" s="20" t="s">
        <v>6264</v>
      </c>
      <c r="B896" s="20" t="s">
        <v>29</v>
      </c>
      <c r="C896" s="20" t="s">
        <v>1188</v>
      </c>
      <c r="D896" s="21" t="s">
        <v>6265</v>
      </c>
      <c r="E896" s="20" t="s">
        <v>6266</v>
      </c>
      <c r="F896" s="20" t="s">
        <v>6267</v>
      </c>
      <c r="G896" s="20" t="n">
        <v>3</v>
      </c>
      <c r="H896" s="20" t="n">
        <v>2</v>
      </c>
    </row>
    <row r="897" customFormat="false" ht="23.85" hidden="false" customHeight="false" outlineLevel="0" collapsed="false">
      <c r="A897" s="20" t="s">
        <v>6268</v>
      </c>
      <c r="B897" s="20" t="s">
        <v>32</v>
      </c>
      <c r="C897" s="20" t="s">
        <v>1869</v>
      </c>
      <c r="D897" s="21" t="s">
        <v>6269</v>
      </c>
      <c r="E897" s="20" t="s">
        <v>6270</v>
      </c>
      <c r="F897" s="20"/>
      <c r="G897" s="20" t="n">
        <v>5</v>
      </c>
      <c r="H897" s="20" t="n">
        <v>2</v>
      </c>
    </row>
    <row r="898" customFormat="false" ht="15" hidden="false" customHeight="false" outlineLevel="0" collapsed="false">
      <c r="A898" s="20" t="s">
        <v>6271</v>
      </c>
      <c r="B898" s="20" t="s">
        <v>18</v>
      </c>
      <c r="C898" s="20" t="s">
        <v>232</v>
      </c>
      <c r="D898" s="21" t="s">
        <v>6272</v>
      </c>
      <c r="E898" s="20"/>
      <c r="F898" s="20"/>
      <c r="G898" s="20"/>
      <c r="H898" s="20"/>
    </row>
    <row r="899" customFormat="false" ht="23.85" hidden="false" customHeight="false" outlineLevel="0" collapsed="false">
      <c r="A899" s="20" t="s">
        <v>6273</v>
      </c>
      <c r="B899" s="20" t="s">
        <v>19</v>
      </c>
      <c r="C899" s="20" t="s">
        <v>3637</v>
      </c>
      <c r="D899" s="21" t="s">
        <v>6274</v>
      </c>
      <c r="E899" s="20"/>
      <c r="F899" s="20"/>
      <c r="G899" s="20" t="n">
        <v>2.5</v>
      </c>
      <c r="H899" s="20" t="n">
        <v>2</v>
      </c>
    </row>
    <row r="900" customFormat="false" ht="15" hidden="false" customHeight="false" outlineLevel="0" collapsed="false">
      <c r="A900" s="20" t="s">
        <v>6275</v>
      </c>
      <c r="B900" s="20" t="s">
        <v>23</v>
      </c>
      <c r="C900" s="20" t="s">
        <v>4543</v>
      </c>
      <c r="D900" s="21" t="s">
        <v>4544</v>
      </c>
      <c r="E900" s="20"/>
      <c r="F900" s="20"/>
      <c r="G900" s="20"/>
      <c r="H900" s="20"/>
    </row>
    <row r="901" customFormat="false" ht="23.85" hidden="false" customHeight="false" outlineLevel="0" collapsed="false">
      <c r="A901" s="20" t="s">
        <v>6276</v>
      </c>
      <c r="B901" s="20" t="s">
        <v>33</v>
      </c>
      <c r="C901" s="20" t="s">
        <v>6277</v>
      </c>
      <c r="D901" s="21" t="s">
        <v>6278</v>
      </c>
      <c r="E901" s="20" t="s">
        <v>6279</v>
      </c>
      <c r="F901" s="20"/>
      <c r="G901" s="20" t="n">
        <v>4</v>
      </c>
      <c r="H901" s="20" t="n">
        <v>1</v>
      </c>
    </row>
    <row r="902" customFormat="false" ht="23.85" hidden="false" customHeight="false" outlineLevel="0" collapsed="false">
      <c r="A902" s="20" t="s">
        <v>6280</v>
      </c>
      <c r="B902" s="20" t="s">
        <v>30</v>
      </c>
      <c r="C902" s="20" t="s">
        <v>1479</v>
      </c>
      <c r="D902" s="21" t="s">
        <v>6281</v>
      </c>
      <c r="E902" s="20"/>
      <c r="F902" s="20"/>
      <c r="G902" s="20"/>
      <c r="H902" s="20"/>
    </row>
    <row r="903" customFormat="false" ht="23.85" hidden="false" customHeight="false" outlineLevel="0" collapsed="false">
      <c r="A903" s="20" t="s">
        <v>6282</v>
      </c>
      <c r="B903" s="20" t="s">
        <v>23</v>
      </c>
      <c r="C903" s="20" t="s">
        <v>655</v>
      </c>
      <c r="D903" s="21" t="s">
        <v>6283</v>
      </c>
      <c r="E903" s="20" t="s">
        <v>6284</v>
      </c>
      <c r="F903" s="20"/>
      <c r="G903" s="20" t="n">
        <v>4.2</v>
      </c>
      <c r="H903" s="20" t="n">
        <v>26</v>
      </c>
    </row>
    <row r="904" customFormat="false" ht="23.85" hidden="false" customHeight="false" outlineLevel="0" collapsed="false">
      <c r="A904" s="20" t="s">
        <v>6285</v>
      </c>
      <c r="B904" s="20" t="s">
        <v>31</v>
      </c>
      <c r="C904" s="20" t="s">
        <v>1552</v>
      </c>
      <c r="D904" s="21" t="s">
        <v>6286</v>
      </c>
      <c r="E904" s="20" t="s">
        <v>6287</v>
      </c>
      <c r="F904" s="20"/>
      <c r="G904" s="20" t="n">
        <v>4.5</v>
      </c>
      <c r="H904" s="20" t="n">
        <v>2</v>
      </c>
    </row>
    <row r="905" customFormat="false" ht="15" hidden="false" customHeight="false" outlineLevel="0" collapsed="false">
      <c r="A905" s="20" t="s">
        <v>6288</v>
      </c>
      <c r="B905" s="20" t="s">
        <v>20</v>
      </c>
      <c r="C905" s="20" t="s">
        <v>2386</v>
      </c>
      <c r="D905" s="21" t="s">
        <v>6289</v>
      </c>
      <c r="E905" s="20" t="s">
        <v>6290</v>
      </c>
      <c r="F905" s="20"/>
      <c r="G905" s="20" t="n">
        <v>4.2</v>
      </c>
      <c r="H905" s="20" t="n">
        <v>16</v>
      </c>
    </row>
    <row r="906" customFormat="false" ht="23.85" hidden="false" customHeight="false" outlineLevel="0" collapsed="false">
      <c r="A906" s="20" t="s">
        <v>6291</v>
      </c>
      <c r="B906" s="20" t="s">
        <v>32</v>
      </c>
      <c r="C906" s="20" t="s">
        <v>1767</v>
      </c>
      <c r="D906" s="21" t="s">
        <v>6292</v>
      </c>
      <c r="E906" s="20" t="s">
        <v>6293</v>
      </c>
      <c r="F906" s="20" t="s">
        <v>6294</v>
      </c>
      <c r="G906" s="20" t="n">
        <v>4.5</v>
      </c>
      <c r="H906" s="20" t="n">
        <v>12</v>
      </c>
    </row>
    <row r="907" customFormat="false" ht="23.85" hidden="false" customHeight="false" outlineLevel="0" collapsed="false">
      <c r="A907" s="20" t="s">
        <v>6295</v>
      </c>
      <c r="B907" s="20" t="s">
        <v>22</v>
      </c>
      <c r="C907" s="20" t="s">
        <v>540</v>
      </c>
      <c r="D907" s="21" t="s">
        <v>6296</v>
      </c>
      <c r="E907" s="20"/>
      <c r="F907" s="20"/>
      <c r="G907" s="20"/>
      <c r="H907" s="20"/>
    </row>
    <row r="908" customFormat="false" ht="23.85" hidden="false" customHeight="false" outlineLevel="0" collapsed="false">
      <c r="A908" s="20" t="s">
        <v>6297</v>
      </c>
      <c r="B908" s="20" t="s">
        <v>25</v>
      </c>
      <c r="C908" s="20" t="s">
        <v>738</v>
      </c>
      <c r="D908" s="21" t="s">
        <v>6298</v>
      </c>
      <c r="E908" s="20" t="s">
        <v>6299</v>
      </c>
      <c r="F908" s="20"/>
      <c r="G908" s="20"/>
      <c r="H908" s="20"/>
    </row>
    <row r="909" customFormat="false" ht="23.85" hidden="false" customHeight="false" outlineLevel="0" collapsed="false">
      <c r="A909" s="20" t="s">
        <v>6300</v>
      </c>
      <c r="B909" s="20" t="s">
        <v>21</v>
      </c>
      <c r="C909" s="20" t="s">
        <v>347</v>
      </c>
      <c r="D909" s="21" t="s">
        <v>6301</v>
      </c>
      <c r="E909" s="20" t="s">
        <v>6302</v>
      </c>
      <c r="F909" s="20"/>
      <c r="G909" s="20" t="n">
        <v>3.9</v>
      </c>
      <c r="H909" s="20" t="n">
        <v>11</v>
      </c>
    </row>
    <row r="910" customFormat="false" ht="23.85" hidden="false" customHeight="false" outlineLevel="0" collapsed="false">
      <c r="A910" s="20" t="s">
        <v>6303</v>
      </c>
      <c r="B910" s="20" t="s">
        <v>34</v>
      </c>
      <c r="C910" s="20" t="s">
        <v>2152</v>
      </c>
      <c r="D910" s="21" t="s">
        <v>6304</v>
      </c>
      <c r="E910" s="20" t="s">
        <v>6305</v>
      </c>
      <c r="F910" s="20"/>
      <c r="G910" s="20"/>
      <c r="H910" s="20"/>
    </row>
    <row r="911" customFormat="false" ht="23.85" hidden="false" customHeight="false" outlineLevel="0" collapsed="false">
      <c r="A911" s="20" t="s">
        <v>6306</v>
      </c>
      <c r="B911" s="20" t="s">
        <v>30</v>
      </c>
      <c r="C911" s="20" t="s">
        <v>1322</v>
      </c>
      <c r="D911" s="21" t="s">
        <v>6307</v>
      </c>
      <c r="E911" s="20" t="s">
        <v>6308</v>
      </c>
      <c r="F911" s="20"/>
      <c r="G911" s="20"/>
      <c r="H911" s="20"/>
    </row>
    <row r="912" customFormat="false" ht="23.85" hidden="false" customHeight="false" outlineLevel="0" collapsed="false">
      <c r="A912" s="20" t="s">
        <v>6309</v>
      </c>
      <c r="B912" s="20" t="s">
        <v>27</v>
      </c>
      <c r="C912" s="20" t="s">
        <v>5996</v>
      </c>
      <c r="D912" s="21" t="s">
        <v>6310</v>
      </c>
      <c r="E912" s="20"/>
      <c r="F912" s="20"/>
      <c r="G912" s="20" t="n">
        <v>4.2</v>
      </c>
      <c r="H912" s="20" t="n">
        <v>77</v>
      </c>
    </row>
    <row r="913" customFormat="false" ht="23.85" hidden="false" customHeight="false" outlineLevel="0" collapsed="false">
      <c r="A913" s="20" t="s">
        <v>6311</v>
      </c>
      <c r="B913" s="20" t="s">
        <v>34</v>
      </c>
      <c r="C913" s="20" t="s">
        <v>6312</v>
      </c>
      <c r="D913" s="21" t="s">
        <v>6313</v>
      </c>
      <c r="E913" s="20"/>
      <c r="F913" s="20"/>
      <c r="G913" s="20" t="n">
        <v>5</v>
      </c>
      <c r="H913" s="20" t="n">
        <v>1</v>
      </c>
    </row>
    <row r="914" customFormat="false" ht="23.85" hidden="false" customHeight="false" outlineLevel="0" collapsed="false">
      <c r="A914" s="20" t="s">
        <v>6314</v>
      </c>
      <c r="B914" s="20" t="s">
        <v>30</v>
      </c>
      <c r="C914" s="20" t="s">
        <v>1479</v>
      </c>
      <c r="D914" s="21" t="s">
        <v>6315</v>
      </c>
      <c r="E914" s="20" t="s">
        <v>6316</v>
      </c>
      <c r="F914" s="20"/>
      <c r="G914" s="20" t="n">
        <v>3.9</v>
      </c>
      <c r="H914" s="20" t="n">
        <v>69</v>
      </c>
    </row>
    <row r="915" customFormat="false" ht="15" hidden="false" customHeight="false" outlineLevel="0" collapsed="false">
      <c r="A915" s="20" t="s">
        <v>6317</v>
      </c>
      <c r="B915" s="20" t="s">
        <v>28</v>
      </c>
      <c r="C915" s="20" t="s">
        <v>3633</v>
      </c>
      <c r="D915" s="21" t="s">
        <v>6318</v>
      </c>
      <c r="E915" s="20" t="s">
        <v>6319</v>
      </c>
      <c r="F915" s="20"/>
      <c r="G915" s="20"/>
      <c r="H915" s="20"/>
    </row>
    <row r="916" customFormat="false" ht="15" hidden="false" customHeight="false" outlineLevel="0" collapsed="false">
      <c r="A916" s="20" t="s">
        <v>6320</v>
      </c>
      <c r="B916" s="20" t="s">
        <v>31</v>
      </c>
      <c r="C916" s="20" t="s">
        <v>1522</v>
      </c>
      <c r="D916" s="21" t="s">
        <v>6321</v>
      </c>
      <c r="E916" s="20" t="s">
        <v>6322</v>
      </c>
      <c r="F916" s="20"/>
      <c r="G916" s="20"/>
      <c r="H916" s="20"/>
    </row>
    <row r="917" customFormat="false" ht="23.85" hidden="false" customHeight="false" outlineLevel="0" collapsed="false">
      <c r="A917" s="20" t="s">
        <v>6323</v>
      </c>
      <c r="B917" s="20" t="s">
        <v>28</v>
      </c>
      <c r="C917" s="20" t="s">
        <v>1118</v>
      </c>
      <c r="D917" s="21" t="s">
        <v>6324</v>
      </c>
      <c r="E917" s="20" t="s">
        <v>6325</v>
      </c>
      <c r="F917" s="20"/>
      <c r="G917" s="20" t="n">
        <v>5</v>
      </c>
      <c r="H917" s="20" t="n">
        <v>1</v>
      </c>
    </row>
    <row r="918" customFormat="false" ht="15" hidden="false" customHeight="false" outlineLevel="0" collapsed="false">
      <c r="A918" s="20" t="s">
        <v>6326</v>
      </c>
      <c r="B918" s="20" t="s">
        <v>23</v>
      </c>
      <c r="C918" s="20" t="s">
        <v>2653</v>
      </c>
      <c r="D918" s="21" t="s">
        <v>6327</v>
      </c>
      <c r="E918" s="20"/>
      <c r="F918" s="20"/>
      <c r="G918" s="20"/>
      <c r="H918" s="20"/>
    </row>
    <row r="919" customFormat="false" ht="23.85" hidden="false" customHeight="false" outlineLevel="0" collapsed="false">
      <c r="A919" s="20" t="s">
        <v>6328</v>
      </c>
      <c r="B919" s="20" t="s">
        <v>22</v>
      </c>
      <c r="C919" s="20" t="s">
        <v>540</v>
      </c>
      <c r="D919" s="21" t="s">
        <v>6329</v>
      </c>
      <c r="E919" s="20" t="s">
        <v>6330</v>
      </c>
      <c r="F919" s="20"/>
      <c r="G919" s="20"/>
      <c r="H919" s="20"/>
    </row>
    <row r="920" customFormat="false" ht="15" hidden="false" customHeight="false" outlineLevel="0" collapsed="false">
      <c r="A920" s="20" t="s">
        <v>6331</v>
      </c>
      <c r="B920" s="20" t="s">
        <v>33</v>
      </c>
      <c r="C920" s="20" t="s">
        <v>1991</v>
      </c>
      <c r="D920" s="21" t="s">
        <v>6332</v>
      </c>
      <c r="E920" s="20"/>
      <c r="F920" s="20"/>
      <c r="G920" s="20"/>
      <c r="H920" s="20"/>
    </row>
    <row r="921" customFormat="false" ht="23.85" hidden="false" customHeight="false" outlineLevel="0" collapsed="false">
      <c r="A921" s="20" t="s">
        <v>6333</v>
      </c>
      <c r="B921" s="20" t="s">
        <v>34</v>
      </c>
      <c r="C921" s="20" t="s">
        <v>2090</v>
      </c>
      <c r="D921" s="21" t="s">
        <v>6334</v>
      </c>
      <c r="E921" s="20" t="s">
        <v>6335</v>
      </c>
      <c r="F921" s="20"/>
      <c r="G921" s="20"/>
      <c r="H921" s="20"/>
    </row>
    <row r="922" customFormat="false" ht="15" hidden="false" customHeight="false" outlineLevel="0" collapsed="false">
      <c r="A922" s="20" t="s">
        <v>6336</v>
      </c>
      <c r="B922" s="20" t="s">
        <v>35</v>
      </c>
      <c r="C922" s="20" t="s">
        <v>2202</v>
      </c>
      <c r="D922" s="21" t="s">
        <v>6337</v>
      </c>
      <c r="E922" s="20" t="s">
        <v>6338</v>
      </c>
      <c r="F922" s="20"/>
      <c r="G922" s="20"/>
      <c r="H922" s="20"/>
    </row>
    <row r="923" customFormat="false" ht="15" hidden="false" customHeight="false" outlineLevel="0" collapsed="false">
      <c r="A923" s="20" t="s">
        <v>6339</v>
      </c>
      <c r="B923" s="20" t="s">
        <v>35</v>
      </c>
      <c r="C923" s="20" t="s">
        <v>2202</v>
      </c>
      <c r="D923" s="21" t="s">
        <v>6340</v>
      </c>
      <c r="E923" s="20" t="s">
        <v>6341</v>
      </c>
      <c r="F923" s="20"/>
      <c r="G923" s="20"/>
      <c r="H923" s="20"/>
    </row>
    <row r="924" customFormat="false" ht="15" hidden="false" customHeight="false" outlineLevel="0" collapsed="false">
      <c r="A924" s="20" t="s">
        <v>6342</v>
      </c>
      <c r="B924" s="20" t="s">
        <v>30</v>
      </c>
      <c r="C924" s="20" t="s">
        <v>4094</v>
      </c>
      <c r="D924" s="21" t="s">
        <v>6343</v>
      </c>
      <c r="E924" s="20" t="s">
        <v>6344</v>
      </c>
      <c r="F924" s="20"/>
      <c r="G924" s="20" t="n">
        <v>5</v>
      </c>
      <c r="H924" s="20" t="n">
        <v>1</v>
      </c>
    </row>
    <row r="925" customFormat="false" ht="23.85" hidden="false" customHeight="false" outlineLevel="0" collapsed="false">
      <c r="A925" s="20" t="s">
        <v>6345</v>
      </c>
      <c r="B925" s="20" t="s">
        <v>35</v>
      </c>
      <c r="C925" s="20" t="s">
        <v>2202</v>
      </c>
      <c r="D925" s="21" t="s">
        <v>6346</v>
      </c>
      <c r="E925" s="20" t="s">
        <v>6347</v>
      </c>
      <c r="F925" s="20"/>
      <c r="G925" s="20" t="n">
        <v>5</v>
      </c>
      <c r="H925" s="20" t="n">
        <v>1</v>
      </c>
    </row>
    <row r="926" customFormat="false" ht="23.85" hidden="false" customHeight="false" outlineLevel="0" collapsed="false">
      <c r="A926" s="20" t="s">
        <v>6348</v>
      </c>
      <c r="B926" s="20" t="s">
        <v>18</v>
      </c>
      <c r="C926" s="20" t="s">
        <v>232</v>
      </c>
      <c r="D926" s="21" t="s">
        <v>6349</v>
      </c>
      <c r="E926" s="20" t="s">
        <v>6350</v>
      </c>
      <c r="F926" s="20" t="s">
        <v>6351</v>
      </c>
      <c r="G926" s="20" t="n">
        <v>4.5</v>
      </c>
      <c r="H926" s="20" t="n">
        <v>1093</v>
      </c>
    </row>
    <row r="927" customFormat="false" ht="23.85" hidden="false" customHeight="false" outlineLevel="0" collapsed="false">
      <c r="A927" s="20" t="s">
        <v>6352</v>
      </c>
      <c r="B927" s="20" t="s">
        <v>21</v>
      </c>
      <c r="C927" s="20" t="s">
        <v>356</v>
      </c>
      <c r="D927" s="21" t="s">
        <v>6353</v>
      </c>
      <c r="E927" s="20" t="s">
        <v>6354</v>
      </c>
      <c r="F927" s="20"/>
      <c r="G927" s="20"/>
      <c r="H927" s="20"/>
    </row>
    <row r="928" customFormat="false" ht="23.85" hidden="false" customHeight="false" outlineLevel="0" collapsed="false">
      <c r="A928" s="20" t="s">
        <v>6355</v>
      </c>
      <c r="B928" s="20" t="s">
        <v>21</v>
      </c>
      <c r="C928" s="20" t="s">
        <v>446</v>
      </c>
      <c r="D928" s="21" t="s">
        <v>6356</v>
      </c>
      <c r="E928" s="20"/>
      <c r="F928" s="20"/>
      <c r="G928" s="20" t="n">
        <v>4.3</v>
      </c>
      <c r="H928" s="20" t="n">
        <v>3</v>
      </c>
    </row>
    <row r="929" customFormat="false" ht="23.85" hidden="false" customHeight="false" outlineLevel="0" collapsed="false">
      <c r="A929" s="20" t="s">
        <v>6357</v>
      </c>
      <c r="B929" s="20" t="s">
        <v>21</v>
      </c>
      <c r="C929" s="20" t="s">
        <v>446</v>
      </c>
      <c r="D929" s="21" t="s">
        <v>6358</v>
      </c>
      <c r="E929" s="20" t="s">
        <v>6359</v>
      </c>
      <c r="F929" s="20"/>
      <c r="G929" s="20" t="n">
        <v>4.5</v>
      </c>
      <c r="H929" s="20" t="n">
        <v>10</v>
      </c>
    </row>
    <row r="930" customFormat="false" ht="15" hidden="false" customHeight="false" outlineLevel="0" collapsed="false">
      <c r="A930" s="20" t="s">
        <v>6360</v>
      </c>
      <c r="B930" s="20" t="s">
        <v>21</v>
      </c>
      <c r="C930" s="20" t="s">
        <v>2467</v>
      </c>
      <c r="D930" s="21" t="s">
        <v>6361</v>
      </c>
      <c r="E930" s="20" t="s">
        <v>6362</v>
      </c>
      <c r="F930" s="20"/>
      <c r="G930" s="20" t="n">
        <v>5</v>
      </c>
      <c r="H930" s="20" t="n">
        <v>1</v>
      </c>
    </row>
    <row r="931" customFormat="false" ht="15" hidden="false" customHeight="false" outlineLevel="0" collapsed="false">
      <c r="A931" s="20" t="s">
        <v>6363</v>
      </c>
      <c r="B931" s="20" t="s">
        <v>21</v>
      </c>
      <c r="C931" s="20" t="s">
        <v>347</v>
      </c>
      <c r="D931" s="21" t="s">
        <v>6364</v>
      </c>
      <c r="E931" s="20"/>
      <c r="F931" s="20"/>
      <c r="G931" s="20"/>
      <c r="H931" s="20"/>
    </row>
    <row r="932" customFormat="false" ht="23.85" hidden="false" customHeight="false" outlineLevel="0" collapsed="false">
      <c r="A932" s="20" t="s">
        <v>6365</v>
      </c>
      <c r="B932" s="20" t="s">
        <v>28</v>
      </c>
      <c r="C932" s="20" t="s">
        <v>892</v>
      </c>
      <c r="D932" s="21" t="s">
        <v>6366</v>
      </c>
      <c r="E932" s="20"/>
      <c r="F932" s="20"/>
      <c r="G932" s="20"/>
      <c r="H932" s="20"/>
    </row>
    <row r="933" customFormat="false" ht="15" hidden="false" customHeight="false" outlineLevel="0" collapsed="false">
      <c r="A933" s="20" t="s">
        <v>6367</v>
      </c>
      <c r="B933" s="20" t="s">
        <v>35</v>
      </c>
      <c r="C933" s="20" t="s">
        <v>2202</v>
      </c>
      <c r="D933" s="21" t="s">
        <v>6368</v>
      </c>
      <c r="E933" s="20" t="s">
        <v>6369</v>
      </c>
      <c r="F933" s="20"/>
      <c r="G933" s="20" t="n">
        <v>5</v>
      </c>
      <c r="H933" s="20" t="n">
        <v>3</v>
      </c>
    </row>
    <row r="934" customFormat="false" ht="23.85" hidden="false" customHeight="false" outlineLevel="0" collapsed="false">
      <c r="A934" s="20" t="s">
        <v>6370</v>
      </c>
      <c r="B934" s="20" t="s">
        <v>28</v>
      </c>
      <c r="C934" s="20" t="s">
        <v>901</v>
      </c>
      <c r="D934" s="21" t="s">
        <v>6371</v>
      </c>
      <c r="E934" s="20" t="s">
        <v>6372</v>
      </c>
      <c r="F934" s="20" t="s">
        <v>6373</v>
      </c>
      <c r="G934" s="20" t="n">
        <v>4.2</v>
      </c>
      <c r="H934" s="20" t="n">
        <v>18</v>
      </c>
    </row>
    <row r="935" customFormat="false" ht="15" hidden="false" customHeight="false" outlineLevel="0" collapsed="false">
      <c r="A935" s="20" t="s">
        <v>6374</v>
      </c>
      <c r="B935" s="20" t="s">
        <v>28</v>
      </c>
      <c r="C935" s="20" t="s">
        <v>913</v>
      </c>
      <c r="D935" s="21" t="s">
        <v>4144</v>
      </c>
      <c r="E935" s="20" t="s">
        <v>6375</v>
      </c>
      <c r="F935" s="20"/>
      <c r="G935" s="20" t="n">
        <v>4.1</v>
      </c>
      <c r="H935" s="20" t="n">
        <v>7</v>
      </c>
    </row>
  </sheetData>
  <autoFilter ref="A4:H935"/>
  <mergeCells count="2">
    <mergeCell ref="A1:H1"/>
    <mergeCell ref="A2:H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2026-09-16T20:06:41Z</dcterms:created>
  <dc:creator>openpyxl</dc:creator>
  <dc:description/>
  <dc:language>en-US</dc:language>
  <cp:lastModifiedBy/>
  <dcterms:modified xsi:type="dcterms:W3CDTF">2026-09-16T20:06:42Z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